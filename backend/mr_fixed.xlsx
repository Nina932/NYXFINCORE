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555" tabRatio="600" firstSheet="0" activeTab="0" autoFilterDateGrouping="1"/>
  </bookViews>
  <sheets>
    <sheet xmlns:r="http://schemas.openxmlformats.org/officeDocument/2006/relationships" name="BS" sheetId="1" state="visible" r:id="rId1"/>
    <sheet xmlns:r="http://schemas.openxmlformats.org/officeDocument/2006/relationships" name="P&amp;L" sheetId="2" state="visible" r:id="rId2"/>
    <sheet xmlns:r="http://schemas.openxmlformats.org/officeDocument/2006/relationships" name="CFS(ind)" sheetId="3" state="visible" r:id="rId3"/>
    <sheet xmlns:r="http://schemas.openxmlformats.org/officeDocument/2006/relationships" name="ServiceRevenue_COGS" sheetId="4" state="visible" r:id="rId4"/>
    <sheet xmlns:r="http://schemas.openxmlformats.org/officeDocument/2006/relationships" name="Products revenue_COGS_Wsales_Tr" sheetId="5" state="visible" r:id="rId5"/>
    <sheet xmlns:r="http://schemas.openxmlformats.org/officeDocument/2006/relationships" name="Products revenue&amp;COGS_Retail" sheetId="6" state="visible" r:id="rId6"/>
    <sheet xmlns:r="http://schemas.openxmlformats.org/officeDocument/2006/relationships" name="Products revenue&amp;COGS_Gas Distr" sheetId="7" state="visible" r:id="rId7"/>
    <sheet xmlns:r="http://schemas.openxmlformats.org/officeDocument/2006/relationships" name="CAPEX&amp;INVESTMENT" sheetId="8" state="visible" r:id="rId8"/>
    <sheet xmlns:r="http://schemas.openxmlformats.org/officeDocument/2006/relationships" name="CAPEX_cash basis" sheetId="9" state="visible" r:id="rId9"/>
    <sheet xmlns:r="http://schemas.openxmlformats.org/officeDocument/2006/relationships" name="OPEX_breakdown" sheetId="10" state="visible" r:id="rId10"/>
    <sheet xmlns:r="http://schemas.openxmlformats.org/officeDocument/2006/relationships" name="Borrowings" sheetId="11" state="visible" r:id="rId11"/>
    <sheet xmlns:r="http://schemas.openxmlformats.org/officeDocument/2006/relationships" name="Receivables" sheetId="12" state="visible" r:id="rId12"/>
    <sheet xmlns:r="http://schemas.openxmlformats.org/officeDocument/2006/relationships" name="Payables" sheetId="13" state="visible" r:id="rId13"/>
    <sheet xmlns:r="http://schemas.openxmlformats.org/officeDocument/2006/relationships" name="Prepayments" sheetId="14" state="visible" r:id="rId14"/>
    <sheet xmlns:r="http://schemas.openxmlformats.org/officeDocument/2006/relationships" name="Currency" sheetId="15" state="visible" r:id="rId15"/>
  </sheets>
  <externalReferences>
    <externalReference xmlns:r="http://schemas.openxmlformats.org/officeDocument/2006/relationships" r:id="rId16"/>
  </externalReferences>
  <definedNames/>
  <calcPr calcId="162913" fullCalcOnLoad="1"/>
</workbook>
</file>

<file path=xl/styles.xml><?xml version="1.0" encoding="utf-8"?>
<styleSheet xmlns="http://schemas.openxmlformats.org/spreadsheetml/2006/main">
  <numFmts count="9">
    <numFmt numFmtId="164" formatCode="#,###;\(#,###\);\-"/>
    <numFmt numFmtId="165" formatCode="_(* #,##0_);_(* \(#,##0\);_(* &quot;-&quot;??_);_(@_)"/>
    <numFmt numFmtId="166" formatCode="_(\ #,##0.00_);_(\ \(#,##0.00\);_(\ &quot;-&quot;??_);_(@_)"/>
    <numFmt numFmtId="167" formatCode="0.0"/>
    <numFmt numFmtId="168" formatCode="0.0000"/>
    <numFmt numFmtId="169" formatCode="#,##0.00;\ \-#,##0.00;\ &quot;-&quot;"/>
    <numFmt numFmtId="170" formatCode="_(* #,##0.00000_);_(* \(#,##0.00000\);_(* &quot;-&quot;??_);_(@_)"/>
    <numFmt numFmtId="171" formatCode="_(* #,##0.0000_);_(* \(#,##0.0000\);_(* &quot;-&quot;??_);_(@_)"/>
    <numFmt numFmtId="172" formatCode="_-* #,##0.00\ _₽_-;\-* #,##0.00\ _₽_-;_-* &quot;-&quot;??\ _₽_-;_-@_-"/>
  </numFmts>
  <fonts count="71">
    <font>
      <name val="Calibri"/>
      <family val="2"/>
      <color theme="1"/>
      <sz val="11"/>
      <scheme val="minor"/>
    </font>
    <font>
      <name val="Calibri"/>
      <family val="2"/>
      <color theme="1"/>
      <sz val="11"/>
      <scheme val="minor"/>
    </font>
    <font>
      <name val="Arial"/>
      <charset val="204"/>
      <family val="2"/>
      <b val="1"/>
      <color rgb="FF000000"/>
      <sz val="10"/>
    </font>
    <font>
      <name val="Arial"/>
      <charset val="204"/>
      <family val="2"/>
      <color rgb="FF000000"/>
      <sz val="10"/>
    </font>
    <font>
      <name val="Arial"/>
      <charset val="204"/>
      <family val="2"/>
      <b val="1"/>
      <color theme="1"/>
      <sz val="14"/>
    </font>
    <font>
      <name val="Arial"/>
      <charset val="204"/>
      <family val="2"/>
      <color theme="1"/>
      <sz val="10"/>
    </font>
    <font>
      <name val="Arial"/>
      <charset val="204"/>
      <family val="2"/>
      <b val="1"/>
      <color rgb="FF000000"/>
      <sz val="14"/>
    </font>
    <font>
      <name val="Arial"/>
      <charset val="204"/>
      <family val="2"/>
      <b val="1"/>
      <color rgb="FF000000"/>
      <sz val="12"/>
    </font>
    <font>
      <name val="Arial"/>
      <charset val="204"/>
      <family val="2"/>
      <b val="1"/>
      <color theme="1"/>
      <sz val="12"/>
    </font>
    <font>
      <name val="Arial"/>
      <charset val="204"/>
      <family val="2"/>
      <color rgb="FF000000"/>
      <sz val="12"/>
    </font>
    <font>
      <name val="Arial"/>
      <charset val="204"/>
      <family val="2"/>
      <color theme="1"/>
      <sz val="12"/>
    </font>
    <font>
      <name val="Arial"/>
      <charset val="204"/>
      <family val="2"/>
      <sz val="12"/>
    </font>
    <font>
      <name val="Calibri"/>
      <charset val="204"/>
      <family val="2"/>
      <color theme="1"/>
      <sz val="11"/>
      <scheme val="minor"/>
    </font>
    <font>
      <name val="Arial"/>
      <charset val="204"/>
      <family val="2"/>
      <b val="1"/>
      <color indexed="9"/>
      <sz val="12"/>
    </font>
    <font>
      <name val="Arial"/>
      <charset val="204"/>
      <family val="2"/>
      <b val="1"/>
      <color rgb="FFFFFFFF"/>
      <sz val="12"/>
    </font>
    <font>
      <name val="Arial"/>
      <charset val="204"/>
      <family val="2"/>
      <b val="1"/>
      <color theme="0"/>
      <sz val="12"/>
    </font>
    <font>
      <name val="Arial"/>
      <charset val="204"/>
      <family val="2"/>
      <b val="1"/>
      <color indexed="9"/>
      <sz val="10"/>
    </font>
    <font>
      <name val="Arial"/>
      <charset val="204"/>
      <family val="2"/>
      <b val="1"/>
      <color rgb="FFFFFFFF"/>
      <sz val="10"/>
    </font>
    <font>
      <name val="Arial"/>
      <charset val="204"/>
      <family val="2"/>
      <color indexed="9"/>
      <sz val="10"/>
    </font>
    <font>
      <name val="Arial"/>
      <charset val="204"/>
      <family val="2"/>
      <sz val="10"/>
    </font>
    <font>
      <name val="Arial"/>
      <charset val="204"/>
      <family val="2"/>
      <i val="1"/>
      <color rgb="FF000000"/>
      <sz val="10"/>
    </font>
    <font>
      <name val="Arial"/>
      <charset val="204"/>
      <family val="2"/>
      <color rgb="FFFFFFFF"/>
      <sz val="10"/>
    </font>
    <font>
      <name val="Arial"/>
      <charset val="204"/>
      <family val="2"/>
      <b val="1"/>
      <color rgb="FF000000"/>
      <sz val="16"/>
    </font>
    <font>
      <name val="Arial"/>
      <charset val="204"/>
      <family val="2"/>
      <color theme="1"/>
      <sz val="9"/>
    </font>
    <font>
      <name val="Arial"/>
      <charset val="204"/>
      <family val="2"/>
      <b val="1"/>
      <color theme="1"/>
      <sz val="9"/>
    </font>
    <font>
      <name val="Arial"/>
      <charset val="204"/>
      <family val="2"/>
      <color theme="1"/>
      <sz val="11"/>
    </font>
    <font>
      <name val="Arial"/>
      <charset val="204"/>
      <family val="2"/>
      <color theme="0"/>
      <sz val="11"/>
    </font>
    <font>
      <name val="Arial"/>
      <charset val="204"/>
      <family val="2"/>
      <color theme="0"/>
      <sz val="12"/>
    </font>
    <font>
      <name val="Arial"/>
      <charset val="204"/>
      <family val="2"/>
      <b val="1"/>
      <color theme="0"/>
      <sz val="10"/>
    </font>
    <font>
      <name val="Arial"/>
      <charset val="204"/>
      <family val="2"/>
      <color theme="0"/>
      <sz val="10"/>
    </font>
    <font>
      <name val="Arial"/>
      <charset val="204"/>
      <family val="2"/>
      <b val="1"/>
      <color indexed="9"/>
      <sz val="9"/>
    </font>
    <font>
      <name val="Arial"/>
      <charset val="204"/>
      <family val="2"/>
      <b val="1"/>
      <sz val="10"/>
    </font>
    <font>
      <name val="Arial"/>
      <charset val="204"/>
      <family val="2"/>
      <i val="1"/>
      <sz val="10"/>
    </font>
    <font>
      <name val="Arial"/>
      <charset val="204"/>
      <family val="2"/>
      <b val="1"/>
      <i val="1"/>
      <color indexed="9"/>
      <sz val="10"/>
    </font>
    <font>
      <name val="Arial"/>
      <charset val="204"/>
      <family val="2"/>
      <b val="1"/>
      <i val="1"/>
      <color indexed="9"/>
      <sz val="9"/>
    </font>
    <font>
      <name val="Arial"/>
      <charset val="204"/>
      <family val="2"/>
      <i val="1"/>
      <color theme="1"/>
      <sz val="9"/>
    </font>
    <font>
      <name val="Arial"/>
      <charset val="204"/>
      <family val="2"/>
      <i val="1"/>
      <sz val="9"/>
    </font>
    <font>
      <name val="Arial"/>
      <charset val="204"/>
      <family val="2"/>
      <b val="1"/>
      <color theme="1"/>
      <sz val="10"/>
    </font>
    <font>
      <name val="Calibri"/>
      <family val="2"/>
      <color theme="1"/>
      <sz val="10"/>
      <scheme val="minor"/>
    </font>
    <font>
      <name val="Arial"/>
      <charset val="204"/>
      <family val="2"/>
      <b val="1"/>
      <sz val="12"/>
    </font>
    <font>
      <name val="Calibri"/>
      <family val="2"/>
      <sz val="11"/>
      <scheme val="minor"/>
    </font>
    <font>
      <name val="Calibri"/>
      <charset val="204"/>
      <family val="2"/>
      <b val="1"/>
      <color theme="1"/>
      <sz val="11"/>
      <scheme val="minor"/>
    </font>
    <font>
      <name val="Arial"/>
      <charset val="204"/>
      <family val="2"/>
      <i val="1"/>
      <color theme="1"/>
      <sz val="10"/>
    </font>
    <font>
      <name val="Arial"/>
      <charset val="204"/>
      <family val="2"/>
      <color theme="2"/>
      <sz val="11"/>
    </font>
    <font>
      <name val="Arial"/>
      <charset val="204"/>
      <family val="2"/>
      <sz val="11"/>
    </font>
    <font>
      <name val="Arial"/>
      <charset val="204"/>
      <family val="2"/>
      <b val="1"/>
      <color theme="1"/>
      <sz val="11"/>
    </font>
    <font>
      <name val="Arial"/>
      <charset val="204"/>
      <family val="2"/>
      <color theme="2"/>
      <sz val="10"/>
    </font>
    <font>
      <name val="Arial"/>
      <charset val="204"/>
      <family val="2"/>
      <sz val="9"/>
    </font>
    <font>
      <name val="Arial"/>
      <charset val="204"/>
      <family val="2"/>
      <b val="1"/>
      <sz val="11"/>
    </font>
    <font>
      <name val="Arial"/>
      <charset val="204"/>
      <family val="2"/>
      <i val="1"/>
      <color rgb="FF00B050"/>
      <sz val="10"/>
    </font>
    <font>
      <name val="Arial"/>
      <charset val="204"/>
      <family val="2"/>
      <i val="1"/>
      <color theme="4" tint="-0.249977111117893"/>
      <sz val="10"/>
    </font>
    <font>
      <name val="Arial"/>
      <charset val="204"/>
      <family val="2"/>
      <i val="1"/>
      <sz val="12"/>
    </font>
    <font>
      <name val="Arial"/>
      <charset val="204"/>
      <family val="2"/>
      <b val="1"/>
      <sz val="9"/>
    </font>
    <font>
      <name val="Arial"/>
      <charset val="204"/>
      <family val="2"/>
      <i val="1"/>
      <color theme="4" tint="-0.249977111117893"/>
      <sz val="9"/>
    </font>
    <font>
      <name val="Arial"/>
      <charset val="204"/>
      <family val="2"/>
      <i val="1"/>
      <color rgb="FF00B050"/>
      <sz val="9"/>
    </font>
    <font>
      <name val="Arial"/>
      <charset val="204"/>
      <family val="2"/>
      <i val="1"/>
      <color rgb="FF0C5394"/>
      <sz val="10"/>
    </font>
    <font>
      <name val="Arial"/>
      <charset val="204"/>
      <family val="2"/>
      <color rgb="FF242424"/>
      <sz val="10"/>
    </font>
    <font>
      <name val="Arial"/>
      <charset val="204"/>
      <family val="2"/>
      <i val="1"/>
      <color theme="1"/>
      <sz val="12"/>
    </font>
    <font>
      <name val="Arial"/>
      <charset val="204"/>
      <family val="2"/>
      <color theme="1"/>
      <sz val="16"/>
    </font>
    <font>
      <name val="Arial"/>
      <charset val="204"/>
      <family val="2"/>
      <b val="1"/>
      <color theme="1"/>
      <sz val="16"/>
    </font>
    <font>
      <name val="Arial Narrow"/>
      <family val="2"/>
      <color theme="1"/>
      <sz val="10"/>
    </font>
    <font>
      <name val="Arial"/>
      <charset val="204"/>
      <family val="2"/>
      <i val="1"/>
      <color theme="4"/>
      <sz val="10"/>
    </font>
    <font>
      <name val="Tahoma"/>
      <charset val="204"/>
      <family val="2"/>
      <color indexed="81"/>
      <sz val="9"/>
    </font>
    <font>
      <name val="Arial"/>
      <family val="2"/>
      <b val="1"/>
      <color theme="1"/>
      <sz val="10"/>
    </font>
    <font>
      <name val="Arial"/>
      <family val="2"/>
      <i val="1"/>
      <color theme="1"/>
      <sz val="10"/>
    </font>
    <font>
      <name val="Arial"/>
      <family val="2"/>
      <b val="1"/>
      <i val="1"/>
      <color theme="1"/>
      <sz val="10"/>
    </font>
    <font>
      <name val="Arial"/>
      <charset val="204"/>
      <family val="2"/>
      <b val="1"/>
      <i val="1"/>
      <color theme="1"/>
      <sz val="10"/>
    </font>
    <font>
      <name val="Arial"/>
      <family val="2"/>
      <color theme="1"/>
      <sz val="10"/>
    </font>
    <font>
      <name val="Arial"/>
      <charset val="204"/>
      <family val="2"/>
      <b val="1"/>
      <color rgb="FF000000"/>
      <sz val="18"/>
    </font>
    <font>
      <name val="Arial"/>
      <charset val="204"/>
      <family val="2"/>
      <b val="1"/>
      <color rgb="FFFF0000"/>
      <sz val="12"/>
    </font>
    <font>
      <name val="Arial"/>
      <charset val="204"/>
      <family val="2"/>
      <color rgb="FFFF0000"/>
      <sz val="10"/>
    </font>
  </fonts>
  <fills count="22">
    <fill>
      <patternFill/>
    </fill>
    <fill>
      <patternFill patternType="gray125"/>
    </fill>
    <fill>
      <patternFill patternType="solid">
        <fgColor theme="7" tint="0.7999816888943144"/>
        <bgColor indexed="64"/>
      </patternFill>
    </fill>
    <fill>
      <patternFill patternType="solid">
        <fgColor theme="2"/>
        <bgColor indexed="64"/>
      </patternFill>
    </fill>
    <fill>
      <patternFill patternType="solid">
        <fgColor rgb="FF2E4986"/>
        <bgColor indexed="64"/>
      </patternFill>
    </fill>
    <fill>
      <patternFill patternType="solid">
        <fgColor rgb="FF2E4986"/>
        <bgColor rgb="FF000000"/>
      </patternFill>
    </fill>
    <fill>
      <patternFill patternType="solid">
        <fgColor theme="4"/>
        <bgColor rgb="FF000000"/>
      </patternFill>
    </fill>
    <fill>
      <patternFill patternType="solid">
        <fgColor theme="4"/>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rgb="FF0F6FC6"/>
        <bgColor indexed="64"/>
      </patternFill>
    </fill>
    <fill>
      <patternFill patternType="solid">
        <fgColor theme="0" tint="-0.0499893185216834"/>
        <bgColor indexed="64"/>
      </patternFill>
    </fill>
    <fill>
      <patternFill patternType="solid">
        <fgColor rgb="FF0F6FC6"/>
        <bgColor rgb="FF000000"/>
      </patternFill>
    </fill>
    <fill>
      <patternFill patternType="solid">
        <fgColor theme="0"/>
        <bgColor indexed="64"/>
      </patternFill>
    </fill>
    <fill>
      <patternFill patternType="solid">
        <fgColor rgb="FFDBEFF9"/>
        <bgColor indexed="64"/>
      </patternFill>
    </fill>
    <fill>
      <patternFill patternType="solid">
        <fgColor theme="4" tint="0.7999816888943144"/>
        <bgColor indexed="64"/>
      </patternFill>
    </fill>
    <fill>
      <patternFill patternType="solid">
        <fgColor theme="0" tint="-0.3499862666707358"/>
        <bgColor indexed="64"/>
      </patternFill>
    </fill>
    <fill>
      <patternFill patternType="solid">
        <fgColor theme="0" tint="-0.1499984740745262"/>
        <bgColor indexed="64"/>
      </patternFill>
    </fill>
    <fill>
      <patternFill patternType="solid">
        <fgColor rgb="FFEDF2DB"/>
        <bgColor indexed="64"/>
      </patternFill>
    </fill>
    <fill>
      <patternFill patternType="solid">
        <fgColor rgb="FFCAFBED"/>
        <bgColor indexed="64"/>
      </patternFill>
    </fill>
    <fill>
      <patternFill patternType="solid">
        <fgColor theme="4" tint="0.7999816888943144"/>
        <bgColor rgb="FF000000"/>
      </patternFill>
    </fill>
  </fills>
  <borders count="6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984740745262"/>
      </left>
      <right style="thin">
        <color theme="0" tint="-0.1499984740745262"/>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tint="-0.1499984740745262"/>
      </left>
      <right/>
      <top style="thin">
        <color theme="0" tint="-0.1499984740745262"/>
      </top>
      <bottom style="thin">
        <color theme="0" tint="-0.1499984740745262"/>
      </bottom>
      <diagonal/>
    </border>
    <border>
      <left style="thin">
        <color theme="0" tint="-0.1499984740745262"/>
      </left>
      <right style="thin">
        <color theme="0" tint="-0.1499984740745262"/>
      </right>
      <top/>
      <bottom style="thin">
        <color theme="0" tint="-0.1499984740745262"/>
      </bottom>
      <diagonal/>
    </border>
    <border>
      <left/>
      <right style="thin">
        <color theme="0" tint="-0.1499984740745262"/>
      </right>
      <top/>
      <bottom style="thin">
        <color theme="0" tint="-0.1499984740745262"/>
      </bottom>
      <diagonal/>
    </border>
    <border>
      <left style="thin">
        <color theme="0" tint="-0.1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0" tint="-0.1499984740745262"/>
      </right>
      <top style="thin">
        <color theme="1" tint="0.499984740745262"/>
      </top>
      <bottom style="thin">
        <color theme="1" tint="0.499984740745262"/>
      </bottom>
      <diagonal/>
    </border>
    <border>
      <left/>
      <right style="thin">
        <color theme="0" tint="-0.1499984740745262"/>
      </right>
      <top style="thin">
        <color theme="0" tint="-0.1499984740745262"/>
      </top>
      <bottom style="thin">
        <color theme="0" tint="-0.1499984740745262"/>
      </bottom>
      <diagonal/>
    </border>
    <border>
      <left/>
      <right/>
      <top/>
      <bottom style="thin">
        <color theme="0" tint="-0.1499984740745262"/>
      </bottom>
      <diagonal/>
    </border>
    <border>
      <left/>
      <right/>
      <top style="thin">
        <color theme="0" tint="-0.1499984740745262"/>
      </top>
      <bottom style="thin">
        <color theme="0" tint="-0.1499984740745262"/>
      </bottom>
      <diagonal/>
    </border>
    <border>
      <left style="thin">
        <color indexed="64"/>
      </left>
      <right style="thin">
        <color indexed="64"/>
      </right>
      <top style="thin">
        <color indexed="64"/>
      </top>
      <bottom style="thin">
        <color indexed="64"/>
      </bottom>
      <diagonal/>
    </border>
    <border>
      <left style="thin">
        <color theme="0"/>
      </left>
      <right/>
      <top/>
      <bottom/>
      <diagonal/>
    </border>
    <border>
      <left/>
      <right/>
      <top/>
      <bottom style="thin">
        <color theme="2" tint="-0.09997863704336681"/>
      </bottom>
      <diagonal/>
    </border>
    <border>
      <left/>
      <right style="thin">
        <color theme="0" tint="-0.1499984740745262"/>
      </right>
      <top style="thin">
        <color theme="2" tint="-0.09997863704336681"/>
      </top>
      <bottom/>
      <diagonal/>
    </border>
    <border>
      <left style="thin">
        <color theme="0" tint="-0.1499984740745262"/>
      </left>
      <right style="thin">
        <color theme="0" tint="-0.1499984740745262"/>
      </right>
      <top style="thin">
        <color theme="2" tint="-0.09997863704336681"/>
      </top>
      <bottom/>
      <diagonal/>
    </border>
    <border>
      <left style="thin">
        <color theme="0" tint="-0.1499984740745262"/>
      </left>
      <right style="thin">
        <color theme="0"/>
      </right>
      <top style="thin">
        <color theme="2" tint="-0.09997863704336681"/>
      </top>
      <bottom/>
      <diagonal/>
    </border>
    <border>
      <left style="thin">
        <color theme="0"/>
      </left>
      <right style="thin">
        <color theme="0"/>
      </right>
      <top style="thin">
        <color theme="2" tint="-0.09997863704336681"/>
      </top>
      <bottom/>
      <diagonal/>
    </border>
    <border>
      <left/>
      <right/>
      <top style="thin">
        <color theme="2" tint="-0.09997863704336681"/>
      </top>
      <bottom/>
      <diagonal/>
    </border>
    <border>
      <left style="thin">
        <color theme="0"/>
      </left>
      <right/>
      <top style="thin">
        <color theme="2" tint="-0.09997863704336681"/>
      </top>
      <bottom style="thin">
        <color theme="0" tint="-0.1499984740745262"/>
      </bottom>
      <diagonal/>
    </border>
    <border>
      <left/>
      <right/>
      <top style="thin">
        <color theme="2" tint="-0.09997863704336681"/>
      </top>
      <bottom style="thin">
        <color theme="0" tint="-0.1499984740745262"/>
      </bottom>
      <diagonal/>
    </border>
    <border>
      <left style="thin">
        <color theme="0" tint="-0.1499984740745262"/>
      </left>
      <right style="thin">
        <color theme="0" tint="-0.1499984740745262"/>
      </right>
      <top/>
      <bottom/>
      <diagonal/>
    </border>
    <border>
      <left style="thin">
        <color theme="0"/>
      </left>
      <right style="thin">
        <color theme="0" tint="-0.1499984740745262"/>
      </right>
      <top style="thin">
        <color theme="0"/>
      </top>
      <bottom style="thin">
        <color theme="0"/>
      </bottom>
      <diagonal/>
    </border>
    <border>
      <left style="thin">
        <color theme="0" tint="-0.1499984740745262"/>
      </left>
      <right style="thin">
        <color theme="0" tint="-0.1499984740745262"/>
      </right>
      <top style="thin">
        <color theme="0"/>
      </top>
      <bottom style="thin">
        <color theme="0"/>
      </bottom>
      <diagonal/>
    </border>
    <border>
      <left style="thin">
        <color theme="0" tint="-0.1499984740745262"/>
      </left>
      <right style="thin">
        <color theme="0"/>
      </right>
      <top style="thin">
        <color theme="0"/>
      </top>
      <bottom style="thin">
        <color theme="0"/>
      </bottom>
      <diagonal/>
    </border>
    <border>
      <left style="thin">
        <color theme="2" tint="-0.09997863704336681"/>
      </left>
      <right/>
      <top style="thin">
        <color theme="0"/>
      </top>
      <bottom style="thin">
        <color theme="0" tint="-0.1499984740745262"/>
      </bottom>
      <diagonal/>
    </border>
    <border>
      <left style="thin">
        <color theme="2" tint="-0.09997863704336681"/>
      </left>
      <right style="thin">
        <color theme="0" tint="-0.1499984740745262"/>
      </right>
      <top/>
      <bottom style="thin">
        <color theme="0" tint="-0.1499984740745262"/>
      </bottom>
      <diagonal/>
    </border>
    <border>
      <left style="thin">
        <color theme="2" tint="-0.09997863704336681"/>
      </left>
      <right style="thin">
        <color theme="0" tint="-0.1499984740745262"/>
      </right>
      <top style="thin">
        <color theme="0" tint="-0.1499984740745262"/>
      </top>
      <bottom style="thin">
        <color theme="0" tint="-0.1499984740745262"/>
      </bottom>
      <diagonal/>
    </border>
    <border>
      <left style="thin">
        <color theme="2" tint="-0.09997863704336681"/>
      </left>
      <right style="thin">
        <color theme="0" tint="-0.1499984740745262"/>
      </right>
      <top style="thin">
        <color theme="0" tint="-0.1499984740745262"/>
      </top>
      <bottom style="thin">
        <color theme="2" tint="-0.09997863704336681"/>
      </bottom>
      <diagonal/>
    </border>
    <border>
      <left style="thin">
        <color theme="0" tint="-0.1499984740745262"/>
      </left>
      <right style="thin">
        <color theme="0" tint="-0.1499984740745262"/>
      </right>
      <top style="thin">
        <color theme="0" tint="-0.1499984740745262"/>
      </top>
      <bottom style="thin">
        <color theme="2" tint="-0.09997863704336681"/>
      </bottom>
      <diagonal/>
    </border>
    <border>
      <left/>
      <right style="thin">
        <color theme="0" tint="-0.1499984740745262"/>
      </right>
      <top style="thin">
        <color theme="0" tint="-0.1499984740745262"/>
      </top>
      <bottom/>
      <diagonal/>
    </border>
    <border>
      <left style="thin">
        <color theme="0" tint="-0.1499984740745262"/>
      </left>
      <right/>
      <top/>
      <bottom style="thin">
        <color theme="0" tint="-0.1499984740745262"/>
      </bottom>
      <diagonal/>
    </border>
    <border>
      <left style="thin">
        <color theme="2" tint="-0.09997863704336681"/>
      </left>
      <right/>
      <top/>
      <bottom style="thin">
        <color theme="0" tint="-0.1499984740745262"/>
      </bottom>
      <diagonal/>
    </border>
    <border>
      <left/>
      <right/>
      <top/>
      <bottom style="thin">
        <color theme="0"/>
      </bottom>
      <diagonal/>
    </border>
    <border>
      <left/>
      <right style="thin">
        <color theme="0" tint="-0.1499984740745262"/>
      </right>
      <top/>
      <bottom/>
      <diagonal/>
    </border>
    <border>
      <left style="thin">
        <color theme="0"/>
      </left>
      <right style="thin">
        <color theme="0" tint="-0.1499984740745262"/>
      </right>
      <top style="thin">
        <color theme="0"/>
      </top>
      <bottom/>
      <diagonal/>
    </border>
    <border>
      <left style="thin">
        <color theme="0" tint="-0.1499984740745262"/>
      </left>
      <right/>
      <top style="thin">
        <color theme="0" tint="-0.1499984740745262"/>
      </top>
      <bottom/>
      <diagonal/>
    </border>
    <border>
      <left/>
      <right/>
      <top style="thin">
        <color theme="0" tint="-0.1499984740745262"/>
      </top>
      <bottom/>
      <diagonal/>
    </border>
    <border>
      <left/>
      <right style="thin">
        <color theme="0"/>
      </right>
      <top style="thin">
        <color theme="0" tint="-0.1499984740745262"/>
      </top>
      <bottom/>
      <diagonal/>
    </border>
    <border>
      <left style="thin">
        <color theme="0"/>
      </left>
      <right style="thin">
        <color theme="0"/>
      </right>
      <top/>
      <bottom style="thin">
        <color theme="0" tint="-0.1499984740745262"/>
      </bottom>
      <diagonal/>
    </border>
    <border>
      <left style="thin">
        <color theme="0"/>
      </left>
      <right style="thin">
        <color theme="0" tint="-0.1499984740745262"/>
      </right>
      <top/>
      <bottom style="thin">
        <color theme="0" tint="-0.1499984740745262"/>
      </bottom>
      <diagonal/>
    </border>
    <border>
      <left style="thin">
        <color theme="0" tint="-0.1499984740745262"/>
      </left>
      <right/>
      <top/>
      <bottom/>
      <diagonal/>
    </border>
    <border>
      <left/>
      <right style="thin">
        <color theme="0"/>
      </right>
      <top/>
      <bottom/>
      <diagonal/>
    </border>
    <border>
      <left/>
      <right style="thin">
        <color theme="0"/>
      </right>
      <top/>
      <bottom style="thin">
        <color theme="0" tint="-0.1499984740745262"/>
      </bottom>
      <diagonal/>
    </border>
    <border>
      <left style="thin">
        <color rgb="FFD9D9D9"/>
      </left>
      <right style="thin">
        <color rgb="FFD9D9D9"/>
      </right>
      <top style="thin">
        <color rgb="FFD9D9D9"/>
      </top>
      <bottom style="thin">
        <color rgb="FFD9D9D9"/>
      </bottom>
      <diagonal/>
    </border>
    <border>
      <left/>
      <right/>
      <top style="thin">
        <color theme="0"/>
      </top>
      <bottom style="thin">
        <color theme="0"/>
      </bottom>
      <diagonal/>
    </border>
    <border>
      <left style="thin">
        <color theme="0"/>
      </left>
      <right/>
      <top/>
      <bottom style="thin">
        <color theme="0" tint="-0.1499984740745262"/>
      </bottom>
      <diagonal/>
    </border>
    <border>
      <left style="thin">
        <color theme="0"/>
      </left>
      <right style="thin">
        <color theme="0" tint="-0.1499984740745262"/>
      </right>
      <top style="thin">
        <color theme="0" tint="-0.1499984740745262"/>
      </top>
      <bottom/>
      <diagonal/>
    </border>
    <border>
      <left/>
      <right/>
      <top style="thin">
        <color theme="0"/>
      </top>
      <bottom style="thin">
        <color theme="0" tint="-0.1499984740745262"/>
      </bottom>
      <diagonal/>
    </border>
    <border>
      <left style="thin">
        <color theme="0" tint="-0.1499984740745262"/>
      </left>
      <right style="thin">
        <color theme="0"/>
      </right>
      <top/>
      <bottom/>
      <diagonal/>
    </border>
    <border>
      <left style="thin">
        <color theme="0"/>
      </left>
      <right style="thin">
        <color theme="0"/>
      </right>
      <top style="thin">
        <color theme="0"/>
      </top>
      <bottom style="thin">
        <color theme="0" tint="-0.1499984740745262"/>
      </bottom>
      <diagonal/>
    </border>
    <border>
      <left style="thin">
        <color theme="0"/>
      </left>
      <right style="thin">
        <color theme="0" tint="-0.1499984740745262"/>
      </right>
      <top style="thin">
        <color theme="0"/>
      </top>
      <bottom style="thin">
        <color theme="0" tint="-0.1499984740745262"/>
      </bottom>
      <diagonal/>
    </border>
    <border>
      <left style="thin">
        <color theme="0"/>
      </left>
      <right style="thin">
        <color theme="0" tint="-0.1499984740745262"/>
      </right>
      <top/>
      <bottom/>
      <diagonal/>
    </border>
    <border>
      <left style="thin">
        <color theme="0" tint="-0.1499984740745262"/>
      </left>
      <right style="thin">
        <color theme="0"/>
      </right>
      <top style="thin">
        <color theme="0" tint="-0.1499984740745262"/>
      </top>
      <bottom/>
      <diagonal/>
    </border>
    <border>
      <left style="thin">
        <color theme="0"/>
      </left>
      <right style="thin">
        <color theme="0" tint="-0.1499984740745262"/>
      </right>
      <top style="thin">
        <color theme="0" tint="-0.1499984740745262"/>
      </top>
      <bottom style="thin">
        <color theme="0" tint="-0.1499984740745262"/>
      </bottom>
      <diagonal/>
    </border>
  </borders>
  <cellStyleXfs count="11">
    <xf numFmtId="0" fontId="1" fillId="0" borderId="0"/>
    <xf numFmtId="43" fontId="1" fillId="0" borderId="0"/>
    <xf numFmtId="9" fontId="1" fillId="0" borderId="0"/>
    <xf numFmtId="0" fontId="1" fillId="0" borderId="0"/>
    <xf numFmtId="0" fontId="12" fillId="0" borderId="0"/>
    <xf numFmtId="0" fontId="12" fillId="0" borderId="0"/>
    <xf numFmtId="172" fontId="12" fillId="0" borderId="0"/>
    <xf numFmtId="43" fontId="1" fillId="0" borderId="0"/>
    <xf numFmtId="9" fontId="1" fillId="0" borderId="0"/>
    <xf numFmtId="172" fontId="12" fillId="0" borderId="0"/>
    <xf numFmtId="0" fontId="60" fillId="0" borderId="0"/>
  </cellStyleXfs>
  <cellXfs count="925">
    <xf numFmtId="0" fontId="0" fillId="0" borderId="0" pivotButton="0" quotePrefix="0" xfId="0"/>
    <xf numFmtId="0" fontId="2" fillId="0" borderId="1" applyAlignment="1" pivotButton="0" quotePrefix="0" xfId="0">
      <alignment horizontal="left"/>
    </xf>
    <xf numFmtId="0" fontId="2" fillId="0" borderId="1" pivotButton="0" quotePrefix="0" xfId="0"/>
    <xf numFmtId="0" fontId="3" fillId="0" borderId="2" pivotButton="0" quotePrefix="0" xfId="0"/>
    <xf numFmtId="164" fontId="4" fillId="0" borderId="0" applyAlignment="1" pivotButton="0" quotePrefix="0" xfId="1">
      <alignment horizontal="left" vertical="center"/>
    </xf>
    <xf numFmtId="0" fontId="3" fillId="0" borderId="0" pivotButton="0" quotePrefix="0" xfId="0"/>
    <xf numFmtId="165" fontId="3" fillId="0" borderId="0" applyAlignment="1" pivotButton="0" quotePrefix="0" xfId="1">
      <alignment horizontal="center"/>
    </xf>
    <xf numFmtId="165" fontId="5" fillId="0" borderId="3" applyAlignment="1" pivotButton="0" quotePrefix="0" xfId="1">
      <alignment horizontal="center"/>
    </xf>
    <xf numFmtId="164" fontId="4" fillId="0" borderId="0" applyAlignment="1" pivotButton="0" quotePrefix="0" xfId="1">
      <alignment horizontal="left" vertical="center" indent="2"/>
    </xf>
    <xf numFmtId="0" fontId="5" fillId="0" borderId="1" pivotButton="0" quotePrefix="0" xfId="0"/>
    <xf numFmtId="0" fontId="2" fillId="0" borderId="4" applyAlignment="1" pivotButton="0" quotePrefix="0" xfId="0">
      <alignment horizontal="left"/>
    </xf>
    <xf numFmtId="0" fontId="6" fillId="0" borderId="4" applyAlignment="1" pivotButton="0" quotePrefix="0" xfId="0">
      <alignment vertical="top" wrapText="1"/>
    </xf>
    <xf numFmtId="0" fontId="3" fillId="0" borderId="5" pivotButton="0" quotePrefix="0" xfId="0"/>
    <xf numFmtId="165" fontId="3" fillId="0" borderId="6" applyAlignment="1" pivotButton="0" quotePrefix="0" xfId="1">
      <alignment horizontal="center"/>
    </xf>
    <xf numFmtId="165" fontId="3" fillId="0" borderId="5" applyAlignment="1" pivotButton="0" quotePrefix="0" xfId="1">
      <alignment horizontal="center"/>
    </xf>
    <xf numFmtId="0" fontId="2" fillId="0" borderId="5" applyAlignment="1" pivotButton="0" quotePrefix="0" xfId="0">
      <alignment horizontal="left"/>
    </xf>
    <xf numFmtId="0" fontId="6" fillId="0" borderId="7" applyAlignment="1" pivotButton="0" quotePrefix="0" xfId="0">
      <alignment vertical="top" wrapText="1"/>
    </xf>
    <xf numFmtId="0" fontId="3" fillId="0" borderId="2" applyAlignment="1" pivotButton="0" quotePrefix="0" xfId="0">
      <alignment horizontal="left"/>
    </xf>
    <xf numFmtId="0" fontId="7" fillId="0" borderId="8" applyAlignment="1" pivotButton="0" quotePrefix="0" xfId="0">
      <alignment horizontal="center" vertical="center" wrapText="1"/>
    </xf>
    <xf numFmtId="0" fontId="8" fillId="2" borderId="8" applyAlignment="1" pivotButton="0" quotePrefix="0" xfId="3">
      <alignment horizontal="center" vertical="top" wrapText="1"/>
    </xf>
    <xf numFmtId="0" fontId="8" fillId="2" borderId="9" applyAlignment="1" pivotButton="0" quotePrefix="0" xfId="3">
      <alignment horizontal="center" vertical="top" wrapText="1"/>
    </xf>
    <xf numFmtId="0" fontId="5" fillId="0" borderId="7" pivotButton="0" quotePrefix="0" xfId="0"/>
    <xf numFmtId="165" fontId="5" fillId="0" borderId="0" applyAlignment="1" pivotButton="0" quotePrefix="0" xfId="1">
      <alignment horizontal="center"/>
    </xf>
    <xf numFmtId="0" fontId="5" fillId="0" borderId="10" pivotButton="0" quotePrefix="0" xfId="0"/>
    <xf numFmtId="0" fontId="5" fillId="0" borderId="4" pivotButton="0" quotePrefix="0" xfId="0"/>
    <xf numFmtId="0" fontId="5" fillId="0" borderId="5" pivotButton="0" quotePrefix="0" xfId="0"/>
    <xf numFmtId="0" fontId="5" fillId="0" borderId="5" pivotButton="0" quotePrefix="1" xfId="0"/>
    <xf numFmtId="165" fontId="5" fillId="0" borderId="11" applyAlignment="1" pivotButton="0" quotePrefix="1" xfId="1">
      <alignment horizontal="center"/>
    </xf>
    <xf numFmtId="165" fontId="5" fillId="0" borderId="1" applyAlignment="1" pivotButton="0" quotePrefix="0" xfId="1">
      <alignment horizontal="center"/>
    </xf>
    <xf numFmtId="0" fontId="3" fillId="0" borderId="0" applyAlignment="1" pivotButton="0" quotePrefix="0" xfId="0">
      <alignment horizontal="left"/>
    </xf>
    <xf numFmtId="0" fontId="5" fillId="0" borderId="0" pivotButton="0" quotePrefix="0" xfId="0"/>
    <xf numFmtId="0" fontId="5" fillId="0" borderId="0" pivotButton="0" quotePrefix="1" xfId="0"/>
    <xf numFmtId="165" fontId="5" fillId="0" borderId="0" applyAlignment="1" pivotButton="0" quotePrefix="1" xfId="1">
      <alignment horizontal="center"/>
    </xf>
    <xf numFmtId="165" fontId="5" fillId="0" borderId="0" applyAlignment="1" pivotButton="0" quotePrefix="0" xfId="1">
      <alignment horizontal="center"/>
    </xf>
    <xf numFmtId="0" fontId="9" fillId="0" borderId="0" applyAlignment="1" pivotButton="0" quotePrefix="0" xfId="0">
      <alignment horizontal="left"/>
    </xf>
    <xf numFmtId="0" fontId="10" fillId="0" borderId="0" pivotButton="0" quotePrefix="0" xfId="0"/>
    <xf numFmtId="165" fontId="10" fillId="0" borderId="0" applyAlignment="1" pivotButton="0" quotePrefix="0" xfId="1">
      <alignment horizontal="center"/>
    </xf>
    <xf numFmtId="165" fontId="10" fillId="0" borderId="1" applyAlignment="1" pivotButton="0" quotePrefix="0" xfId="1">
      <alignment horizontal="center"/>
    </xf>
    <xf numFmtId="0" fontId="10" fillId="0" borderId="3" pivotButton="0" quotePrefix="0" xfId="0"/>
    <xf numFmtId="0" fontId="10" fillId="0" borderId="1" pivotButton="0" quotePrefix="0" xfId="0"/>
    <xf numFmtId="165" fontId="15" fillId="6" borderId="8" applyAlignment="1" pivotButton="0" quotePrefix="0" xfId="1">
      <alignment horizontal="center" vertical="top" wrapText="1"/>
    </xf>
    <xf numFmtId="9" fontId="15" fillId="6" borderId="8" applyAlignment="1" pivotButton="0" quotePrefix="0" xfId="2">
      <alignment horizontal="center" vertical="top" wrapText="1"/>
    </xf>
    <xf numFmtId="164" fontId="16" fillId="4" borderId="13" applyAlignment="1" pivotButton="0" quotePrefix="0" xfId="4">
      <alignment horizontal="center" vertical="center" wrapText="1"/>
    </xf>
    <xf numFmtId="164" fontId="16" fillId="4" borderId="8" applyAlignment="1" pivotButton="0" quotePrefix="0" xfId="4">
      <alignment horizontal="center" vertical="center" wrapText="1"/>
    </xf>
    <xf numFmtId="0" fontId="17" fillId="5" borderId="8" applyAlignment="1" pivotButton="0" quotePrefix="0" xfId="0">
      <alignment horizontal="left" vertical="top"/>
    </xf>
    <xf numFmtId="0" fontId="17" fillId="5" borderId="8" applyAlignment="1" pivotButton="0" quotePrefix="0" xfId="0">
      <alignment horizontal="left" vertical="top" indent="1"/>
    </xf>
    <xf numFmtId="0" fontId="17" fillId="5" borderId="8" applyAlignment="1" pivotButton="0" quotePrefix="0" xfId="0">
      <alignment horizontal="center"/>
    </xf>
    <xf numFmtId="4" fontId="18" fillId="4" borderId="14" applyAlignment="1" pivotButton="0" quotePrefix="0" xfId="1">
      <alignment vertical="center" wrapText="1"/>
    </xf>
    <xf numFmtId="4" fontId="16" fillId="4" borderId="14" applyAlignment="1" pivotButton="0" quotePrefix="0" xfId="1">
      <alignment horizontal="right" vertical="center" wrapText="1"/>
    </xf>
    <xf numFmtId="9" fontId="16" fillId="4" borderId="14" applyAlignment="1" pivotButton="0" quotePrefix="0" xfId="2">
      <alignment horizontal="center" vertical="center" wrapText="1"/>
    </xf>
    <xf numFmtId="164" fontId="16" fillId="4" borderId="13" applyAlignment="1" pivotButton="0" quotePrefix="0" xfId="5">
      <alignment vertical="center" wrapText="1"/>
    </xf>
    <xf numFmtId="164" fontId="16" fillId="4" borderId="14" applyAlignment="1" pivotButton="0" quotePrefix="0" xfId="5">
      <alignment horizontal="left" vertical="center" wrapText="1" indent="2"/>
    </xf>
    <xf numFmtId="0" fontId="3" fillId="8" borderId="8" applyAlignment="1" pivotButton="0" quotePrefix="0" xfId="0">
      <alignment horizontal="left" vertical="top" wrapText="1"/>
    </xf>
    <xf numFmtId="0" fontId="3" fillId="8" borderId="8" applyAlignment="1" pivotButton="0" quotePrefix="0" xfId="0">
      <alignment horizontal="left" vertical="top" wrapText="1" indent="3"/>
    </xf>
    <xf numFmtId="0" fontId="3" fillId="8" borderId="8" applyAlignment="1" pivotButton="0" quotePrefix="0" xfId="0">
      <alignment horizontal="center" wrapText="1"/>
    </xf>
    <xf numFmtId="4" fontId="3" fillId="8" borderId="8" applyAlignment="1" pivotButton="0" quotePrefix="0" xfId="1">
      <alignment vertical="center" wrapText="1"/>
    </xf>
    <xf numFmtId="4" fontId="3" fillId="8" borderId="8" applyAlignment="1" pivotButton="0" quotePrefix="0" xfId="1">
      <alignment horizontal="right" vertical="center" wrapText="1"/>
    </xf>
    <xf numFmtId="9" fontId="3" fillId="8" borderId="8" applyAlignment="1" pivotButton="0" quotePrefix="0" xfId="2">
      <alignment horizontal="center" vertical="center" wrapText="1"/>
    </xf>
    <xf numFmtId="0" fontId="3" fillId="0" borderId="8" applyAlignment="1" pivotButton="0" quotePrefix="0" xfId="0">
      <alignment horizontal="left" vertical="top" wrapText="1"/>
    </xf>
    <xf numFmtId="0" fontId="3" fillId="0" borderId="8" applyAlignment="1" pivotButton="0" quotePrefix="0" xfId="0">
      <alignment horizontal="left" vertical="top" wrapText="1" indent="4"/>
    </xf>
    <xf numFmtId="0" fontId="3" fillId="0" borderId="8" applyAlignment="1" pivotButton="0" quotePrefix="0" xfId="0">
      <alignment horizontal="center" wrapText="1"/>
    </xf>
    <xf numFmtId="1" fontId="19" fillId="9" borderId="8" applyAlignment="1" applyProtection="1" pivotButton="0" quotePrefix="0" xfId="1">
      <alignment horizontal="right" vertical="center"/>
      <protection locked="0" hidden="0"/>
    </xf>
    <xf numFmtId="4" fontId="3" fillId="0" borderId="8" applyAlignment="1" pivotButton="0" quotePrefix="0" xfId="0">
      <alignment horizontal="right" vertical="top" wrapText="1"/>
    </xf>
    <xf numFmtId="9" fontId="3" fillId="0" borderId="8" applyAlignment="1" pivotButton="0" quotePrefix="0" xfId="2">
      <alignment horizontal="center" vertical="top" wrapText="1"/>
    </xf>
    <xf numFmtId="164" fontId="16" fillId="4" borderId="14" applyAlignment="1" pivotButton="0" quotePrefix="0" xfId="5">
      <alignment horizontal="center" wrapText="1"/>
    </xf>
    <xf numFmtId="4" fontId="16" fillId="4" borderId="14" applyAlignment="1" pivotButton="0" quotePrefix="0" xfId="1">
      <alignment vertical="center" wrapText="1"/>
    </xf>
    <xf numFmtId="164" fontId="16" fillId="4" borderId="14" applyAlignment="1" pivotButton="0" quotePrefix="0" xfId="5">
      <alignment horizontal="left" vertical="center" wrapText="1"/>
    </xf>
    <xf numFmtId="164" fontId="16" fillId="4" borderId="14" applyAlignment="1" pivotButton="0" quotePrefix="0" xfId="5">
      <alignment horizontal="left" vertical="center" wrapText="1" indent="1"/>
    </xf>
    <xf numFmtId="0" fontId="3" fillId="8" borderId="8" applyAlignment="1" pivotButton="0" quotePrefix="0" xfId="0">
      <alignment horizontal="left" vertical="top" wrapText="1" indent="2"/>
    </xf>
    <xf numFmtId="0" fontId="3" fillId="0" borderId="8" applyAlignment="1" pivotButton="0" quotePrefix="0" xfId="0">
      <alignment horizontal="left" vertical="top" wrapText="1" indent="3"/>
    </xf>
    <xf numFmtId="164" fontId="5" fillId="0" borderId="15" applyAlignment="1" pivotButton="0" quotePrefix="0" xfId="6">
      <alignment vertical="center" wrapText="1"/>
    </xf>
    <xf numFmtId="164" fontId="5" fillId="0" borderId="16" applyAlignment="1" pivotButton="0" quotePrefix="0" xfId="6">
      <alignment vertical="center" wrapText="1"/>
    </xf>
    <xf numFmtId="4" fontId="5" fillId="0" borderId="16" applyAlignment="1" pivotButton="0" quotePrefix="0" xfId="1">
      <alignment vertical="center" wrapText="1"/>
    </xf>
    <xf numFmtId="4" fontId="5" fillId="0" borderId="17" applyAlignment="1" pivotButton="0" quotePrefix="0" xfId="1">
      <alignment vertical="center" wrapText="1"/>
    </xf>
    <xf numFmtId="4" fontId="5" fillId="0" borderId="17" applyAlignment="1" pivotButton="0" quotePrefix="0" xfId="1">
      <alignment horizontal="right" vertical="center" wrapText="1"/>
    </xf>
    <xf numFmtId="164" fontId="5" fillId="0" borderId="17" applyAlignment="1" pivotButton="0" quotePrefix="0" xfId="1">
      <alignment horizontal="center" vertical="center" wrapText="1"/>
    </xf>
    <xf numFmtId="164" fontId="16" fillId="4" borderId="13" applyAlignment="1" pivotButton="0" quotePrefix="0" xfId="5">
      <alignment horizontal="left" vertical="center" wrapText="1"/>
    </xf>
    <xf numFmtId="164" fontId="16" fillId="4" borderId="14" applyAlignment="1" pivotButton="0" quotePrefix="0" xfId="5">
      <alignment horizontal="center" vertical="center" wrapText="1"/>
    </xf>
    <xf numFmtId="0" fontId="3" fillId="8" borderId="8" applyAlignment="1" pivotButton="0" quotePrefix="0" xfId="0">
      <alignment horizontal="center" vertical="center" wrapText="1"/>
    </xf>
    <xf numFmtId="0" fontId="3" fillId="0" borderId="8" applyAlignment="1" pivotButton="0" quotePrefix="0" xfId="0">
      <alignment horizontal="center" vertical="center" wrapText="1"/>
    </xf>
    <xf numFmtId="0" fontId="17" fillId="5" borderId="8" applyAlignment="1" pivotButton="0" quotePrefix="0" xfId="0">
      <alignment horizontal="left" vertical="center"/>
    </xf>
    <xf numFmtId="0" fontId="17" fillId="5" borderId="8" applyAlignment="1" pivotButton="0" quotePrefix="0" xfId="0">
      <alignment horizontal="center" vertical="center"/>
    </xf>
    <xf numFmtId="4" fontId="21" fillId="5" borderId="8" applyAlignment="1" pivotButton="0" quotePrefix="0" xfId="1">
      <alignment vertical="center"/>
    </xf>
    <xf numFmtId="4" fontId="21" fillId="5" borderId="8" applyAlignment="1" pivotButton="0" quotePrefix="0" xfId="1">
      <alignment horizontal="right" vertical="center"/>
    </xf>
    <xf numFmtId="9" fontId="21" fillId="5" borderId="8" applyAlignment="1" pivotButton="0" quotePrefix="0" xfId="2">
      <alignment horizontal="center" vertical="center"/>
    </xf>
    <xf numFmtId="0" fontId="17" fillId="5" borderId="18" applyAlignment="1" pivotButton="0" quotePrefix="0" xfId="0">
      <alignment horizontal="left" vertical="center" indent="1"/>
    </xf>
    <xf numFmtId="0" fontId="17" fillId="5" borderId="18" applyAlignment="1" pivotButton="0" quotePrefix="0" xfId="0">
      <alignment horizontal="center" vertical="center"/>
    </xf>
    <xf numFmtId="4" fontId="17" fillId="5" borderId="18" applyAlignment="1" pivotButton="0" quotePrefix="0" xfId="1">
      <alignment vertical="center"/>
    </xf>
    <xf numFmtId="4" fontId="17" fillId="5" borderId="18" applyAlignment="1" pivotButton="0" quotePrefix="0" xfId="1">
      <alignment horizontal="right" vertical="center"/>
    </xf>
    <xf numFmtId="9" fontId="17" fillId="5" borderId="18" applyAlignment="1" pivotButton="0" quotePrefix="0" xfId="2">
      <alignment horizontal="center" vertical="center"/>
    </xf>
    <xf numFmtId="0" fontId="17" fillId="5" borderId="18" applyAlignment="1" pivotButton="0" quotePrefix="0" xfId="0">
      <alignment horizontal="left" vertical="center"/>
    </xf>
    <xf numFmtId="0" fontId="3" fillId="0" borderId="10" applyAlignment="1" pivotButton="0" quotePrefix="0" xfId="0">
      <alignment horizontal="left"/>
    </xf>
    <xf numFmtId="0" fontId="3" fillId="0" borderId="10" pivotButton="0" quotePrefix="0" xfId="0"/>
    <xf numFmtId="4" fontId="3" fillId="0" borderId="10" pivotButton="0" quotePrefix="0" xfId="0"/>
    <xf numFmtId="0" fontId="5" fillId="0" borderId="1" applyAlignment="1" pivotButton="0" quotePrefix="0" xfId="0">
      <alignment horizontal="left"/>
    </xf>
    <xf numFmtId="4" fontId="5" fillId="0" borderId="1" pivotButton="0" quotePrefix="0" xfId="0"/>
    <xf numFmtId="43" fontId="5" fillId="0" borderId="1" pivotButton="0" quotePrefix="0" xfId="0"/>
    <xf numFmtId="165" fontId="5" fillId="0" borderId="1" applyAlignment="1" pivotButton="0" quotePrefix="0" xfId="1">
      <alignment horizontal="center"/>
    </xf>
    <xf numFmtId="0" fontId="22" fillId="0" borderId="1" applyAlignment="1" pivotButton="0" quotePrefix="0" xfId="0">
      <alignment horizontal="left"/>
    </xf>
    <xf numFmtId="0" fontId="23" fillId="0" borderId="0" pivotButton="0" quotePrefix="0" xfId="4"/>
    <xf numFmtId="164" fontId="4" fillId="0" borderId="0" applyAlignment="1" pivotButton="0" quotePrefix="0" xfId="1">
      <alignment horizontal="left" vertical="top"/>
    </xf>
    <xf numFmtId="165" fontId="24" fillId="0" borderId="0" applyAlignment="1" pivotButton="0" quotePrefix="0" xfId="1">
      <alignment horizontal="center"/>
    </xf>
    <xf numFmtId="165" fontId="23" fillId="0" borderId="0" pivotButton="0" quotePrefix="0" xfId="1"/>
    <xf numFmtId="164" fontId="4" fillId="0" borderId="0" applyAlignment="1" pivotButton="0" quotePrefix="0" xfId="1">
      <alignment horizontal="left" vertical="top" indent="2"/>
    </xf>
    <xf numFmtId="9" fontId="23" fillId="0" borderId="0" pivotButton="0" quotePrefix="0" xfId="2"/>
    <xf numFmtId="9" fontId="23" fillId="0" borderId="0" pivotButton="0" quotePrefix="0" xfId="4"/>
    <xf numFmtId="9" fontId="23" fillId="0" borderId="0" applyAlignment="1" pivotButton="0" quotePrefix="0" xfId="4">
      <alignment horizontal="center"/>
    </xf>
    <xf numFmtId="0" fontId="22" fillId="0" borderId="4" applyAlignment="1" pivotButton="0" quotePrefix="0" xfId="0">
      <alignment horizontal="left"/>
    </xf>
    <xf numFmtId="0" fontId="6" fillId="0" borderId="4" applyAlignment="1" pivotButton="0" quotePrefix="0" xfId="0">
      <alignment horizontal="center" vertical="center" wrapText="1"/>
    </xf>
    <xf numFmtId="0" fontId="25" fillId="0" borderId="0" pivotButton="0" quotePrefix="0" xfId="4"/>
    <xf numFmtId="165" fontId="25" fillId="0" borderId="0" applyAlignment="1" pivotButton="0" quotePrefix="0" xfId="1">
      <alignment horizontal="center"/>
    </xf>
    <xf numFmtId="165" fontId="25" fillId="0" borderId="0" pivotButton="0" quotePrefix="0" xfId="1"/>
    <xf numFmtId="9" fontId="25" fillId="0" borderId="0" pivotButton="0" quotePrefix="0" xfId="2"/>
    <xf numFmtId="9" fontId="25" fillId="0" borderId="0" pivotButton="0" quotePrefix="0" xfId="4"/>
    <xf numFmtId="9" fontId="25" fillId="0" borderId="0" applyAlignment="1" pivotButton="0" quotePrefix="0" xfId="4">
      <alignment horizontal="center"/>
    </xf>
    <xf numFmtId="0" fontId="22" fillId="0" borderId="0" applyAlignment="1" pivotButton="0" quotePrefix="0" xfId="0">
      <alignment horizontal="left"/>
    </xf>
    <xf numFmtId="165" fontId="5" fillId="0" borderId="7" pivotButton="0" quotePrefix="0" xfId="1"/>
    <xf numFmtId="165" fontId="24" fillId="0" borderId="0" applyAlignment="1" pivotButton="0" quotePrefix="0" xfId="1">
      <alignment horizontal="center"/>
    </xf>
    <xf numFmtId="165" fontId="5" fillId="0" borderId="7" pivotButton="0" quotePrefix="0" xfId="1"/>
    <xf numFmtId="0" fontId="10" fillId="0" borderId="0" applyAlignment="1" pivotButton="0" quotePrefix="0" xfId="4">
      <alignment horizontal="left"/>
    </xf>
    <xf numFmtId="0" fontId="26" fillId="0" borderId="0" pivotButton="0" quotePrefix="0" xfId="4"/>
    <xf numFmtId="9" fontId="15" fillId="5" borderId="8" applyAlignment="1" pivotButton="0" quotePrefix="0" xfId="2">
      <alignment horizontal="center" vertical="top" wrapText="1"/>
    </xf>
    <xf numFmtId="10" fontId="15" fillId="5" borderId="8" applyAlignment="1" pivotButton="0" quotePrefix="0" xfId="2">
      <alignment horizontal="center" vertical="top" wrapText="1"/>
    </xf>
    <xf numFmtId="0" fontId="27" fillId="0" borderId="0" applyAlignment="1" pivotButton="0" quotePrefix="0" xfId="4">
      <alignment vertical="top" wrapText="1"/>
    </xf>
    <xf numFmtId="164" fontId="28" fillId="4" borderId="13" applyAlignment="1" pivotButton="0" quotePrefix="0" xfId="4">
      <alignment horizontal="center" vertical="center" wrapText="1"/>
    </xf>
    <xf numFmtId="164" fontId="28" fillId="4" borderId="8" applyAlignment="1" pivotButton="0" quotePrefix="0" xfId="4">
      <alignment horizontal="center" vertical="center" wrapText="1"/>
    </xf>
    <xf numFmtId="1" fontId="28" fillId="4" borderId="8" applyAlignment="1" pivotButton="0" quotePrefix="0" xfId="1">
      <alignment horizontal="center" vertical="center" wrapText="1"/>
    </xf>
    <xf numFmtId="1" fontId="28" fillId="5" borderId="8" applyAlignment="1" pivotButton="0" quotePrefix="0" xfId="1">
      <alignment horizontal="center" vertical="center" wrapText="1"/>
    </xf>
    <xf numFmtId="0" fontId="29" fillId="0" borderId="0" applyAlignment="1" pivotButton="0" quotePrefix="0" xfId="4">
      <alignment wrapText="1"/>
    </xf>
    <xf numFmtId="164" fontId="16" fillId="4" borderId="8" applyAlignment="1" pivotButton="0" quotePrefix="0" xfId="4">
      <alignment vertical="center"/>
    </xf>
    <xf numFmtId="164" fontId="16" fillId="4" borderId="8" applyAlignment="1" pivotButton="0" quotePrefix="0" xfId="0">
      <alignment horizontal="center"/>
    </xf>
    <xf numFmtId="164" fontId="30" fillId="4" borderId="21" applyAlignment="1" pivotButton="0" quotePrefix="0" xfId="0">
      <alignment horizontal="right" vertical="center"/>
    </xf>
    <xf numFmtId="43" fontId="16" fillId="4" borderId="8" applyAlignment="1" pivotButton="0" quotePrefix="0" xfId="1">
      <alignment horizontal="right" vertical="center" indent="4"/>
    </xf>
    <xf numFmtId="9" fontId="16" fillId="4" borderId="8" applyAlignment="1" pivotButton="0" quotePrefix="0" xfId="1">
      <alignment horizontal="center" vertical="center"/>
    </xf>
    <xf numFmtId="43" fontId="16" fillId="4" borderId="8" applyAlignment="1" pivotButton="0" quotePrefix="0" xfId="1">
      <alignment horizontal="right" vertical="center"/>
    </xf>
    <xf numFmtId="43" fontId="16" fillId="4" borderId="8" applyAlignment="1" pivotButton="0" quotePrefix="0" xfId="1">
      <alignment vertical="center"/>
    </xf>
    <xf numFmtId="164" fontId="5" fillId="3" borderId="8" applyAlignment="1" pivotButton="0" quotePrefix="0" xfId="6">
      <alignment horizontal="left" vertical="top" indent="1"/>
    </xf>
    <xf numFmtId="164" fontId="5" fillId="3" borderId="8" applyAlignment="1" pivotButton="0" quotePrefix="0" xfId="6">
      <alignment horizontal="center"/>
    </xf>
    <xf numFmtId="165" fontId="5" fillId="3" borderId="8" applyAlignment="1" pivotButton="0" quotePrefix="0" xfId="1">
      <alignment horizontal="right" vertical="center"/>
    </xf>
    <xf numFmtId="43" fontId="5" fillId="3" borderId="8" applyAlignment="1" pivotButton="0" quotePrefix="0" xfId="1">
      <alignment horizontal="right" vertical="center" indent="4"/>
    </xf>
    <xf numFmtId="9" fontId="5" fillId="3" borderId="8" applyAlignment="1" pivotButton="0" quotePrefix="0" xfId="1">
      <alignment horizontal="center" vertical="center"/>
    </xf>
    <xf numFmtId="43" fontId="5" fillId="3" borderId="8" applyAlignment="1" pivotButton="0" quotePrefix="0" xfId="1">
      <alignment horizontal="right" vertical="center"/>
    </xf>
    <xf numFmtId="43" fontId="5" fillId="3" borderId="8" applyAlignment="1" pivotButton="0" quotePrefix="0" xfId="1">
      <alignment vertical="center"/>
    </xf>
    <xf numFmtId="43" fontId="31" fillId="3" borderId="8" applyAlignment="1" pivotButton="0" quotePrefix="0" xfId="1">
      <alignment horizontal="right" vertical="center" wrapText="1"/>
    </xf>
    <xf numFmtId="164" fontId="5" fillId="0" borderId="8" applyAlignment="1" pivotButton="0" quotePrefix="0" xfId="6">
      <alignment horizontal="left" vertical="top" wrapText="1" indent="2"/>
    </xf>
    <xf numFmtId="164" fontId="5" fillId="0" borderId="8" applyAlignment="1" pivotButton="0" quotePrefix="0" xfId="1">
      <alignment horizontal="center" wrapText="1"/>
    </xf>
    <xf numFmtId="164" fontId="5" fillId="0" borderId="8" applyAlignment="1" pivotButton="0" quotePrefix="0" xfId="6">
      <alignment horizontal="left" vertical="top" wrapText="1" indent="2"/>
    </xf>
    <xf numFmtId="164" fontId="5" fillId="0" borderId="8" applyAlignment="1" pivotButton="0" quotePrefix="0" xfId="1">
      <alignment horizontal="center" wrapText="1"/>
    </xf>
    <xf numFmtId="164" fontId="32" fillId="0" borderId="8" applyAlignment="1" pivotButton="0" quotePrefix="0" xfId="1">
      <alignment horizontal="center" wrapText="1"/>
    </xf>
    <xf numFmtId="0" fontId="23" fillId="0" borderId="0" pivotButton="0" quotePrefix="0" xfId="0"/>
    <xf numFmtId="164" fontId="16" fillId="4" borderId="8" applyAlignment="1" pivotButton="0" quotePrefix="0" xfId="4">
      <alignment horizontal="left" vertical="top"/>
    </xf>
    <xf numFmtId="43" fontId="16" fillId="4" borderId="8" applyAlignment="1" pivotButton="0" quotePrefix="0" xfId="1">
      <alignment horizontal="center" vertical="center"/>
    </xf>
    <xf numFmtId="164" fontId="5" fillId="3" borderId="8" applyAlignment="1" pivotButton="0" quotePrefix="0" xfId="6">
      <alignment horizontal="left" vertical="top" wrapText="1" indent="1"/>
    </xf>
    <xf numFmtId="164" fontId="5" fillId="3" borderId="8" applyAlignment="1" pivotButton="0" quotePrefix="0" xfId="1">
      <alignment horizontal="center" wrapText="1"/>
    </xf>
    <xf numFmtId="43" fontId="31" fillId="3" borderId="8" applyAlignment="1" pivotButton="0" quotePrefix="0" xfId="1">
      <alignment vertical="center" wrapText="1"/>
    </xf>
    <xf numFmtId="9" fontId="31" fillId="3" borderId="8" applyAlignment="1" pivotButton="0" quotePrefix="0" xfId="1">
      <alignment horizontal="center" vertical="center" wrapText="1"/>
    </xf>
    <xf numFmtId="43" fontId="19" fillId="0" borderId="8" applyAlignment="1" pivotButton="0" quotePrefix="0" xfId="1">
      <alignment vertical="center" wrapText="1"/>
    </xf>
    <xf numFmtId="9" fontId="19" fillId="0" borderId="8" applyAlignment="1" pivotButton="0" quotePrefix="0" xfId="1">
      <alignment horizontal="center" vertical="center" wrapText="1"/>
    </xf>
    <xf numFmtId="43" fontId="19" fillId="9" borderId="8" applyAlignment="1" applyProtection="1" pivotButton="0" quotePrefix="0" xfId="1">
      <alignment horizontal="right" vertical="center"/>
      <protection locked="0" hidden="0"/>
    </xf>
    <xf numFmtId="43" fontId="19" fillId="0" borderId="8" applyAlignment="1" pivotButton="0" quotePrefix="0" xfId="1">
      <alignment horizontal="right" vertical="center"/>
    </xf>
    <xf numFmtId="43" fontId="19" fillId="0" borderId="8" applyAlignment="1" pivotButton="0" quotePrefix="0" xfId="1">
      <alignment vertical="center"/>
    </xf>
    <xf numFmtId="9" fontId="19" fillId="0" borderId="8" applyAlignment="1" pivotButton="0" quotePrefix="0" xfId="1">
      <alignment horizontal="center" vertical="center" wrapText="1"/>
    </xf>
    <xf numFmtId="43" fontId="19" fillId="0" borderId="8" applyAlignment="1" pivotButton="0" quotePrefix="0" xfId="1">
      <alignment horizontal="right" vertical="center" wrapText="1"/>
    </xf>
    <xf numFmtId="164" fontId="5" fillId="3" borderId="8" applyAlignment="1" pivotButton="0" quotePrefix="0" xfId="6">
      <alignment horizontal="left" vertical="top" wrapText="1" indent="2"/>
    </xf>
    <xf numFmtId="43" fontId="19" fillId="3" borderId="8" applyAlignment="1" pivotButton="0" quotePrefix="0" xfId="1">
      <alignment horizontal="right" vertical="center" wrapText="1"/>
    </xf>
    <xf numFmtId="43" fontId="19" fillId="3" borderId="8" applyAlignment="1" pivotButton="0" quotePrefix="0" xfId="1">
      <alignment vertical="center" wrapText="1"/>
    </xf>
    <xf numFmtId="9" fontId="19" fillId="3" borderId="8" applyAlignment="1" pivotButton="0" quotePrefix="0" xfId="1">
      <alignment horizontal="center" vertical="center" wrapText="1"/>
    </xf>
    <xf numFmtId="43" fontId="19" fillId="3" borderId="8" applyAlignment="1" pivotButton="0" quotePrefix="0" xfId="1">
      <alignment horizontal="right" vertical="center" wrapText="1"/>
    </xf>
    <xf numFmtId="164" fontId="5" fillId="0" borderId="8" applyAlignment="1" pivotButton="0" quotePrefix="0" xfId="6">
      <alignment horizontal="left" vertical="top" wrapText="1" indent="4"/>
    </xf>
    <xf numFmtId="0" fontId="5" fillId="0" borderId="8" applyAlignment="1" pivotButton="0" quotePrefix="0" xfId="6">
      <alignment horizontal="left" vertical="top" wrapText="1" indent="2"/>
    </xf>
    <xf numFmtId="164" fontId="33" fillId="4" borderId="8" applyAlignment="1" pivotButton="0" quotePrefix="0" xfId="4">
      <alignment horizontal="left" vertical="top"/>
    </xf>
    <xf numFmtId="164" fontId="33" fillId="4" borderId="8" applyAlignment="1" pivotButton="0" quotePrefix="0" xfId="0">
      <alignment horizontal="center"/>
    </xf>
    <xf numFmtId="164" fontId="34" fillId="4" borderId="21" applyAlignment="1" pivotButton="0" quotePrefix="0" xfId="0">
      <alignment horizontal="right" vertical="center"/>
    </xf>
    <xf numFmtId="10" fontId="16" fillId="4" borderId="8" applyAlignment="1" pivotButton="0" quotePrefix="0" xfId="1">
      <alignment horizontal="center" vertical="center"/>
    </xf>
    <xf numFmtId="0" fontId="35" fillId="0" borderId="0" pivotButton="0" quotePrefix="0" xfId="4"/>
    <xf numFmtId="43" fontId="19" fillId="0" borderId="8" applyAlignment="1" pivotButton="0" quotePrefix="0" xfId="1">
      <alignment horizontal="right" vertical="center" wrapText="1"/>
    </xf>
    <xf numFmtId="0" fontId="5" fillId="0" borderId="8" applyAlignment="1" pivotButton="0" quotePrefix="0" xfId="6">
      <alignment horizontal="left" vertical="top" wrapText="1" indent="2"/>
    </xf>
    <xf numFmtId="43" fontId="31" fillId="0" borderId="8" applyAlignment="1" pivotButton="0" quotePrefix="0" xfId="1">
      <alignment horizontal="right" vertical="center" wrapText="1"/>
    </xf>
    <xf numFmtId="164" fontId="5" fillId="0" borderId="8" applyAlignment="1" pivotButton="0" quotePrefix="0" xfId="6">
      <alignment horizontal="left" vertical="top" wrapText="1" indent="4"/>
    </xf>
    <xf numFmtId="0" fontId="5" fillId="0" borderId="8" applyAlignment="1" pivotButton="0" quotePrefix="0" xfId="6">
      <alignment horizontal="left" vertical="top" wrapText="1" indent="3"/>
    </xf>
    <xf numFmtId="0" fontId="5" fillId="0" borderId="8" applyAlignment="1" pivotButton="0" quotePrefix="0" xfId="6">
      <alignment horizontal="center" wrapText="1"/>
    </xf>
    <xf numFmtId="37" fontId="5" fillId="3" borderId="8" applyAlignment="1" pivotButton="0" quotePrefix="0" xfId="6">
      <alignment horizontal="left" vertical="top" wrapText="1" indent="1"/>
    </xf>
    <xf numFmtId="37" fontId="5" fillId="0" borderId="8" applyAlignment="1" pivotButton="0" quotePrefix="0" xfId="6">
      <alignment horizontal="center" wrapText="1"/>
    </xf>
    <xf numFmtId="43" fontId="31" fillId="0" borderId="8" applyAlignment="1" pivotButton="0" quotePrefix="0" xfId="1">
      <alignment horizontal="center" vertical="center" wrapText="1"/>
    </xf>
    <xf numFmtId="43" fontId="19" fillId="0" borderId="8" applyAlignment="1" pivotButton="0" quotePrefix="0" xfId="1">
      <alignment horizontal="right" vertical="center"/>
    </xf>
    <xf numFmtId="164" fontId="5" fillId="0" borderId="8" applyAlignment="1" pivotButton="0" quotePrefix="0" xfId="6">
      <alignment horizontal="center" wrapText="1"/>
    </xf>
    <xf numFmtId="0" fontId="5" fillId="0" borderId="8" applyAlignment="1" pivotButton="0" quotePrefix="0" xfId="6">
      <alignment horizontal="left" vertical="center" wrapText="1" indent="2"/>
    </xf>
    <xf numFmtId="164" fontId="5" fillId="0" borderId="8" applyAlignment="1" pivotButton="0" quotePrefix="0" xfId="6">
      <alignment horizontal="center" wrapText="1"/>
    </xf>
    <xf numFmtId="43" fontId="31" fillId="0" borderId="8" applyAlignment="1" pivotButton="0" quotePrefix="0" xfId="1">
      <alignment vertical="center" wrapText="1"/>
    </xf>
    <xf numFmtId="9" fontId="31" fillId="0" borderId="8" applyAlignment="1" pivotButton="0" quotePrefix="0" xfId="1">
      <alignment horizontal="center" vertical="center" wrapText="1"/>
    </xf>
    <xf numFmtId="43" fontId="31" fillId="9" borderId="8" applyAlignment="1" applyProtection="1" pivotButton="0" quotePrefix="0" xfId="1">
      <alignment horizontal="right" vertical="center"/>
      <protection locked="0" hidden="0"/>
    </xf>
    <xf numFmtId="43" fontId="31" fillId="0" borderId="8" applyAlignment="1" pivotButton="0" quotePrefix="0" xfId="1">
      <alignment horizontal="right" vertical="center"/>
    </xf>
    <xf numFmtId="43" fontId="31" fillId="0" borderId="8" applyAlignment="1" pivotButton="0" quotePrefix="0" xfId="1">
      <alignment vertical="center"/>
    </xf>
    <xf numFmtId="0" fontId="5" fillId="0" borderId="8" applyAlignment="1" pivotButton="0" quotePrefix="0" xfId="6">
      <alignment horizontal="left" vertical="top" wrapText="1" indent="1"/>
    </xf>
    <xf numFmtId="164" fontId="16" fillId="4" borderId="8" applyAlignment="1" pivotButton="0" quotePrefix="0" xfId="4">
      <alignment horizontal="center"/>
    </xf>
    <xf numFmtId="9" fontId="31" fillId="0" borderId="8" applyAlignment="1" pivotButton="0" quotePrefix="0" xfId="1">
      <alignment horizontal="center" vertical="center" wrapText="1"/>
    </xf>
    <xf numFmtId="43" fontId="31" fillId="0" borderId="8" applyAlignment="1" pivotButton="0" quotePrefix="0" xfId="1">
      <alignment vertical="center" wrapText="1"/>
    </xf>
    <xf numFmtId="43" fontId="31" fillId="0" borderId="8" applyAlignment="1" pivotButton="0" quotePrefix="0" xfId="1">
      <alignment horizontal="right" vertical="center" wrapText="1"/>
    </xf>
    <xf numFmtId="37" fontId="16" fillId="4" borderId="8" applyAlignment="1" pivotButton="0" quotePrefix="0" xfId="4">
      <alignment horizontal="left" vertical="top"/>
    </xf>
    <xf numFmtId="164" fontId="32" fillId="12" borderId="8" applyAlignment="1" pivotButton="0" quotePrefix="0" xfId="4">
      <alignment horizontal="left" vertical="top"/>
    </xf>
    <xf numFmtId="164" fontId="32" fillId="12" borderId="8" applyAlignment="1" pivotButton="0" quotePrefix="0" xfId="0">
      <alignment horizontal="center"/>
    </xf>
    <xf numFmtId="43" fontId="19" fillId="12" borderId="8" applyAlignment="1" pivotButton="0" quotePrefix="0" xfId="1">
      <alignment horizontal="right" vertical="center"/>
    </xf>
    <xf numFmtId="43" fontId="19" fillId="12" borderId="8" applyAlignment="1" pivotButton="0" quotePrefix="0" xfId="1">
      <alignment vertical="center"/>
    </xf>
    <xf numFmtId="0" fontId="36" fillId="0" borderId="0" pivotButton="0" quotePrefix="0" xfId="4"/>
    <xf numFmtId="164" fontId="5" fillId="0" borderId="8" applyAlignment="1" pivotButton="0" quotePrefix="0" xfId="6">
      <alignment horizontal="left" vertical="top" wrapText="1" indent="1"/>
    </xf>
    <xf numFmtId="43" fontId="31" fillId="9" borderId="8" applyAlignment="1" applyProtection="1" pivotButton="0" quotePrefix="0" xfId="1">
      <alignment horizontal="right" vertical="center" wrapText="1"/>
      <protection locked="0" hidden="0"/>
    </xf>
    <xf numFmtId="43" fontId="31" fillId="0" borderId="8" applyAlignment="1" pivotButton="0" quotePrefix="0" xfId="1">
      <alignment horizontal="right" vertical="center"/>
    </xf>
    <xf numFmtId="165" fontId="24" fillId="0" borderId="0" applyAlignment="1" pivotButton="0" quotePrefix="0" xfId="1">
      <alignment horizontal="center"/>
    </xf>
    <xf numFmtId="165" fontId="23" fillId="0" borderId="0" pivotButton="0" quotePrefix="0" xfId="1"/>
    <xf numFmtId="9" fontId="23" fillId="0" borderId="0" pivotButton="0" quotePrefix="0" xfId="2"/>
    <xf numFmtId="43" fontId="23" fillId="0" borderId="0" applyAlignment="1" pivotButton="0" quotePrefix="0" xfId="1">
      <alignment horizontal="center" vertical="center"/>
    </xf>
    <xf numFmtId="0" fontId="23" fillId="0" borderId="0" applyAlignment="1" pivotButton="0" quotePrefix="0" xfId="4">
      <alignment horizontal="center" vertical="center"/>
    </xf>
    <xf numFmtId="9" fontId="23" fillId="0" borderId="0" applyAlignment="1" pivotButton="0" quotePrefix="0" xfId="4">
      <alignment horizontal="center" vertical="center"/>
    </xf>
    <xf numFmtId="0" fontId="37" fillId="0" borderId="0" pivotButton="0" quotePrefix="0" xfId="4"/>
    <xf numFmtId="0" fontId="37" fillId="0" borderId="0" applyAlignment="1" pivotButton="0" quotePrefix="0" xfId="4">
      <alignment horizontal="center"/>
    </xf>
    <xf numFmtId="164" fontId="4" fillId="0" borderId="0" applyAlignment="1" pivotButton="0" quotePrefix="0" xfId="1">
      <alignment horizontal="center" vertical="center"/>
    </xf>
    <xf numFmtId="0" fontId="5" fillId="0" borderId="0" pivotButton="0" quotePrefix="0" xfId="4"/>
    <xf numFmtId="0" fontId="6" fillId="0" borderId="0" applyAlignment="1" pivotButton="0" quotePrefix="0" xfId="0">
      <alignment horizontal="center" vertical="center" wrapText="1"/>
    </xf>
    <xf numFmtId="0" fontId="37" fillId="0" borderId="0" applyAlignment="1" pivotButton="0" quotePrefix="0" xfId="4">
      <alignment horizontal="right"/>
    </xf>
    <xf numFmtId="9" fontId="5" fillId="0" borderId="0" pivotButton="0" quotePrefix="0" xfId="2"/>
    <xf numFmtId="0" fontId="7" fillId="0" borderId="8" applyAlignment="1" pivotButton="0" quotePrefix="0" xfId="0">
      <alignment horizontal="center" wrapText="1"/>
    </xf>
    <xf numFmtId="9" fontId="5" fillId="0" borderId="0" pivotButton="0" quotePrefix="0" xfId="2"/>
    <xf numFmtId="0" fontId="38" fillId="0" borderId="4" pivotButton="0" quotePrefix="1" xfId="0"/>
    <xf numFmtId="9" fontId="38" fillId="0" borderId="4" pivotButton="0" quotePrefix="1" xfId="2"/>
    <xf numFmtId="9" fontId="38" fillId="0" borderId="0" pivotButton="0" quotePrefix="1" xfId="2"/>
    <xf numFmtId="0" fontId="11" fillId="0" borderId="0" applyAlignment="1" pivotButton="0" quotePrefix="0" xfId="4">
      <alignment horizontal="left"/>
    </xf>
    <xf numFmtId="0" fontId="39" fillId="0" borderId="11" applyAlignment="1" pivotButton="0" quotePrefix="0" xfId="0">
      <alignment horizontal="left" vertical="top" wrapText="1"/>
    </xf>
    <xf numFmtId="0" fontId="39" fillId="0" borderId="22" applyAlignment="1" pivotButton="0" quotePrefix="0" xfId="0">
      <alignment horizontal="left" vertical="center" wrapText="1"/>
    </xf>
    <xf numFmtId="0" fontId="39" fillId="0" borderId="0" applyAlignment="1" pivotButton="0" quotePrefix="0" xfId="0">
      <alignment horizontal="left" vertical="center" wrapText="1"/>
    </xf>
    <xf numFmtId="9" fontId="15" fillId="5" borderId="31" applyAlignment="1" pivotButton="0" quotePrefix="0" xfId="0">
      <alignment horizontal="center" vertical="top" wrapText="1"/>
    </xf>
    <xf numFmtId="10" fontId="15" fillId="5" borderId="31" applyAlignment="1" pivotButton="0" quotePrefix="0" xfId="2">
      <alignment horizontal="center" vertical="top" wrapText="1"/>
    </xf>
    <xf numFmtId="0" fontId="5" fillId="0" borderId="0" applyAlignment="1" pivotButton="0" quotePrefix="0" xfId="4">
      <alignment vertical="top"/>
    </xf>
    <xf numFmtId="164" fontId="13" fillId="4" borderId="32" applyAlignment="1" pivotButton="0" quotePrefix="0" xfId="4">
      <alignment horizontal="center" vertical="top" wrapText="1"/>
    </xf>
    <xf numFmtId="164" fontId="13" fillId="4" borderId="33" applyAlignment="1" pivotButton="0" quotePrefix="0" xfId="4">
      <alignment horizontal="center" vertical="top" wrapText="1"/>
    </xf>
    <xf numFmtId="164" fontId="13" fillId="4" borderId="34" applyAlignment="1" pivotButton="0" quotePrefix="0" xfId="4">
      <alignment horizontal="center" vertical="top" wrapText="1"/>
    </xf>
    <xf numFmtId="1" fontId="16" fillId="4" borderId="36" applyAlignment="1" pivotButton="0" quotePrefix="0" xfId="4">
      <alignment horizontal="center" vertical="center" wrapText="1"/>
    </xf>
    <xf numFmtId="1" fontId="16" fillId="4" borderId="13" applyAlignment="1" pivotButton="0" quotePrefix="0" xfId="4">
      <alignment horizontal="center" vertical="center" wrapText="1"/>
    </xf>
    <xf numFmtId="1" fontId="28" fillId="5" borderId="19" applyAlignment="1" pivotButton="0" quotePrefix="0" xfId="0">
      <alignment horizontal="center" vertical="center" wrapText="1"/>
    </xf>
    <xf numFmtId="1" fontId="28" fillId="5" borderId="19" applyAlignment="1" pivotButton="0" quotePrefix="0" xfId="2">
      <alignment horizontal="center" vertical="center" wrapText="1"/>
    </xf>
    <xf numFmtId="164" fontId="16" fillId="4" borderId="37" applyAlignment="1" pivotButton="0" quotePrefix="0" xfId="4">
      <alignment horizontal="left" vertical="center" indent="1"/>
    </xf>
    <xf numFmtId="164" fontId="16" fillId="4" borderId="8" applyAlignment="1" pivotButton="0" quotePrefix="0" xfId="4">
      <alignment horizontal="center" vertical="center"/>
    </xf>
    <xf numFmtId="165" fontId="16" fillId="4" borderId="8" applyAlignment="1" pivotButton="0" quotePrefix="0" xfId="1">
      <alignment horizontal="right" vertical="center"/>
    </xf>
    <xf numFmtId="9" fontId="16" fillId="4" borderId="8" applyAlignment="1" pivotButton="0" quotePrefix="0" xfId="2">
      <alignment horizontal="center" vertical="center"/>
    </xf>
    <xf numFmtId="164" fontId="5" fillId="0" borderId="37" applyAlignment="1" pivotButton="0" quotePrefix="0" xfId="6">
      <alignment horizontal="left" vertical="center" wrapText="1" indent="1"/>
    </xf>
    <xf numFmtId="164" fontId="5" fillId="0" borderId="8" applyAlignment="1" pivotButton="0" quotePrefix="0" xfId="6">
      <alignment horizontal="center" vertical="center" wrapText="1"/>
    </xf>
    <xf numFmtId="43" fontId="3" fillId="8" borderId="8" applyAlignment="1" pivotButton="0" quotePrefix="0" xfId="1">
      <alignment horizontal="right" vertical="center" wrapText="1"/>
    </xf>
    <xf numFmtId="9" fontId="3" fillId="8" borderId="8" applyAlignment="1" pivotButton="0" quotePrefix="0" xfId="1">
      <alignment horizontal="center" vertical="center" wrapText="1"/>
    </xf>
    <xf numFmtId="0" fontId="3" fillId="8" borderId="8" applyAlignment="1" pivotButton="0" quotePrefix="0" xfId="1">
      <alignment horizontal="right" vertical="center" wrapText="1"/>
    </xf>
    <xf numFmtId="164" fontId="5" fillId="0" borderId="8" applyAlignment="1" pivotButton="0" quotePrefix="0" xfId="1">
      <alignment horizontal="center" vertical="center" wrapText="1"/>
    </xf>
    <xf numFmtId="164" fontId="5" fillId="0" borderId="8" applyAlignment="1" pivotButton="0" quotePrefix="0" xfId="1">
      <alignment horizontal="left" vertical="top" wrapText="1" indent="4"/>
    </xf>
    <xf numFmtId="165" fontId="19" fillId="9" borderId="8" applyAlignment="1" applyProtection="1" pivotButton="0" quotePrefix="0" xfId="1">
      <alignment horizontal="right" vertical="center"/>
      <protection locked="0" hidden="0"/>
    </xf>
    <xf numFmtId="165" fontId="19" fillId="0" borderId="8" applyAlignment="1" pivotButton="0" quotePrefix="0" xfId="1">
      <alignment horizontal="right" vertical="center" wrapText="1"/>
    </xf>
    <xf numFmtId="9" fontId="19" fillId="0" borderId="8" applyAlignment="1" pivotButton="0" quotePrefix="0" xfId="2">
      <alignment horizontal="center" vertical="center" wrapText="1"/>
    </xf>
    <xf numFmtId="9" fontId="19" fillId="0" borderId="8" applyAlignment="1" pivotButton="0" quotePrefix="0" xfId="2">
      <alignment horizontal="center" vertical="center" wrapText="1"/>
    </xf>
    <xf numFmtId="0" fontId="3" fillId="8" borderId="8" applyAlignment="1" pivotButton="0" quotePrefix="0" xfId="0">
      <alignment horizontal="left" vertical="top" wrapText="1" indent="1"/>
    </xf>
    <xf numFmtId="164" fontId="5" fillId="0" borderId="8" applyAlignment="1" pivotButton="0" quotePrefix="0" xfId="1">
      <alignment horizontal="left" vertical="top" wrapText="1" indent="2"/>
    </xf>
    <xf numFmtId="164" fontId="5" fillId="0" borderId="8" applyAlignment="1" pivotButton="0" quotePrefix="0" xfId="1">
      <alignment horizontal="left" vertical="top" wrapText="1" indent="1"/>
    </xf>
    <xf numFmtId="164" fontId="5" fillId="0" borderId="8" applyAlignment="1" pivotButton="0" quotePrefix="0" xfId="6">
      <alignment horizontal="left" vertical="top" wrapText="1" indent="3"/>
    </xf>
    <xf numFmtId="164" fontId="5" fillId="0" borderId="8" applyAlignment="1" pivotButton="0" quotePrefix="0" xfId="6">
      <alignment horizontal="left" vertical="top" wrapText="1" indent="1"/>
    </xf>
    <xf numFmtId="164" fontId="5" fillId="0" borderId="8" applyAlignment="1" pivotButton="0" quotePrefix="0" xfId="6">
      <alignment horizontal="center" vertical="center" wrapText="1"/>
    </xf>
    <xf numFmtId="9" fontId="31" fillId="0" borderId="8" applyAlignment="1" pivotButton="0" quotePrefix="0" xfId="2">
      <alignment horizontal="center" vertical="center"/>
    </xf>
    <xf numFmtId="164" fontId="16" fillId="4" borderId="38" applyAlignment="1" pivotButton="0" quotePrefix="0" xfId="4">
      <alignment horizontal="left" vertical="center" indent="1"/>
    </xf>
    <xf numFmtId="164" fontId="16" fillId="4" borderId="39" applyAlignment="1" pivotButton="0" quotePrefix="0" xfId="4">
      <alignment horizontal="left" vertical="center"/>
    </xf>
    <xf numFmtId="164" fontId="16" fillId="4" borderId="39" applyAlignment="1" pivotButton="0" quotePrefix="0" xfId="4">
      <alignment horizontal="center" vertical="center"/>
    </xf>
    <xf numFmtId="43" fontId="16" fillId="4" borderId="39" applyAlignment="1" pivotButton="0" quotePrefix="0" xfId="1">
      <alignment horizontal="right" vertical="center"/>
    </xf>
    <xf numFmtId="9" fontId="16" fillId="4" borderId="39" applyAlignment="1" pivotButton="0" quotePrefix="0" xfId="2">
      <alignment horizontal="center" vertical="center"/>
    </xf>
    <xf numFmtId="9" fontId="5" fillId="0" borderId="0" pivotButton="0" quotePrefix="0" xfId="2"/>
    <xf numFmtId="2" fontId="5" fillId="0" borderId="0" pivotButton="0" quotePrefix="0" xfId="2"/>
    <xf numFmtId="0" fontId="1" fillId="0" borderId="0" pivotButton="0" quotePrefix="0" xfId="3"/>
    <xf numFmtId="0" fontId="40" fillId="0" borderId="0" pivotButton="0" quotePrefix="0" xfId="3"/>
    <xf numFmtId="0" fontId="1" fillId="0" borderId="0" applyAlignment="1" pivotButton="0" quotePrefix="0" xfId="3">
      <alignment horizontal="center"/>
    </xf>
    <xf numFmtId="0" fontId="1" fillId="0" borderId="0" applyAlignment="1" pivotButton="0" quotePrefix="0" xfId="3">
      <alignment horizontal="center" vertical="center"/>
    </xf>
    <xf numFmtId="0" fontId="1" fillId="0" borderId="0" applyAlignment="1" pivotButton="0" quotePrefix="0" xfId="3">
      <alignment horizontal="left"/>
    </xf>
    <xf numFmtId="0" fontId="5" fillId="0" borderId="0" pivotButton="0" quotePrefix="0" xfId="3"/>
    <xf numFmtId="164" fontId="4" fillId="0" borderId="0" applyAlignment="1" pivotButton="0" quotePrefix="0" xfId="7">
      <alignment horizontal="left" vertical="center"/>
    </xf>
    <xf numFmtId="164" fontId="4" fillId="0" borderId="0" applyAlignment="1" pivotButton="0" quotePrefix="0" xfId="7">
      <alignment horizontal="left" vertical="center"/>
    </xf>
    <xf numFmtId="164" fontId="24" fillId="0" borderId="0" applyAlignment="1" pivotButton="0" quotePrefix="0" xfId="7">
      <alignment horizontal="left" vertical="center" wrapText="1"/>
    </xf>
    <xf numFmtId="164" fontId="23" fillId="0" borderId="0" applyAlignment="1" pivotButton="0" quotePrefix="0" xfId="7">
      <alignment horizontal="left" vertical="center"/>
    </xf>
    <xf numFmtId="164" fontId="23" fillId="0" borderId="0" applyAlignment="1" pivotButton="0" quotePrefix="0" xfId="7">
      <alignment horizontal="left" vertical="center" wrapText="1"/>
    </xf>
    <xf numFmtId="164" fontId="23" fillId="0" borderId="0" applyAlignment="1" pivotButton="0" quotePrefix="0" xfId="7">
      <alignment horizontal="center" vertical="center" wrapText="1"/>
    </xf>
    <xf numFmtId="0" fontId="1" fillId="0" borderId="0" applyAlignment="1" pivotButton="0" quotePrefix="0" xfId="3">
      <alignment horizontal="center" wrapText="1"/>
    </xf>
    <xf numFmtId="0" fontId="8" fillId="0" borderId="8" applyAlignment="1" pivotButton="0" quotePrefix="0" xfId="3">
      <alignment horizontal="center" vertical="top" wrapText="1"/>
    </xf>
    <xf numFmtId="0" fontId="8" fillId="0" borderId="0" applyAlignment="1" pivotButton="0" quotePrefix="0" xfId="3">
      <alignment horizontal="center" vertical="top" wrapText="1"/>
    </xf>
    <xf numFmtId="0" fontId="5" fillId="0" borderId="0" applyAlignment="1" pivotButton="0" quotePrefix="0" xfId="3">
      <alignment horizontal="center"/>
    </xf>
    <xf numFmtId="4" fontId="1" fillId="0" borderId="0" applyAlignment="1" pivotButton="0" quotePrefix="0" xfId="3">
      <alignment horizontal="center"/>
    </xf>
    <xf numFmtId="164" fontId="23" fillId="0" borderId="0" applyAlignment="1" pivotButton="0" quotePrefix="0" xfId="7">
      <alignment horizontal="center" vertical="center" wrapText="1"/>
    </xf>
    <xf numFmtId="0" fontId="41" fillId="0" borderId="0" applyAlignment="1" pivotButton="0" quotePrefix="0" xfId="3">
      <alignment horizontal="left" wrapText="1"/>
    </xf>
    <xf numFmtId="0" fontId="8" fillId="0" borderId="9" applyAlignment="1" pivotButton="0" quotePrefix="0" xfId="3">
      <alignment horizontal="center" vertical="top" wrapText="1"/>
    </xf>
    <xf numFmtId="165" fontId="15" fillId="13" borderId="8" applyAlignment="1" pivotButton="0" quotePrefix="0" xfId="7">
      <alignment horizontal="center" vertical="center" wrapText="1"/>
    </xf>
    <xf numFmtId="9" fontId="15" fillId="13" borderId="8" applyAlignment="1" pivotButton="0" quotePrefix="0" xfId="8">
      <alignment horizontal="center" vertical="center" wrapText="1"/>
    </xf>
    <xf numFmtId="165" fontId="15" fillId="6" borderId="8" applyAlignment="1" pivotButton="0" quotePrefix="0" xfId="1">
      <alignment horizontal="center" vertical="center" wrapText="1"/>
    </xf>
    <xf numFmtId="9" fontId="15" fillId="6" borderId="8" applyAlignment="1" pivotButton="0" quotePrefix="0" xfId="2">
      <alignment horizontal="center" vertical="center" wrapText="1"/>
    </xf>
    <xf numFmtId="9" fontId="15" fillId="5" borderId="8" applyAlignment="1" pivotButton="0" quotePrefix="0" xfId="8">
      <alignment horizontal="center" vertical="center" wrapText="1"/>
    </xf>
    <xf numFmtId="10" fontId="15" fillId="5" borderId="8" applyAlignment="1" pivotButton="0" quotePrefix="0" xfId="8">
      <alignment horizontal="center" vertical="center" wrapText="1"/>
    </xf>
    <xf numFmtId="164" fontId="13" fillId="4" borderId="1" applyAlignment="1" pivotButton="0" quotePrefix="0" xfId="4">
      <alignment horizontal="center" vertical="center" wrapText="1"/>
    </xf>
    <xf numFmtId="0" fontId="17" fillId="5" borderId="1" applyAlignment="1" pivotButton="0" quotePrefix="0" xfId="3">
      <alignment horizontal="center" vertical="top" wrapText="1"/>
    </xf>
    <xf numFmtId="0" fontId="17" fillId="5" borderId="18" applyAlignment="1" pivotButton="0" quotePrefix="0" xfId="3">
      <alignment horizontal="center" vertical="top" wrapText="1"/>
    </xf>
    <xf numFmtId="0" fontId="17" fillId="5" borderId="8" applyAlignment="1" pivotButton="0" quotePrefix="0" xfId="3">
      <alignment horizontal="center" vertical="top" wrapText="1"/>
    </xf>
    <xf numFmtId="164" fontId="31" fillId="3" borderId="13" applyAlignment="1" pivotButton="0" quotePrefix="0" xfId="3">
      <alignment vertical="center" wrapText="1"/>
    </xf>
    <xf numFmtId="164" fontId="31" fillId="3" borderId="13" applyAlignment="1" pivotButton="0" quotePrefix="0" xfId="3">
      <alignment horizontal="center" vertical="center"/>
    </xf>
    <xf numFmtId="164" fontId="31" fillId="3" borderId="8" applyAlignment="1" pivotButton="0" quotePrefix="0" xfId="3">
      <alignment horizontal="center" vertical="center"/>
    </xf>
    <xf numFmtId="2" fontId="31" fillId="3" borderId="8" applyAlignment="1" pivotButton="0" quotePrefix="0" xfId="3">
      <alignment vertical="center" wrapText="1"/>
    </xf>
    <xf numFmtId="166" fontId="31" fillId="3" borderId="13" applyAlignment="1" pivotButton="0" quotePrefix="0" xfId="3">
      <alignment vertical="center" wrapText="1"/>
    </xf>
    <xf numFmtId="10" fontId="31" fillId="3" borderId="13" applyAlignment="1" pivotButton="0" quotePrefix="0" xfId="3">
      <alignment horizontal="center" vertical="center" wrapText="1"/>
    </xf>
    <xf numFmtId="166" fontId="31" fillId="3" borderId="13" applyAlignment="1" pivotButton="0" quotePrefix="0" xfId="3">
      <alignment horizontal="right" vertical="center" wrapText="1"/>
    </xf>
    <xf numFmtId="2" fontId="31" fillId="3" borderId="8" applyAlignment="1" pivotButton="0" quotePrefix="0" xfId="3">
      <alignment horizontal="right" vertical="center" wrapText="1"/>
    </xf>
    <xf numFmtId="164" fontId="42" fillId="0" borderId="8" applyAlignment="1" pivotButton="0" quotePrefix="0" xfId="7">
      <alignment horizontal="left" vertical="center" wrapText="1"/>
    </xf>
    <xf numFmtId="164" fontId="19" fillId="0" borderId="8" applyAlignment="1" pivotButton="0" quotePrefix="0" xfId="3">
      <alignment horizontal="center" vertical="center"/>
    </xf>
    <xf numFmtId="2" fontId="31" fillId="0" borderId="8" applyAlignment="1" pivotButton="0" quotePrefix="0" xfId="3">
      <alignment vertical="center" wrapText="1"/>
    </xf>
    <xf numFmtId="166" fontId="5" fillId="14" borderId="8" applyAlignment="1" pivotButton="0" quotePrefix="0" xfId="7">
      <alignment vertical="center" wrapText="1"/>
    </xf>
    <xf numFmtId="10" fontId="5" fillId="14" borderId="8" applyAlignment="1" pivotButton="0" quotePrefix="0" xfId="7">
      <alignment horizontal="center" vertical="center" wrapText="1"/>
    </xf>
    <xf numFmtId="166" fontId="5" fillId="14" borderId="8" applyAlignment="1" pivotButton="0" quotePrefix="0" xfId="7">
      <alignment horizontal="right" vertical="center" wrapText="1"/>
    </xf>
    <xf numFmtId="2" fontId="19" fillId="14" borderId="8" applyAlignment="1" pivotButton="0" quotePrefix="0" xfId="3">
      <alignment horizontal="right"/>
    </xf>
    <xf numFmtId="164" fontId="31" fillId="3" borderId="8" applyAlignment="1" pivotButton="0" quotePrefix="0" xfId="3">
      <alignment horizontal="left" vertical="center" wrapText="1"/>
    </xf>
    <xf numFmtId="164" fontId="31" fillId="3" borderId="8" applyAlignment="1" pivotButton="0" quotePrefix="0" xfId="3">
      <alignment vertical="center" wrapText="1"/>
    </xf>
    <xf numFmtId="2" fontId="19" fillId="15" borderId="8" pivotButton="0" quotePrefix="0" xfId="3"/>
    <xf numFmtId="166" fontId="19" fillId="14" borderId="8" applyAlignment="1" pivotButton="0" quotePrefix="0" xfId="3">
      <alignment vertical="center" wrapText="1"/>
    </xf>
    <xf numFmtId="10" fontId="19" fillId="14" borderId="8" applyAlignment="1" pivotButton="0" quotePrefix="0" xfId="3">
      <alignment horizontal="center" vertical="center" wrapText="1"/>
    </xf>
    <xf numFmtId="166" fontId="19" fillId="14" borderId="8" applyAlignment="1" pivotButton="0" quotePrefix="0" xfId="3">
      <alignment horizontal="right" vertical="center" wrapText="1"/>
    </xf>
    <xf numFmtId="2" fontId="19" fillId="15" borderId="8" applyAlignment="1" pivotButton="0" quotePrefix="0" xfId="3">
      <alignment horizontal="right"/>
    </xf>
    <xf numFmtId="164" fontId="32" fillId="0" borderId="8" applyAlignment="1" pivotButton="0" quotePrefix="0" xfId="3">
      <alignment horizontal="center" vertical="center"/>
    </xf>
    <xf numFmtId="2" fontId="19" fillId="14" borderId="8" pivotButton="0" quotePrefix="0" xfId="3"/>
    <xf numFmtId="164" fontId="31" fillId="3" borderId="8" applyAlignment="1" pivotButton="0" quotePrefix="0" xfId="3">
      <alignment horizontal="left" vertical="center" wrapText="1" indent="2"/>
    </xf>
    <xf numFmtId="1" fontId="19" fillId="9" borderId="8" applyAlignment="1" applyProtection="1" pivotButton="0" quotePrefix="0" xfId="1">
      <alignment vertical="center"/>
      <protection locked="0" hidden="0"/>
    </xf>
    <xf numFmtId="164" fontId="42" fillId="0" borderId="8" applyAlignment="1" pivotButton="0" quotePrefix="0" xfId="7">
      <alignment horizontal="left" vertical="center" wrapText="1" indent="2"/>
    </xf>
    <xf numFmtId="164" fontId="42" fillId="0" borderId="8" applyAlignment="1" pivotButton="0" quotePrefix="0" xfId="7">
      <alignment horizontal="left" vertical="center" wrapText="1"/>
    </xf>
    <xf numFmtId="164" fontId="32" fillId="0" borderId="8" applyAlignment="1" pivotButton="0" quotePrefix="0" xfId="7">
      <alignment horizontal="left" vertical="center" wrapText="1" indent="2"/>
    </xf>
    <xf numFmtId="166" fontId="19" fillId="14" borderId="8" applyAlignment="1" pivotButton="0" quotePrefix="0" xfId="7">
      <alignment vertical="center" wrapText="1"/>
    </xf>
    <xf numFmtId="10" fontId="19" fillId="14" borderId="8" applyAlignment="1" pivotButton="0" quotePrefix="0" xfId="7">
      <alignment horizontal="center" vertical="center" wrapText="1"/>
    </xf>
    <xf numFmtId="166" fontId="19" fillId="14" borderId="8" applyAlignment="1" pivotButton="0" quotePrefix="0" xfId="7">
      <alignment horizontal="right" vertical="center" wrapText="1"/>
    </xf>
    <xf numFmtId="2" fontId="31" fillId="3" borderId="8" applyAlignment="1" pivotButton="0" quotePrefix="0" xfId="3">
      <alignment vertical="center"/>
    </xf>
    <xf numFmtId="2" fontId="31" fillId="3" borderId="8" applyAlignment="1" pivotButton="0" quotePrefix="0" xfId="3">
      <alignment horizontal="right" vertical="center"/>
    </xf>
    <xf numFmtId="164" fontId="32" fillId="0" borderId="8" applyAlignment="1" pivotButton="0" quotePrefix="0" xfId="7">
      <alignment horizontal="left" vertical="center" wrapText="1"/>
    </xf>
    <xf numFmtId="2" fontId="19" fillId="0" borderId="8" applyAlignment="1" pivotButton="0" quotePrefix="0" xfId="3">
      <alignment vertical="center"/>
    </xf>
    <xf numFmtId="2" fontId="19" fillId="0" borderId="8" applyAlignment="1" pivotButton="0" quotePrefix="0" xfId="3">
      <alignment horizontal="right" vertical="center"/>
    </xf>
    <xf numFmtId="164" fontId="31" fillId="3" borderId="8" applyAlignment="1" pivotButton="0" quotePrefix="1" xfId="3">
      <alignment horizontal="center" vertical="center"/>
    </xf>
    <xf numFmtId="0" fontId="0" fillId="0" borderId="0" pivotButton="0" quotePrefix="0" xfId="3"/>
    <xf numFmtId="164" fontId="19" fillId="0" borderId="8" applyAlignment="1" pivotButton="0" quotePrefix="1" xfId="3">
      <alignment horizontal="center" vertical="center"/>
    </xf>
    <xf numFmtId="164" fontId="42" fillId="3" borderId="8" applyAlignment="1" pivotButton="0" quotePrefix="0" xfId="7">
      <alignment horizontal="left" vertical="center" wrapText="1"/>
    </xf>
    <xf numFmtId="164" fontId="42" fillId="0" borderId="8" applyAlignment="1" pivotButton="0" quotePrefix="0" xfId="7">
      <alignment horizontal="left" vertical="center" wrapText="1" indent="2"/>
    </xf>
    <xf numFmtId="164" fontId="31" fillId="3" borderId="8" applyAlignment="1" pivotButton="0" quotePrefix="0" xfId="3">
      <alignment horizontal="left" vertical="top" wrapText="1" indent="2"/>
    </xf>
    <xf numFmtId="166" fontId="19" fillId="14" borderId="8" applyAlignment="1" pivotButton="0" quotePrefix="0" xfId="3">
      <alignment vertical="top" wrapText="1"/>
    </xf>
    <xf numFmtId="10" fontId="19" fillId="14" borderId="8" applyAlignment="1" pivotButton="0" quotePrefix="0" xfId="3">
      <alignment horizontal="center" vertical="top" wrapText="1"/>
    </xf>
    <xf numFmtId="166" fontId="19" fillId="14" borderId="8" applyAlignment="1" pivotButton="0" quotePrefix="0" xfId="3">
      <alignment horizontal="right" vertical="top" wrapText="1"/>
    </xf>
    <xf numFmtId="164" fontId="32" fillId="0" borderId="8" applyAlignment="1" pivotButton="0" quotePrefix="0" xfId="7">
      <alignment horizontal="left" vertical="center" wrapText="1" indent="2"/>
    </xf>
    <xf numFmtId="0" fontId="19" fillId="0" borderId="0" pivotButton="0" quotePrefix="0" xfId="3"/>
    <xf numFmtId="0" fontId="5" fillId="0" borderId="0" applyAlignment="1" pivotButton="0" quotePrefix="0" xfId="3">
      <alignment horizontal="center" vertical="center"/>
    </xf>
    <xf numFmtId="0" fontId="5" fillId="0" borderId="0" applyAlignment="1" pivotButton="0" quotePrefix="0" xfId="3">
      <alignment horizontal="right"/>
    </xf>
    <xf numFmtId="0" fontId="1" fillId="0" borderId="0" applyAlignment="1" pivotButton="0" quotePrefix="0" xfId="3">
      <alignment horizontal="right"/>
    </xf>
    <xf numFmtId="0" fontId="0" fillId="0" borderId="0" applyAlignment="1" pivotButton="0" quotePrefix="0" xfId="3">
      <alignment horizontal="right"/>
    </xf>
    <xf numFmtId="0" fontId="5" fillId="0" borderId="0" applyAlignment="1" pivotButton="0" quotePrefix="0" xfId="3">
      <alignment horizontal="left"/>
    </xf>
    <xf numFmtId="0" fontId="43" fillId="0" borderId="0" pivotButton="0" quotePrefix="0" xfId="0"/>
    <xf numFmtId="0" fontId="25" fillId="0" borderId="0" pivotButton="0" quotePrefix="0" xfId="0"/>
    <xf numFmtId="0" fontId="44" fillId="0" borderId="0" pivotButton="0" quotePrefix="0" xfId="0"/>
    <xf numFmtId="0" fontId="25" fillId="0" borderId="0" applyAlignment="1" pivotButton="0" quotePrefix="0" xfId="0">
      <alignment horizontal="center"/>
    </xf>
    <xf numFmtId="0" fontId="25" fillId="0" borderId="0" applyAlignment="1" pivotButton="0" quotePrefix="0" xfId="0">
      <alignment horizontal="center" vertical="center"/>
    </xf>
    <xf numFmtId="0" fontId="25" fillId="0" borderId="0" applyAlignment="1" pivotButton="0" quotePrefix="0" xfId="0">
      <alignment horizontal="left"/>
    </xf>
    <xf numFmtId="164" fontId="24" fillId="0" borderId="0" applyAlignment="1" pivotButton="0" quotePrefix="0" xfId="1">
      <alignment horizontal="left" vertical="center" wrapText="1"/>
    </xf>
    <xf numFmtId="164" fontId="23" fillId="0" borderId="0" applyAlignment="1" pivotButton="0" quotePrefix="0" xfId="1">
      <alignment horizontal="left" vertical="center"/>
    </xf>
    <xf numFmtId="43" fontId="25" fillId="0" borderId="0" applyAlignment="1" pivotButton="0" quotePrefix="0" xfId="0">
      <alignment horizontal="right"/>
    </xf>
    <xf numFmtId="9" fontId="25" fillId="0" borderId="0" applyAlignment="1" pivotButton="0" quotePrefix="0" xfId="2">
      <alignment horizontal="center"/>
    </xf>
    <xf numFmtId="0" fontId="25" fillId="0" borderId="0" applyAlignment="1" pivotButton="0" quotePrefix="0" xfId="0">
      <alignment horizontal="center" wrapText="1"/>
    </xf>
    <xf numFmtId="0" fontId="8" fillId="0" borderId="8" applyAlignment="1" pivotButton="0" quotePrefix="0" xfId="0">
      <alignment horizontal="center" vertical="center" wrapText="1"/>
    </xf>
    <xf numFmtId="43" fontId="45" fillId="0" borderId="0" applyAlignment="1" pivotButton="0" quotePrefix="0" xfId="0">
      <alignment horizontal="left" wrapText="1"/>
    </xf>
    <xf numFmtId="0" fontId="45" fillId="0" borderId="0" applyAlignment="1" pivotButton="0" quotePrefix="0" xfId="0">
      <alignment horizontal="left" wrapText="1"/>
    </xf>
    <xf numFmtId="9" fontId="45" fillId="0" borderId="0" applyAlignment="1" pivotButton="0" quotePrefix="0" xfId="2">
      <alignment horizontal="left" wrapText="1"/>
    </xf>
    <xf numFmtId="0" fontId="43" fillId="0" borderId="0" applyAlignment="1" pivotButton="0" quotePrefix="0" xfId="0">
      <alignment vertical="top"/>
    </xf>
    <xf numFmtId="0" fontId="25" fillId="0" borderId="0" applyAlignment="1" pivotButton="0" quotePrefix="0" xfId="0">
      <alignment vertical="top"/>
    </xf>
    <xf numFmtId="164" fontId="13" fillId="7" borderId="13" applyAlignment="1" pivotButton="0" quotePrefix="0" xfId="4">
      <alignment vertical="center" wrapText="1"/>
    </xf>
    <xf numFmtId="164" fontId="13" fillId="7" borderId="13" applyAlignment="1" pivotButton="0" quotePrefix="0" xfId="4">
      <alignment horizontal="center" vertical="center" wrapText="1"/>
    </xf>
    <xf numFmtId="49" fontId="14" fillId="6" borderId="13" applyAlignment="1" pivotButton="0" quotePrefix="0" xfId="0">
      <alignment horizontal="center" vertical="center" wrapText="1"/>
    </xf>
    <xf numFmtId="49" fontId="14" fillId="6" borderId="41" applyAlignment="1" pivotButton="0" quotePrefix="0" xfId="0">
      <alignment horizontal="center" vertical="center" wrapText="1"/>
    </xf>
    <xf numFmtId="0" fontId="17" fillId="5" borderId="8" applyAlignment="1" pivotButton="0" quotePrefix="0" xfId="0">
      <alignment horizontal="center" vertical="top" wrapText="1"/>
    </xf>
    <xf numFmtId="0" fontId="46" fillId="0" borderId="0" pivotButton="0" quotePrefix="0" xfId="0"/>
    <xf numFmtId="164" fontId="31" fillId="3" borderId="8" applyAlignment="1" pivotButton="0" quotePrefix="0" xfId="0">
      <alignment vertical="center" wrapText="1"/>
    </xf>
    <xf numFmtId="164" fontId="31" fillId="3" borderId="8" applyAlignment="1" pivotButton="0" quotePrefix="0" xfId="0">
      <alignment horizontal="center" vertical="center"/>
    </xf>
    <xf numFmtId="43" fontId="31" fillId="3" borderId="8" applyAlignment="1" pivotButton="0" quotePrefix="0" xfId="1">
      <alignment horizontal="right" vertical="center"/>
    </xf>
    <xf numFmtId="43" fontId="31" fillId="3" borderId="13" applyAlignment="1" pivotButton="0" quotePrefix="0" xfId="1">
      <alignment horizontal="right" vertical="center" wrapText="1"/>
    </xf>
    <xf numFmtId="10" fontId="31" fillId="3" borderId="8" applyAlignment="1" pivotButton="0" quotePrefix="0" xfId="2">
      <alignment horizontal="center" vertical="center" wrapText="1"/>
    </xf>
    <xf numFmtId="43" fontId="31" fillId="3" borderId="8" applyAlignment="1" pivotButton="0" quotePrefix="0" xfId="1">
      <alignment horizontal="center" vertical="center" wrapText="1"/>
    </xf>
    <xf numFmtId="9" fontId="31" fillId="3" borderId="8" applyAlignment="1" pivotButton="0" quotePrefix="0" xfId="2">
      <alignment horizontal="center" vertical="center" wrapText="1"/>
    </xf>
    <xf numFmtId="164" fontId="42" fillId="0" borderId="8" applyAlignment="1" pivotButton="0" quotePrefix="0" xfId="1">
      <alignment horizontal="left" vertical="center" wrapText="1"/>
    </xf>
    <xf numFmtId="164" fontId="42" fillId="0" borderId="8" applyAlignment="1" pivotButton="0" quotePrefix="0" xfId="1">
      <alignment horizontal="left" vertical="center" wrapText="1"/>
    </xf>
    <xf numFmtId="164" fontId="47" fillId="0" borderId="8" applyAlignment="1" pivotButton="0" quotePrefix="0" xfId="0">
      <alignment horizontal="center" vertical="center"/>
    </xf>
    <xf numFmtId="10" fontId="5" fillId="0" borderId="8" applyAlignment="1" pivotButton="0" quotePrefix="0" xfId="2">
      <alignment horizontal="center" vertical="center"/>
    </xf>
    <xf numFmtId="9" fontId="5" fillId="0" borderId="8" applyAlignment="1" pivotButton="0" quotePrefix="0" xfId="2">
      <alignment horizontal="center" vertical="center"/>
    </xf>
    <xf numFmtId="164" fontId="31" fillId="3" borderId="8" applyAlignment="1" pivotButton="0" quotePrefix="0" xfId="0">
      <alignment horizontal="left" vertical="center" wrapText="1"/>
    </xf>
    <xf numFmtId="164" fontId="48" fillId="3" borderId="8" applyAlignment="1" pivotButton="0" quotePrefix="0" xfId="0">
      <alignment horizontal="left" vertical="center" wrapText="1"/>
    </xf>
    <xf numFmtId="10" fontId="37" fillId="3" borderId="8" applyAlignment="1" pivotButton="0" quotePrefix="0" xfId="2">
      <alignment horizontal="center" vertical="center"/>
    </xf>
    <xf numFmtId="9" fontId="37" fillId="3" borderId="8" applyAlignment="1" pivotButton="0" quotePrefix="0" xfId="2">
      <alignment horizontal="center" vertical="center"/>
    </xf>
    <xf numFmtId="164" fontId="49" fillId="16" borderId="8" applyAlignment="1" pivotButton="0" quotePrefix="0" xfId="0">
      <alignment horizontal="left" vertical="center" wrapText="1"/>
    </xf>
    <xf numFmtId="164" fontId="49" fillId="16" borderId="8" applyAlignment="1" pivotButton="0" quotePrefix="0" xfId="0">
      <alignment horizontal="center" vertical="center" wrapText="1"/>
    </xf>
    <xf numFmtId="43" fontId="49" fillId="16" borderId="8" applyAlignment="1" pivotButton="0" quotePrefix="0" xfId="1">
      <alignment horizontal="right" vertical="center"/>
    </xf>
    <xf numFmtId="10" fontId="49" fillId="16" borderId="8" applyAlignment="1" pivotButton="0" quotePrefix="0" xfId="2">
      <alignment horizontal="center" vertical="center"/>
    </xf>
    <xf numFmtId="9" fontId="49" fillId="16" borderId="8" applyAlignment="1" pivotButton="0" quotePrefix="0" xfId="2">
      <alignment horizontal="center" vertical="center"/>
    </xf>
    <xf numFmtId="0" fontId="31" fillId="0" borderId="8" applyAlignment="1" pivotButton="0" quotePrefix="0" xfId="0">
      <alignment horizontal="left" wrapText="1"/>
    </xf>
    <xf numFmtId="164" fontId="32" fillId="0" borderId="8" applyAlignment="1" pivotButton="0" quotePrefix="0" xfId="0">
      <alignment horizontal="center" vertical="center"/>
    </xf>
    <xf numFmtId="164" fontId="42" fillId="0" borderId="8" applyAlignment="1" pivotButton="0" quotePrefix="0" xfId="1">
      <alignment horizontal="left" vertical="center" wrapText="1"/>
    </xf>
    <xf numFmtId="164" fontId="32" fillId="0" borderId="8" applyAlignment="1" pivotButton="0" quotePrefix="0" xfId="1">
      <alignment horizontal="left" vertical="center" wrapText="1"/>
    </xf>
    <xf numFmtId="43" fontId="19" fillId="14" borderId="8" applyAlignment="1" pivotButton="0" quotePrefix="0" xfId="1">
      <alignment horizontal="right" vertical="center"/>
    </xf>
    <xf numFmtId="43" fontId="5" fillId="0" borderId="8" applyAlignment="1" pivotButton="0" quotePrefix="0" xfId="1">
      <alignment horizontal="right" vertical="center"/>
    </xf>
    <xf numFmtId="164" fontId="50" fillId="16" borderId="8" applyAlignment="1" pivotButton="0" quotePrefix="0" xfId="0">
      <alignment horizontal="left" vertical="center" wrapText="1"/>
    </xf>
    <xf numFmtId="164" fontId="50" fillId="16" borderId="8" applyAlignment="1" pivotButton="0" quotePrefix="0" xfId="0">
      <alignment horizontal="center" vertical="center" wrapText="1"/>
    </xf>
    <xf numFmtId="43" fontId="50" fillId="16" borderId="8" applyAlignment="1" pivotButton="0" quotePrefix="0" xfId="1">
      <alignment horizontal="right" vertical="center"/>
    </xf>
    <xf numFmtId="10" fontId="50" fillId="16" borderId="8" applyAlignment="1" pivotButton="0" quotePrefix="0" xfId="2">
      <alignment horizontal="center" vertical="center"/>
    </xf>
    <xf numFmtId="9" fontId="50" fillId="16" borderId="8" applyAlignment="1" pivotButton="0" quotePrefix="0" xfId="2">
      <alignment horizontal="center" vertical="center"/>
    </xf>
    <xf numFmtId="0" fontId="31" fillId="0" borderId="8" pivotButton="0" quotePrefix="0" xfId="0"/>
    <xf numFmtId="0" fontId="37" fillId="0" borderId="0" pivotButton="0" quotePrefix="0" xfId="0"/>
    <xf numFmtId="167" fontId="31" fillId="0" borderId="8" applyAlignment="1" pivotButton="0" quotePrefix="0" xfId="0">
      <alignment horizontal="left" wrapText="1"/>
    </xf>
    <xf numFmtId="0" fontId="46" fillId="0" borderId="0" applyAlignment="1" pivotButton="0" quotePrefix="0" xfId="0">
      <alignment vertical="center"/>
    </xf>
    <xf numFmtId="0" fontId="31" fillId="0" borderId="8" applyAlignment="1" pivotButton="0" quotePrefix="0" xfId="0">
      <alignment horizontal="left" vertical="center" wrapText="1"/>
    </xf>
    <xf numFmtId="0" fontId="5" fillId="0" borderId="0" applyAlignment="1" pivotButton="0" quotePrefix="0" xfId="0">
      <alignment vertical="center"/>
    </xf>
    <xf numFmtId="164" fontId="45" fillId="3" borderId="8" applyAlignment="1" pivotButton="0" quotePrefix="0" xfId="1">
      <alignment horizontal="left" vertical="center" wrapText="1"/>
    </xf>
    <xf numFmtId="164" fontId="45" fillId="3" borderId="8" applyAlignment="1" pivotButton="0" quotePrefix="0" xfId="1">
      <alignment horizontal="left" vertical="center" wrapText="1"/>
    </xf>
    <xf numFmtId="164" fontId="48" fillId="3" borderId="8" applyAlignment="1" pivotButton="0" quotePrefix="0" xfId="0">
      <alignment vertical="center" wrapText="1"/>
    </xf>
    <xf numFmtId="164" fontId="31" fillId="0" borderId="8" applyAlignment="1" pivotButton="0" quotePrefix="0" xfId="0">
      <alignment vertical="center" wrapText="1"/>
    </xf>
    <xf numFmtId="164" fontId="32" fillId="0" borderId="8" applyAlignment="1" pivotButton="0" quotePrefix="0" xfId="1">
      <alignment horizontal="left" vertical="center" wrapText="1"/>
    </xf>
    <xf numFmtId="9" fontId="25" fillId="0" borderId="0" pivotButton="0" quotePrefix="0" xfId="2"/>
    <xf numFmtId="9" fontId="25" fillId="0" borderId="0" applyAlignment="1" pivotButton="0" quotePrefix="0" xfId="2">
      <alignment horizontal="center" vertical="center"/>
    </xf>
    <xf numFmtId="164" fontId="4" fillId="0" borderId="0" applyAlignment="1" pivotButton="0" quotePrefix="0" xfId="1">
      <alignment horizontal="left" vertical="center" indent="8"/>
    </xf>
    <xf numFmtId="164" fontId="24" fillId="0" borderId="0" applyAlignment="1" pivotButton="0" quotePrefix="0" xfId="1">
      <alignment horizontal="left" vertical="center" wrapText="1"/>
    </xf>
    <xf numFmtId="0" fontId="8" fillId="0" borderId="0" applyAlignment="1" pivotButton="0" quotePrefix="0" xfId="0">
      <alignment horizontal="center" vertical="center" wrapText="1"/>
    </xf>
    <xf numFmtId="43" fontId="25" fillId="0" borderId="0" applyAlignment="1" pivotButton="0" quotePrefix="0" xfId="0">
      <alignment horizontal="center"/>
    </xf>
    <xf numFmtId="164" fontId="23" fillId="0" borderId="0" applyAlignment="1" pivotButton="0" quotePrefix="0" xfId="1">
      <alignment horizontal="center" vertical="center" wrapText="1"/>
    </xf>
    <xf numFmtId="0" fontId="11" fillId="0" borderId="0" applyAlignment="1" pivotButton="0" quotePrefix="0" xfId="0">
      <alignment horizontal="left" vertical="center"/>
    </xf>
    <xf numFmtId="164" fontId="39" fillId="0" borderId="0" applyAlignment="1" pivotButton="0" quotePrefix="0" xfId="1">
      <alignment horizontal="left" vertical="center" wrapText="1"/>
    </xf>
    <xf numFmtId="164" fontId="13" fillId="4" borderId="8" applyAlignment="1" pivotButton="0" quotePrefix="0" xfId="4">
      <alignment vertical="center" wrapText="1"/>
    </xf>
    <xf numFmtId="164" fontId="13" fillId="4" borderId="8" applyAlignment="1" pivotButton="0" quotePrefix="0" xfId="4">
      <alignment horizontal="center" vertical="center" wrapText="1"/>
    </xf>
    <xf numFmtId="49" fontId="14" fillId="5" borderId="8" applyAlignment="1" pivotButton="0" quotePrefix="0" xfId="0">
      <alignment horizontal="center" vertical="center" wrapText="1"/>
    </xf>
    <xf numFmtId="0" fontId="43" fillId="0" borderId="0" applyAlignment="1" pivotButton="0" quotePrefix="0" xfId="0">
      <alignment horizontal="center"/>
    </xf>
    <xf numFmtId="0" fontId="17" fillId="5" borderId="8" applyAlignment="1" pivotButton="0" quotePrefix="0" xfId="2">
      <alignment horizontal="center" vertical="top" wrapText="1"/>
    </xf>
    <xf numFmtId="43" fontId="31" fillId="3" borderId="8" applyAlignment="1" pivotButton="0" quotePrefix="0" xfId="1">
      <alignment vertical="center"/>
    </xf>
    <xf numFmtId="43" fontId="49" fillId="16" borderId="8" applyAlignment="1" pivotButton="0" quotePrefix="0" xfId="1">
      <alignment vertical="center"/>
    </xf>
    <xf numFmtId="43" fontId="49" fillId="16" borderId="8" applyAlignment="1" pivotButton="0" quotePrefix="0" xfId="1">
      <alignment horizontal="right" vertical="center" wrapText="1"/>
    </xf>
    <xf numFmtId="9" fontId="49" fillId="16" borderId="8" applyAlignment="1" pivotButton="0" quotePrefix="0" xfId="2">
      <alignment horizontal="center" vertical="center" wrapText="1"/>
    </xf>
    <xf numFmtId="43" fontId="19" fillId="9" borderId="8" applyAlignment="1" applyProtection="1" pivotButton="0" quotePrefix="0" xfId="1">
      <alignment vertical="center"/>
      <protection locked="0" hidden="0"/>
    </xf>
    <xf numFmtId="164" fontId="32" fillId="0" borderId="8" applyAlignment="1" pivotButton="0" quotePrefix="0" xfId="1">
      <alignment horizontal="left" vertical="center" wrapText="1"/>
    </xf>
    <xf numFmtId="43" fontId="19" fillId="14" borderId="8" applyAlignment="1" pivotButton="0" quotePrefix="0" xfId="1">
      <alignment vertical="center"/>
    </xf>
    <xf numFmtId="43" fontId="50" fillId="16" borderId="8" applyAlignment="1" pivotButton="0" quotePrefix="0" xfId="1">
      <alignment vertical="center"/>
    </xf>
    <xf numFmtId="43" fontId="50" fillId="16" borderId="8" applyAlignment="1" pivotButton="0" quotePrefix="0" xfId="1">
      <alignment horizontal="right" vertical="center" wrapText="1"/>
    </xf>
    <xf numFmtId="9" fontId="50" fillId="16" borderId="8" applyAlignment="1" pivotButton="0" quotePrefix="0" xfId="2">
      <alignment horizontal="center" vertical="center" wrapText="1"/>
    </xf>
    <xf numFmtId="164" fontId="31" fillId="3" borderId="8" applyAlignment="1" pivotButton="0" quotePrefix="0" xfId="0">
      <alignment horizontal="left" vertical="top" wrapText="1"/>
    </xf>
    <xf numFmtId="164" fontId="31" fillId="3" borderId="8" applyAlignment="1" pivotButton="0" quotePrefix="0" xfId="0">
      <alignment horizontal="center" vertical="top"/>
    </xf>
    <xf numFmtId="43" fontId="31" fillId="3" borderId="8" applyAlignment="1" pivotButton="0" quotePrefix="0" xfId="1">
      <alignment horizontal="right" vertical="top" wrapText="1"/>
    </xf>
    <xf numFmtId="9" fontId="31" fillId="3" borderId="8" applyAlignment="1" pivotButton="0" quotePrefix="0" xfId="2">
      <alignment horizontal="center" vertical="top" wrapText="1"/>
    </xf>
    <xf numFmtId="9" fontId="25" fillId="0" borderId="0" applyAlignment="1" pivotButton="0" quotePrefix="0" xfId="2">
      <alignment horizontal="center" vertical="center"/>
    </xf>
    <xf numFmtId="0" fontId="25" fillId="0" borderId="0" applyAlignment="1" pivotButton="0" quotePrefix="0" xfId="0">
      <alignment horizontal="right"/>
    </xf>
    <xf numFmtId="164" fontId="4" fillId="0" borderId="0" applyAlignment="1" pivotButton="0" quotePrefix="0" xfId="1">
      <alignment horizontal="left" vertical="center"/>
    </xf>
    <xf numFmtId="164" fontId="23" fillId="0" borderId="0" applyAlignment="1" pivotButton="0" quotePrefix="0" xfId="1">
      <alignment horizontal="left" vertical="center"/>
    </xf>
    <xf numFmtId="164" fontId="23" fillId="0" borderId="0" applyAlignment="1" pivotButton="0" quotePrefix="0" xfId="1">
      <alignment horizontal="left" vertical="center" wrapText="1"/>
    </xf>
    <xf numFmtId="4" fontId="25" fillId="0" borderId="0" applyAlignment="1" pivotButton="0" quotePrefix="0" xfId="0">
      <alignment horizontal="center"/>
    </xf>
    <xf numFmtId="164" fontId="23" fillId="0" borderId="0" applyAlignment="1" pivotButton="0" quotePrefix="0" xfId="1">
      <alignment horizontal="center" vertical="center" wrapText="1"/>
    </xf>
    <xf numFmtId="0" fontId="11" fillId="0" borderId="0" applyAlignment="1" pivotButton="0" quotePrefix="0" xfId="0">
      <alignment horizontal="left"/>
    </xf>
    <xf numFmtId="0" fontId="39" fillId="0" borderId="0" applyAlignment="1" pivotButton="0" quotePrefix="0" xfId="0">
      <alignment horizontal="left" wrapText="1"/>
    </xf>
    <xf numFmtId="0" fontId="39" fillId="0" borderId="9" applyAlignment="1" pivotButton="0" quotePrefix="0" xfId="0">
      <alignment horizontal="left" vertical="center" wrapText="1"/>
    </xf>
    <xf numFmtId="0" fontId="25" fillId="0" borderId="0" applyAlignment="1" pivotButton="0" quotePrefix="0" xfId="0">
      <alignment horizontal="center" vertical="top"/>
    </xf>
    <xf numFmtId="165" fontId="15" fillId="13" borderId="1" applyAlignment="1" pivotButton="0" quotePrefix="0" xfId="1">
      <alignment horizontal="center" vertical="center" wrapText="1"/>
    </xf>
    <xf numFmtId="9" fontId="15" fillId="13" borderId="1" applyAlignment="1" pivotButton="0" quotePrefix="0" xfId="2">
      <alignment horizontal="center" vertical="center" wrapText="1"/>
    </xf>
    <xf numFmtId="10" fontId="15" fillId="13" borderId="1" applyAlignment="1" pivotButton="0" quotePrefix="0" xfId="2">
      <alignment horizontal="center" vertical="center" wrapText="1"/>
    </xf>
    <xf numFmtId="9" fontId="15" fillId="5" borderId="1" applyAlignment="1" pivotButton="0" quotePrefix="0" xfId="2">
      <alignment horizontal="center" vertical="center" wrapText="1"/>
    </xf>
    <xf numFmtId="10" fontId="15" fillId="5" borderId="1" applyAlignment="1" pivotButton="0" quotePrefix="0" xfId="2">
      <alignment horizontal="center" vertical="center" wrapText="1"/>
    </xf>
    <xf numFmtId="164" fontId="13" fillId="4" borderId="1" applyAlignment="1" pivotButton="0" quotePrefix="0" xfId="4">
      <alignment vertical="center" wrapText="1"/>
    </xf>
    <xf numFmtId="49" fontId="14" fillId="5" borderId="1" applyAlignment="1" pivotButton="0" quotePrefix="0" xfId="0">
      <alignment horizontal="center" vertical="center" wrapText="1"/>
    </xf>
    <xf numFmtId="49" fontId="14" fillId="5" borderId="12" applyAlignment="1" pivotButton="0" quotePrefix="0" xfId="0">
      <alignment horizontal="center" vertical="center" wrapText="1"/>
    </xf>
    <xf numFmtId="0" fontId="17" fillId="5" borderId="1" applyAlignment="1" pivotButton="0" quotePrefix="0" xfId="0">
      <alignment horizontal="center" vertical="top" wrapText="1"/>
    </xf>
    <xf numFmtId="164" fontId="52" fillId="3" borderId="13" applyAlignment="1" pivotButton="0" quotePrefix="0" xfId="0">
      <alignment vertical="center" wrapText="1"/>
    </xf>
    <xf numFmtId="164" fontId="52" fillId="3" borderId="13" applyAlignment="1" pivotButton="0" quotePrefix="0" xfId="0">
      <alignment horizontal="center" vertical="center"/>
    </xf>
    <xf numFmtId="166" fontId="31" fillId="3" borderId="13" applyAlignment="1" pivotButton="0" quotePrefix="0" xfId="0">
      <alignment horizontal="right" vertical="center" wrapText="1"/>
    </xf>
    <xf numFmtId="9" fontId="31" fillId="3" borderId="13" applyAlignment="1" pivotButton="0" quotePrefix="0" xfId="2">
      <alignment horizontal="center" vertical="center" wrapText="1"/>
    </xf>
    <xf numFmtId="166" fontId="31" fillId="3" borderId="13" applyAlignment="1" pivotButton="0" quotePrefix="0" xfId="0">
      <alignment horizontal="center" vertical="center" wrapText="1"/>
    </xf>
    <xf numFmtId="164" fontId="35" fillId="0" borderId="8" applyAlignment="1" pivotButton="0" quotePrefix="0" xfId="1">
      <alignment horizontal="left" vertical="center" wrapText="1"/>
    </xf>
    <xf numFmtId="43" fontId="19" fillId="0" borderId="8" applyAlignment="1" pivotButton="0" quotePrefix="0" xfId="1">
      <alignment horizontal="right"/>
    </xf>
    <xf numFmtId="166" fontId="19" fillId="14" borderId="8" applyAlignment="1" pivotButton="0" quotePrefix="0" xfId="0">
      <alignment horizontal="right"/>
    </xf>
    <xf numFmtId="9" fontId="19" fillId="14" borderId="8" applyAlignment="1" pivotButton="0" quotePrefix="0" xfId="2">
      <alignment horizontal="center"/>
    </xf>
    <xf numFmtId="164" fontId="52" fillId="3" borderId="8" applyAlignment="1" pivotButton="0" quotePrefix="0" xfId="0">
      <alignment horizontal="left" vertical="center" wrapText="1"/>
    </xf>
    <xf numFmtId="164" fontId="52" fillId="3" borderId="8" applyAlignment="1" pivotButton="0" quotePrefix="0" xfId="0">
      <alignment vertical="center" wrapText="1"/>
    </xf>
    <xf numFmtId="164" fontId="52" fillId="3" borderId="8" applyAlignment="1" pivotButton="0" quotePrefix="0" xfId="0">
      <alignment horizontal="center" vertical="center"/>
    </xf>
    <xf numFmtId="9" fontId="19" fillId="14" borderId="8" applyAlignment="1" pivotButton="0" quotePrefix="0" xfId="2">
      <alignment horizontal="center" vertical="center" wrapText="1"/>
    </xf>
    <xf numFmtId="164" fontId="53" fillId="16" borderId="8" applyAlignment="1" pivotButton="0" quotePrefix="0" xfId="0">
      <alignment horizontal="left" vertical="center" wrapText="1"/>
    </xf>
    <xf numFmtId="164" fontId="54" fillId="16" borderId="8" applyAlignment="1" pivotButton="0" quotePrefix="0" xfId="0">
      <alignment horizontal="center" vertical="center" wrapText="1"/>
    </xf>
    <xf numFmtId="0" fontId="52" fillId="0" borderId="8" applyAlignment="1" pivotButton="0" quotePrefix="0" xfId="0">
      <alignment horizontal="left" wrapText="1"/>
    </xf>
    <xf numFmtId="164" fontId="36" fillId="0" borderId="8" applyAlignment="1" pivotButton="0" quotePrefix="0" xfId="0">
      <alignment horizontal="center" vertical="center"/>
    </xf>
    <xf numFmtId="9" fontId="5" fillId="14" borderId="8" applyAlignment="1" pivotButton="0" quotePrefix="0" xfId="2">
      <alignment horizontal="center"/>
    </xf>
    <xf numFmtId="164" fontId="35" fillId="0" borderId="8" applyAlignment="1" pivotButton="0" quotePrefix="0" xfId="1">
      <alignment horizontal="left" vertical="center" wrapText="1"/>
    </xf>
    <xf numFmtId="164" fontId="55" fillId="16" borderId="8" applyAlignment="1" pivotButton="0" quotePrefix="0" xfId="0">
      <alignment horizontal="left" vertical="center" wrapText="1"/>
    </xf>
    <xf numFmtId="164" fontId="55" fillId="16" borderId="8" applyAlignment="1" pivotButton="0" quotePrefix="0" xfId="0">
      <alignment horizontal="center" vertical="center" wrapText="1"/>
    </xf>
    <xf numFmtId="43" fontId="55" fillId="16" borderId="8" applyAlignment="1" pivotButton="0" quotePrefix="0" xfId="1">
      <alignment horizontal="right" vertical="center" wrapText="1"/>
    </xf>
    <xf numFmtId="164" fontId="36" fillId="0" borderId="8" applyAlignment="1" pivotButton="0" quotePrefix="0" xfId="1">
      <alignment horizontal="left" vertical="center" wrapText="1"/>
    </xf>
    <xf numFmtId="166" fontId="25" fillId="0" borderId="0" applyAlignment="1" pivotButton="0" quotePrefix="0" xfId="0">
      <alignment horizontal="center"/>
    </xf>
    <xf numFmtId="9" fontId="25" fillId="0" borderId="0" applyAlignment="1" pivotButton="0" quotePrefix="0" xfId="2">
      <alignment horizontal="center" vertical="center"/>
    </xf>
    <xf numFmtId="166" fontId="25" fillId="0" borderId="0" applyAlignment="1" pivotButton="0" quotePrefix="0" xfId="0">
      <alignment horizontal="left"/>
    </xf>
    <xf numFmtId="9" fontId="25" fillId="0" borderId="0" applyAlignment="1" pivotButton="0" quotePrefix="0" xfId="2">
      <alignment horizontal="center"/>
    </xf>
    <xf numFmtId="9" fontId="25" fillId="0" borderId="0" applyAlignment="1" pivotButton="0" quotePrefix="0" xfId="2">
      <alignment horizontal="center"/>
    </xf>
    <xf numFmtId="43" fontId="5" fillId="0" borderId="0" pivotButton="0" quotePrefix="0" xfId="1"/>
    <xf numFmtId="164" fontId="4" fillId="0" borderId="0" applyAlignment="1" pivotButton="0" quotePrefix="0" xfId="1">
      <alignment horizontal="left" vertical="center" indent="3"/>
    </xf>
    <xf numFmtId="43" fontId="5" fillId="0" borderId="0" pivotButton="0" quotePrefix="0" xfId="1"/>
    <xf numFmtId="0" fontId="56" fillId="0" borderId="0" pivotButton="0" quotePrefix="0" xfId="0"/>
    <xf numFmtId="0" fontId="57" fillId="0" borderId="0" applyAlignment="1" pivotButton="0" quotePrefix="0" xfId="0">
      <alignment horizontal="center"/>
    </xf>
    <xf numFmtId="0" fontId="8" fillId="0" borderId="8" applyAlignment="1" pivotButton="0" quotePrefix="0" xfId="0">
      <alignment horizontal="center" vertical="top"/>
    </xf>
    <xf numFmtId="14" fontId="8" fillId="2" borderId="8" applyAlignment="1" pivotButton="0" quotePrefix="0" xfId="3">
      <alignment horizontal="center" vertical="top" wrapText="1"/>
    </xf>
    <xf numFmtId="0" fontId="37" fillId="14" borderId="0" applyAlignment="1" pivotButton="0" quotePrefix="0" xfId="0">
      <alignment horizontal="center" vertical="top"/>
    </xf>
    <xf numFmtId="43" fontId="5" fillId="0" borderId="0" pivotButton="0" quotePrefix="0" xfId="0"/>
    <xf numFmtId="0" fontId="37" fillId="14" borderId="0" applyAlignment="1" pivotButton="0" quotePrefix="0" xfId="0">
      <alignment horizontal="center" vertical="center"/>
    </xf>
    <xf numFmtId="0" fontId="5" fillId="0" borderId="0" applyAlignment="1" pivotButton="0" quotePrefix="0" xfId="0">
      <alignment horizontal="left"/>
    </xf>
    <xf numFmtId="43" fontId="5" fillId="0" borderId="0" applyAlignment="1" pivotButton="0" quotePrefix="0" xfId="0">
      <alignment horizontal="left"/>
    </xf>
    <xf numFmtId="0" fontId="37" fillId="0" borderId="0" applyAlignment="1" pivotButton="0" quotePrefix="0" xfId="0">
      <alignment horizontal="left" vertical="top"/>
    </xf>
    <xf numFmtId="165" fontId="44" fillId="3" borderId="20" applyAlignment="1" pivotButton="0" quotePrefix="0" xfId="1">
      <alignment horizontal="left"/>
    </xf>
    <xf numFmtId="9" fontId="5" fillId="0" borderId="0" applyAlignment="1" pivotButton="0" quotePrefix="0" xfId="2">
      <alignment horizontal="left"/>
    </xf>
    <xf numFmtId="49" fontId="15" fillId="5" borderId="8" applyAlignment="1" pivotButton="0" quotePrefix="0" xfId="0">
      <alignment horizontal="center" vertical="center" wrapText="1"/>
    </xf>
    <xf numFmtId="9" fontId="15" fillId="5" borderId="8" applyAlignment="1" pivotButton="0" quotePrefix="0" xfId="2">
      <alignment horizontal="center" vertical="center" wrapText="1"/>
    </xf>
    <xf numFmtId="164" fontId="13" fillId="4" borderId="8" applyAlignment="1" pivotButton="0" quotePrefix="0" xfId="5">
      <alignment horizontal="center" vertical="center"/>
    </xf>
    <xf numFmtId="164" fontId="13" fillId="4" borderId="12" applyAlignment="1" pivotButton="0" quotePrefix="0" xfId="5">
      <alignment horizontal="center" vertical="center"/>
    </xf>
    <xf numFmtId="0" fontId="5" fillId="18" borderId="0" pivotButton="0" quotePrefix="0" xfId="0"/>
    <xf numFmtId="9" fontId="5" fillId="18" borderId="0" pivotButton="0" quotePrefix="0" xfId="2"/>
    <xf numFmtId="0" fontId="5" fillId="18" borderId="0" applyAlignment="1" pivotButton="0" quotePrefix="0" xfId="0">
      <alignment horizontal="right"/>
    </xf>
    <xf numFmtId="0" fontId="5" fillId="0" borderId="8" pivotButton="0" quotePrefix="0" xfId="0"/>
    <xf numFmtId="0" fontId="37" fillId="0" borderId="8" applyAlignment="1" pivotButton="0" quotePrefix="0" xfId="0">
      <alignment horizontal="left" vertical="top"/>
    </xf>
    <xf numFmtId="168" fontId="31" fillId="0" borderId="8" applyAlignment="1" pivotButton="0" quotePrefix="0" xfId="9">
      <alignment horizontal="left" vertical="top"/>
    </xf>
    <xf numFmtId="0" fontId="37" fillId="0" borderId="8" applyAlignment="1" pivotButton="0" quotePrefix="0" xfId="0">
      <alignment horizontal="center" vertical="center"/>
    </xf>
    <xf numFmtId="0" fontId="0" fillId="0" borderId="8" pivotButton="0" quotePrefix="0" xfId="0"/>
    <xf numFmtId="0" fontId="5" fillId="0" borderId="8" applyAlignment="1" pivotButton="0" quotePrefix="0" xfId="0">
      <alignment horizontal="center" vertical="center" wrapText="1"/>
    </xf>
    <xf numFmtId="4" fontId="37" fillId="14" borderId="8" applyAlignment="1" pivotButton="0" quotePrefix="0" xfId="1">
      <alignment horizontal="right" vertical="center"/>
    </xf>
    <xf numFmtId="43" fontId="37" fillId="14" borderId="8" applyAlignment="1" pivotButton="0" quotePrefix="0" xfId="1">
      <alignment horizontal="right" vertical="center"/>
    </xf>
    <xf numFmtId="9" fontId="37" fillId="14" borderId="8" applyAlignment="1" pivotButton="0" quotePrefix="0" xfId="5">
      <alignment horizontal="center" vertical="center"/>
    </xf>
    <xf numFmtId="9" fontId="5" fillId="14" borderId="0" applyAlignment="1" pivotButton="0" quotePrefix="0" xfId="2">
      <alignment horizontal="center"/>
    </xf>
    <xf numFmtId="4" fontId="5" fillId="18" borderId="0" pivotButton="0" quotePrefix="0" xfId="2"/>
    <xf numFmtId="0" fontId="5" fillId="0" borderId="8" applyAlignment="1" pivotButton="0" quotePrefix="0" xfId="0">
      <alignment horizontal="left" vertical="top"/>
    </xf>
    <xf numFmtId="0" fontId="31" fillId="0" borderId="8" applyAlignment="1" pivotButton="0" quotePrefix="0" xfId="0">
      <alignment horizontal="left" vertical="top"/>
    </xf>
    <xf numFmtId="4" fontId="5" fillId="14" borderId="8" applyAlignment="1" pivotButton="0" quotePrefix="0" xfId="1">
      <alignment horizontal="right" vertical="center"/>
    </xf>
    <xf numFmtId="9" fontId="5" fillId="14" borderId="8" applyAlignment="1" pivotButton="0" quotePrefix="0" xfId="5">
      <alignment horizontal="center" vertical="center"/>
    </xf>
    <xf numFmtId="0" fontId="61" fillId="19" borderId="8" applyAlignment="1" applyProtection="1" pivotButton="0" quotePrefix="0" xfId="10">
      <alignment horizontal="left" vertical="top"/>
      <protection locked="0" hidden="0"/>
    </xf>
    <xf numFmtId="0" fontId="61" fillId="19" borderId="8" applyAlignment="1" applyProtection="1" pivotButton="0" quotePrefix="0" xfId="10">
      <alignment horizontal="left" vertical="top" wrapText="1"/>
      <protection locked="0" hidden="0"/>
    </xf>
    <xf numFmtId="0" fontId="5" fillId="0" borderId="8" applyAlignment="1" pivotButton="0" quotePrefix="0" xfId="0">
      <alignment horizontal="center" vertical="center"/>
    </xf>
    <xf numFmtId="14" fontId="5" fillId="0" borderId="8" applyAlignment="1" pivotButton="0" quotePrefix="0" xfId="0">
      <alignment horizontal="center" vertical="center"/>
    </xf>
    <xf numFmtId="4" fontId="19" fillId="14" borderId="8" applyAlignment="1" pivotButton="0" quotePrefix="0" xfId="1">
      <alignment horizontal="right" vertical="center"/>
    </xf>
    <xf numFmtId="2" fontId="5" fillId="0" borderId="8" applyAlignment="1" pivotButton="0" quotePrefix="0" xfId="0">
      <alignment horizontal="right" vertical="center"/>
    </xf>
    <xf numFmtId="0" fontId="5" fillId="0" borderId="8" applyAlignment="1" pivotButton="0" quotePrefix="0" xfId="0">
      <alignment horizontal="left" vertical="center"/>
    </xf>
    <xf numFmtId="0" fontId="5" fillId="14" borderId="8" applyAlignment="1" pivotButton="0" quotePrefix="0" xfId="5">
      <alignment horizontal="center" vertical="center"/>
    </xf>
    <xf numFmtId="2" fontId="19" fillId="14" borderId="8" applyAlignment="1" pivotButton="0" quotePrefix="0" xfId="9">
      <alignment horizontal="right" vertical="center" wrapText="1"/>
    </xf>
    <xf numFmtId="0" fontId="42" fillId="0" borderId="8" applyAlignment="1" pivotButton="0" quotePrefix="0" xfId="0">
      <alignment horizontal="left" vertical="top"/>
    </xf>
    <xf numFmtId="0" fontId="32" fillId="0" borderId="8" applyAlignment="1" pivotButton="0" quotePrefix="0" xfId="10">
      <alignment horizontal="left" vertical="top"/>
    </xf>
    <xf numFmtId="0" fontId="61" fillId="2" borderId="8" applyAlignment="1" pivotButton="0" quotePrefix="0" xfId="10">
      <alignment horizontal="left" vertical="top" wrapText="1"/>
    </xf>
    <xf numFmtId="0" fontId="5" fillId="2" borderId="8" applyAlignment="1" pivotButton="0" quotePrefix="0" xfId="10">
      <alignment horizontal="right" vertical="center" wrapText="1"/>
    </xf>
    <xf numFmtId="14" fontId="5" fillId="2" borderId="8" applyAlignment="1" pivotButton="0" quotePrefix="0" xfId="10">
      <alignment horizontal="right" vertical="center" wrapText="1"/>
    </xf>
    <xf numFmtId="164" fontId="16" fillId="0" borderId="8" applyAlignment="1" pivotButton="0" quotePrefix="0" xfId="5">
      <alignment horizontal="center" vertical="center"/>
    </xf>
    <xf numFmtId="0" fontId="37" fillId="14" borderId="8" applyAlignment="1" pivotButton="0" quotePrefix="0" xfId="5">
      <alignment horizontal="center" vertical="center"/>
    </xf>
    <xf numFmtId="1" fontId="19" fillId="14" borderId="8" applyAlignment="1" pivotButton="0" quotePrefix="0" xfId="1">
      <alignment horizontal="right" vertical="center"/>
    </xf>
    <xf numFmtId="0" fontId="5" fillId="0" borderId="0" applyAlignment="1" pivotButton="0" quotePrefix="0" xfId="0">
      <alignment vertical="top"/>
    </xf>
    <xf numFmtId="0" fontId="5" fillId="9" borderId="8" applyAlignment="1" pivotButton="0" quotePrefix="0" xfId="5">
      <alignment horizontal="center" vertical="center"/>
    </xf>
    <xf numFmtId="0" fontId="31" fillId="0" borderId="8" applyAlignment="1" pivotButton="0" quotePrefix="0" xfId="10">
      <alignment horizontal="left" vertical="top"/>
    </xf>
    <xf numFmtId="0" fontId="19" fillId="0" borderId="8" applyAlignment="1" pivotButton="0" quotePrefix="0" xfId="10">
      <alignment horizontal="left" vertical="top"/>
    </xf>
    <xf numFmtId="0" fontId="42" fillId="9" borderId="8" applyAlignment="1" pivotButton="0" quotePrefix="0" xfId="0">
      <alignment horizontal="left" vertical="top"/>
    </xf>
    <xf numFmtId="168" fontId="31" fillId="0" borderId="8" applyAlignment="1" pivotButton="0" quotePrefix="0" xfId="9">
      <alignment horizontal="left" vertical="top"/>
    </xf>
    <xf numFmtId="9" fontId="5" fillId="0" borderId="0" pivotButton="0" quotePrefix="0" xfId="0"/>
    <xf numFmtId="43" fontId="5" fillId="0" borderId="0" pivotButton="0" quotePrefix="0" xfId="1"/>
    <xf numFmtId="43" fontId="5" fillId="0" borderId="0" pivotButton="0" quotePrefix="0" xfId="1"/>
    <xf numFmtId="0" fontId="44" fillId="10" borderId="0" applyAlignment="1" pivotButton="0" quotePrefix="0" xfId="5">
      <alignment horizontal="left"/>
    </xf>
    <xf numFmtId="165" fontId="15" fillId="5" borderId="8" applyAlignment="1" pivotButton="0" quotePrefix="0" xfId="1">
      <alignment horizontal="center" vertical="center" wrapText="1"/>
    </xf>
    <xf numFmtId="164" fontId="13" fillId="4" borderId="41" applyAlignment="1" pivotButton="0" quotePrefix="0" xfId="5">
      <alignment horizontal="center" vertical="center"/>
    </xf>
    <xf numFmtId="164" fontId="16" fillId="4" borderId="8" applyAlignment="1" pivotButton="0" quotePrefix="0" xfId="5">
      <alignment horizontal="center" vertical="center"/>
    </xf>
    <xf numFmtId="164" fontId="5" fillId="0" borderId="0" applyAlignment="1" pivotButton="0" quotePrefix="0" xfId="0">
      <alignment horizontal="center"/>
    </xf>
    <xf numFmtId="0" fontId="5" fillId="0" borderId="0" applyAlignment="1" pivotButton="0" quotePrefix="0" xfId="0">
      <alignment horizontal="center"/>
    </xf>
    <xf numFmtId="0" fontId="63" fillId="0" borderId="8" applyAlignment="1" pivotButton="0" quotePrefix="0" xfId="0">
      <alignment horizontal="left"/>
    </xf>
    <xf numFmtId="0" fontId="42" fillId="0" borderId="8" applyAlignment="1" pivotButton="0" quotePrefix="0" xfId="0">
      <alignment horizontal="left"/>
    </xf>
    <xf numFmtId="0" fontId="64" fillId="0" borderId="8" applyAlignment="1" pivotButton="0" quotePrefix="0" xfId="0">
      <alignment horizontal="left"/>
    </xf>
    <xf numFmtId="0" fontId="65" fillId="0" borderId="8" applyAlignment="1" pivotButton="0" quotePrefix="0" xfId="0">
      <alignment horizontal="left" vertical="top"/>
    </xf>
    <xf numFmtId="0" fontId="66" fillId="0" borderId="8" applyAlignment="1" pivotButton="0" quotePrefix="0" xfId="0">
      <alignment horizontal="left" vertical="top"/>
    </xf>
    <xf numFmtId="168" fontId="42" fillId="0" borderId="8" applyAlignment="1" pivotButton="0" quotePrefix="0" xfId="9">
      <alignment horizontal="left" vertical="top"/>
    </xf>
    <xf numFmtId="0" fontId="64" fillId="0" borderId="8" applyAlignment="1" pivotButton="0" quotePrefix="0" xfId="0">
      <alignment horizontal="left" vertical="top"/>
    </xf>
    <xf numFmtId="0" fontId="63" fillId="0" borderId="8" applyAlignment="1" pivotButton="0" quotePrefix="0" xfId="0">
      <alignment horizontal="left" vertical="top"/>
    </xf>
    <xf numFmtId="168" fontId="65" fillId="0" borderId="8" applyAlignment="1" pivotButton="0" quotePrefix="0" xfId="9">
      <alignment horizontal="left" vertical="top"/>
    </xf>
    <xf numFmtId="168" fontId="64" fillId="0" borderId="8" applyAlignment="1" pivotButton="0" quotePrefix="0" xfId="9">
      <alignment horizontal="left" vertical="top"/>
    </xf>
    <xf numFmtId="168" fontId="63" fillId="0" borderId="8" applyAlignment="1" pivotButton="0" quotePrefix="0" xfId="9">
      <alignment horizontal="left" vertical="top"/>
    </xf>
    <xf numFmtId="0" fontId="37" fillId="0" borderId="8" applyAlignment="1" pivotButton="0" quotePrefix="0" xfId="0">
      <alignment horizontal="center"/>
    </xf>
    <xf numFmtId="169" fontId="31" fillId="14" borderId="8" applyAlignment="1" pivotButton="0" quotePrefix="0" xfId="9">
      <alignment horizontal="right" vertical="center" wrapText="1"/>
    </xf>
    <xf numFmtId="4" fontId="19" fillId="14" borderId="8" applyAlignment="1" pivotButton="0" quotePrefix="0" xfId="9">
      <alignment horizontal="right" vertical="center" wrapText="1"/>
    </xf>
    <xf numFmtId="4" fontId="31" fillId="14" borderId="8" applyAlignment="1" pivotButton="0" quotePrefix="0" xfId="9">
      <alignment horizontal="right" vertical="center" wrapText="1"/>
    </xf>
    <xf numFmtId="4" fontId="63" fillId="0" borderId="8" applyAlignment="1" pivotButton="0" quotePrefix="0" xfId="1">
      <alignment horizontal="right"/>
    </xf>
    <xf numFmtId="4" fontId="5" fillId="0" borderId="8" applyAlignment="1" pivotButton="0" quotePrefix="0" xfId="1">
      <alignment horizontal="right"/>
    </xf>
    <xf numFmtId="4" fontId="67" fillId="0" borderId="8" applyAlignment="1" pivotButton="0" quotePrefix="0" xfId="1">
      <alignment horizontal="right"/>
    </xf>
    <xf numFmtId="9" fontId="63" fillId="0" borderId="8" applyAlignment="1" pivotButton="0" quotePrefix="0" xfId="5">
      <alignment horizontal="center" vertical="center"/>
    </xf>
    <xf numFmtId="9" fontId="5" fillId="0" borderId="8" applyAlignment="1" pivotButton="0" quotePrefix="0" xfId="5">
      <alignment horizontal="center" vertical="center"/>
    </xf>
    <xf numFmtId="9" fontId="67" fillId="0" borderId="8" applyAlignment="1" pivotButton="0" quotePrefix="0" xfId="5">
      <alignment horizontal="center" vertical="center"/>
    </xf>
    <xf numFmtId="49" fontId="67" fillId="9" borderId="8" applyAlignment="1" pivotButton="0" quotePrefix="0" xfId="5">
      <alignment horizontal="center" vertical="center"/>
    </xf>
    <xf numFmtId="4" fontId="37" fillId="0" borderId="8" applyAlignment="1" pivotButton="0" quotePrefix="0" xfId="1">
      <alignment horizontal="right"/>
    </xf>
    <xf numFmtId="9" fontId="37" fillId="0" borderId="8" applyAlignment="1" pivotButton="0" quotePrefix="0" xfId="5">
      <alignment horizontal="center" vertical="center"/>
    </xf>
    <xf numFmtId="4" fontId="31" fillId="9" borderId="8" applyAlignment="1" pivotButton="0" quotePrefix="0" xfId="9">
      <alignment horizontal="right" vertical="center" wrapText="1"/>
    </xf>
    <xf numFmtId="4" fontId="31" fillId="9" borderId="8" applyAlignment="1" pivotButton="0" quotePrefix="0" xfId="9">
      <alignment horizontal="right" vertical="center" wrapText="1"/>
    </xf>
    <xf numFmtId="4" fontId="5" fillId="14" borderId="8" applyAlignment="1" pivotButton="0" quotePrefix="0" xfId="1">
      <alignment horizontal="right" vertical="center"/>
    </xf>
    <xf numFmtId="49" fontId="67" fillId="0" borderId="0" pivotButton="0" quotePrefix="0" xfId="0"/>
    <xf numFmtId="0" fontId="67" fillId="0" borderId="0" pivotButton="0" quotePrefix="0" xfId="0"/>
    <xf numFmtId="0" fontId="5" fillId="0" borderId="0" applyAlignment="1" pivotButton="0" quotePrefix="0" xfId="0">
      <alignment horizontal="right"/>
    </xf>
    <xf numFmtId="0" fontId="68" fillId="0" borderId="1" applyAlignment="1" pivotButton="0" quotePrefix="0" xfId="0">
      <alignment vertical="center"/>
    </xf>
    <xf numFmtId="0" fontId="8" fillId="0" borderId="12" applyAlignment="1" pivotButton="0" quotePrefix="0" xfId="0">
      <alignment horizontal="center" vertical="center"/>
    </xf>
    <xf numFmtId="0" fontId="69" fillId="0" borderId="0" applyAlignment="1" pivotButton="0" quotePrefix="0" xfId="0">
      <alignment vertical="top" wrapText="1"/>
    </xf>
    <xf numFmtId="0" fontId="70" fillId="0" borderId="0" pivotButton="0" quotePrefix="0" xfId="0"/>
    <xf numFmtId="0" fontId="8" fillId="0" borderId="12" applyAlignment="1" pivotButton="0" quotePrefix="0" xfId="0">
      <alignment horizontal="center" vertical="center" wrapText="1"/>
    </xf>
    <xf numFmtId="0" fontId="37" fillId="0" borderId="0" applyAlignment="1" pivotButton="0" quotePrefix="0" xfId="0">
      <alignment horizontal="center" vertical="center" wrapText="1"/>
    </xf>
    <xf numFmtId="0" fontId="5" fillId="0" borderId="11" pivotButton="0" quotePrefix="0" xfId="0"/>
    <xf numFmtId="9" fontId="15" fillId="5" borderId="8" applyAlignment="1" pivotButton="0" quotePrefix="0" xfId="2">
      <alignment horizontal="center" wrapText="1"/>
    </xf>
    <xf numFmtId="164" fontId="13" fillId="4" borderId="8" applyAlignment="1" pivotButton="0" quotePrefix="0" xfId="0">
      <alignment horizontal="left" vertical="top"/>
    </xf>
    <xf numFmtId="2" fontId="16" fillId="4" borderId="8" applyAlignment="1" pivotButton="0" quotePrefix="0" xfId="4">
      <alignment horizontal="center" vertical="center"/>
    </xf>
    <xf numFmtId="0" fontId="3" fillId="8" borderId="8" applyAlignment="1" pivotButton="0" quotePrefix="0" xfId="0">
      <alignment horizontal="left" vertical="center" wrapText="1"/>
    </xf>
    <xf numFmtId="0" fontId="19" fillId="8" borderId="8" applyAlignment="1" pivotButton="0" quotePrefix="0" xfId="0">
      <alignment horizontal="center" vertical="top" wrapText="1"/>
    </xf>
    <xf numFmtId="43" fontId="3" fillId="8" borderId="8" applyAlignment="1" pivotButton="0" quotePrefix="0" xfId="1">
      <alignment horizontal="center" vertical="center" wrapText="1"/>
    </xf>
    <xf numFmtId="43" fontId="5" fillId="8" borderId="8" applyAlignment="1" pivotButton="0" quotePrefix="0" xfId="1">
      <alignment horizontal="center" vertical="center"/>
    </xf>
    <xf numFmtId="9" fontId="5" fillId="8" borderId="8" applyAlignment="1" pivotButton="0" quotePrefix="0" xfId="2">
      <alignment horizontal="center" vertical="center"/>
    </xf>
    <xf numFmtId="0" fontId="19" fillId="0" borderId="8" applyAlignment="1" pivotButton="0" quotePrefix="0" xfId="10">
      <alignment horizontal="left" vertical="top" indent="1"/>
    </xf>
    <xf numFmtId="0" fontId="19" fillId="0" borderId="54" applyAlignment="1" pivotButton="0" quotePrefix="0" xfId="10">
      <alignment horizontal="left" vertical="top" wrapText="1" indent="1"/>
    </xf>
    <xf numFmtId="0" fontId="19" fillId="0" borderId="8" applyAlignment="1" pivotButton="0" quotePrefix="0" xfId="0">
      <alignment horizontal="center" vertical="top" wrapText="1"/>
    </xf>
    <xf numFmtId="43" fontId="5" fillId="0" borderId="8" applyAlignment="1" pivotButton="0" quotePrefix="0" xfId="1">
      <alignment horizontal="center" vertical="center"/>
    </xf>
    <xf numFmtId="0" fontId="5" fillId="0" borderId="8" applyAlignment="1" pivotButton="0" quotePrefix="0" xfId="0">
      <alignment vertical="top"/>
    </xf>
    <xf numFmtId="43" fontId="5" fillId="0" borderId="8" applyAlignment="1" pivotButton="0" quotePrefix="0" xfId="1">
      <alignment horizontal="center" vertical="top"/>
    </xf>
    <xf numFmtId="9" fontId="5" fillId="0" borderId="8" applyAlignment="1" pivotButton="0" quotePrefix="0" xfId="2">
      <alignment horizontal="center" vertical="top"/>
    </xf>
    <xf numFmtId="0" fontId="5" fillId="8" borderId="8" pivotButton="0" quotePrefix="0" xfId="0"/>
    <xf numFmtId="0" fontId="19" fillId="8" borderId="8" applyAlignment="1" pivotButton="0" quotePrefix="0" xfId="10">
      <alignment horizontal="left" vertical="top" wrapText="1"/>
    </xf>
    <xf numFmtId="0" fontId="2" fillId="8" borderId="8" applyAlignment="1" pivotButton="0" quotePrefix="0" xfId="0">
      <alignment horizontal="center" wrapText="1"/>
    </xf>
    <xf numFmtId="9" fontId="3" fillId="8" borderId="8" applyAlignment="1" pivotButton="0" quotePrefix="0" xfId="0">
      <alignment horizontal="center" vertical="center" wrapText="1"/>
    </xf>
    <xf numFmtId="0" fontId="19" fillId="0" borderId="8" applyAlignment="1" pivotButton="0" quotePrefix="0" xfId="10">
      <alignment horizontal="left" vertical="top" wrapText="1" indent="3"/>
    </xf>
    <xf numFmtId="0" fontId="5" fillId="0" borderId="8" applyAlignment="1" pivotButton="0" quotePrefix="0" xfId="0">
      <alignment horizontal="left" indent="1"/>
    </xf>
    <xf numFmtId="0" fontId="5" fillId="0" borderId="8" applyAlignment="1" pivotButton="0" quotePrefix="0" xfId="0">
      <alignment horizontal="center"/>
    </xf>
    <xf numFmtId="0" fontId="5" fillId="0" borderId="8" applyAlignment="1" pivotButton="0" quotePrefix="0" xfId="0">
      <alignment horizontal="left" wrapText="1" indent="1"/>
    </xf>
    <xf numFmtId="9" fontId="3" fillId="8" borderId="8" applyAlignment="1" pivotButton="0" quotePrefix="0" xfId="0">
      <alignment horizontal="center" vertical="top" wrapText="1"/>
    </xf>
    <xf numFmtId="0" fontId="19" fillId="0" borderId="8" applyAlignment="1" pivotButton="0" quotePrefix="0" xfId="10">
      <alignment horizontal="left" vertical="top" wrapText="1" indent="1"/>
    </xf>
    <xf numFmtId="0" fontId="19" fillId="0" borderId="8" applyAlignment="1" pivotButton="0" quotePrefix="0" xfId="0">
      <alignment horizontal="left" vertical="top" wrapText="1" indent="1"/>
    </xf>
    <xf numFmtId="0" fontId="5" fillId="0" borderId="8" applyAlignment="1" pivotButton="0" quotePrefix="0" xfId="0">
      <alignment horizontal="center" vertical="top" wrapText="1"/>
    </xf>
    <xf numFmtId="0" fontId="19" fillId="0" borderId="0" pivotButton="0" quotePrefix="0" xfId="0"/>
    <xf numFmtId="0" fontId="19" fillId="0" borderId="8" applyAlignment="1" pivotButton="0" quotePrefix="0" xfId="10">
      <alignment horizontal="left" vertical="top" wrapText="1"/>
    </xf>
    <xf numFmtId="0" fontId="19" fillId="0" borderId="8" applyAlignment="1" pivotButton="0" quotePrefix="0" xfId="0">
      <alignment horizontal="left" vertical="top" wrapText="1"/>
    </xf>
    <xf numFmtId="2" fontId="3" fillId="8" borderId="8" applyAlignment="1" pivotButton="0" quotePrefix="0" xfId="0">
      <alignment horizontal="left" vertical="top" wrapText="1"/>
    </xf>
    <xf numFmtId="2" fontId="3" fillId="8" borderId="8" applyAlignment="1" pivotButton="0" quotePrefix="0" xfId="0">
      <alignment horizontal="center" vertical="top" wrapText="1"/>
    </xf>
    <xf numFmtId="0" fontId="5" fillId="0" borderId="8" applyAlignment="1" pivotButton="0" quotePrefix="0" xfId="0">
      <alignment horizontal="left" vertical="top" wrapText="1" indent="1"/>
    </xf>
    <xf numFmtId="2" fontId="2" fillId="8" borderId="8" applyAlignment="1" pivotButton="0" quotePrefix="0" xfId="0">
      <alignment horizontal="left" vertical="top" wrapText="1"/>
    </xf>
    <xf numFmtId="2" fontId="2" fillId="8" borderId="8" applyAlignment="1" pivotButton="0" quotePrefix="0" xfId="0">
      <alignment horizontal="center" vertical="top" wrapText="1"/>
    </xf>
    <xf numFmtId="43" fontId="2" fillId="8" borderId="8" applyAlignment="1" pivotButton="0" quotePrefix="0" xfId="1">
      <alignment horizontal="center" vertical="center" wrapText="1"/>
    </xf>
    <xf numFmtId="9" fontId="2" fillId="8" borderId="8" applyAlignment="1" pivotButton="0" quotePrefix="0" xfId="0">
      <alignment horizontal="center" vertical="top" wrapText="1"/>
    </xf>
    <xf numFmtId="0" fontId="5" fillId="0" borderId="8" applyAlignment="1" pivotButton="0" quotePrefix="0" xfId="0">
      <alignment horizontal="left" vertical="top" wrapText="1"/>
    </xf>
    <xf numFmtId="43" fontId="5" fillId="0" borderId="0" applyAlignment="1" pivotButton="0" quotePrefix="0" xfId="1">
      <alignment vertical="center"/>
    </xf>
    <xf numFmtId="0" fontId="5" fillId="0" borderId="0" applyAlignment="1" pivotButton="0" quotePrefix="0" xfId="0">
      <alignment wrapText="1"/>
    </xf>
    <xf numFmtId="0" fontId="8" fillId="0" borderId="8" applyAlignment="1" pivotButton="0" quotePrefix="0" xfId="0">
      <alignment horizontal="center" vertical="center"/>
    </xf>
    <xf numFmtId="0" fontId="8" fillId="0" borderId="8" applyAlignment="1" pivotButton="0" quotePrefix="0" xfId="0">
      <alignment horizontal="center" wrapText="1"/>
    </xf>
    <xf numFmtId="0" fontId="8" fillId="0" borderId="0" applyAlignment="1" pivotButton="0" quotePrefix="0" xfId="0">
      <alignment horizontal="center" vertical="center"/>
    </xf>
    <xf numFmtId="0" fontId="5" fillId="0" borderId="6" applyAlignment="1" pivotButton="0" quotePrefix="0" xfId="0">
      <alignment horizontal="left" vertical="top"/>
    </xf>
    <xf numFmtId="0" fontId="5" fillId="0" borderId="7" applyAlignment="1" pivotButton="0" quotePrefix="0" xfId="0">
      <alignment horizontal="left" vertical="top"/>
    </xf>
    <xf numFmtId="0" fontId="5" fillId="0" borderId="0" applyAlignment="1" pivotButton="0" quotePrefix="0" xfId="0">
      <alignment horizontal="left" vertical="top"/>
    </xf>
    <xf numFmtId="165" fontId="31" fillId="0" borderId="0" pivotButton="0" quotePrefix="0" xfId="1"/>
    <xf numFmtId="165" fontId="11" fillId="0" borderId="19" pivotButton="0" quotePrefix="0" xfId="1"/>
    <xf numFmtId="49" fontId="14" fillId="5" borderId="8" applyAlignment="1" pivotButton="0" quotePrefix="0" xfId="0">
      <alignment horizontal="center" vertical="center"/>
    </xf>
    <xf numFmtId="164" fontId="13" fillId="4" borderId="9" applyAlignment="1" pivotButton="0" quotePrefix="0" xfId="4">
      <alignment horizontal="center" vertical="center" wrapText="1"/>
    </xf>
    <xf numFmtId="49" fontId="14" fillId="5" borderId="31" applyAlignment="1" pivotButton="0" quotePrefix="0" xfId="0">
      <alignment horizontal="center" vertical="center" wrapText="1"/>
    </xf>
    <xf numFmtId="49" fontId="15" fillId="5" borderId="9" applyAlignment="1" pivotButton="0" quotePrefix="0" xfId="0">
      <alignment horizontal="center" vertical="center" wrapText="1"/>
    </xf>
    <xf numFmtId="165" fontId="15" fillId="6" borderId="13" applyAlignment="1" pivotButton="0" quotePrefix="0" xfId="1">
      <alignment horizontal="center" vertical="center" wrapText="1"/>
    </xf>
    <xf numFmtId="164" fontId="31" fillId="8" borderId="8" applyAlignment="1" pivotButton="0" quotePrefix="0" xfId="4">
      <alignment horizontal="center" vertical="center" wrapText="1"/>
    </xf>
    <xf numFmtId="164" fontId="31" fillId="8" borderId="8" applyAlignment="1" pivotButton="0" quotePrefix="0" xfId="4">
      <alignment horizontal="left" vertical="center"/>
    </xf>
    <xf numFmtId="4" fontId="31" fillId="8" borderId="8" applyAlignment="1" pivotButton="0" quotePrefix="0" xfId="1">
      <alignment horizontal="right" vertical="center" wrapText="1"/>
    </xf>
    <xf numFmtId="164" fontId="31" fillId="3" borderId="8" applyAlignment="1" pivotButton="0" quotePrefix="0" xfId="4">
      <alignment horizontal="center" vertical="center" wrapText="1"/>
    </xf>
    <xf numFmtId="164" fontId="31" fillId="3" borderId="8" applyAlignment="1" pivotButton="0" quotePrefix="0" xfId="4">
      <alignment horizontal="left" vertical="center"/>
    </xf>
    <xf numFmtId="4" fontId="31" fillId="3" borderId="8" applyAlignment="1" pivotButton="0" quotePrefix="0" xfId="1">
      <alignment horizontal="right" vertical="center" wrapText="1"/>
    </xf>
    <xf numFmtId="4" fontId="31" fillId="3" borderId="8" applyAlignment="1" pivotButton="0" quotePrefix="0" xfId="1">
      <alignment horizontal="center" vertical="center" wrapText="1"/>
    </xf>
    <xf numFmtId="0" fontId="61" fillId="9" borderId="8" applyAlignment="1" applyProtection="1" pivotButton="0" quotePrefix="0" xfId="10">
      <alignment horizontal="left" vertical="top"/>
      <protection locked="0" hidden="0"/>
    </xf>
    <xf numFmtId="10" fontId="19" fillId="9" borderId="8" applyAlignment="1" applyProtection="1" pivotButton="0" quotePrefix="0" xfId="2">
      <alignment horizontal="center" vertical="center"/>
      <protection locked="0" hidden="0"/>
    </xf>
    <xf numFmtId="14" fontId="61" fillId="9" borderId="8" applyAlignment="1" applyProtection="1" pivotButton="0" quotePrefix="0" xfId="10">
      <alignment horizontal="left" vertical="top" wrapText="1"/>
      <protection locked="0" hidden="0"/>
    </xf>
    <xf numFmtId="10" fontId="19" fillId="9" borderId="8" applyAlignment="1" applyProtection="1" pivotButton="0" quotePrefix="0" xfId="2">
      <alignment horizontal="right" vertical="center"/>
      <protection locked="0" hidden="0"/>
    </xf>
    <xf numFmtId="4" fontId="19" fillId="3" borderId="8" applyAlignment="1" pivotButton="0" quotePrefix="0" xfId="1">
      <alignment horizontal="right" vertical="center" wrapText="1"/>
    </xf>
    <xf numFmtId="0" fontId="61" fillId="9" borderId="8" applyAlignment="1" applyProtection="1" pivotButton="0" quotePrefix="0" xfId="10">
      <alignment horizontal="left" vertical="top" wrapText="1"/>
      <protection locked="0" hidden="0"/>
    </xf>
    <xf numFmtId="4" fontId="31" fillId="3" borderId="8" applyAlignment="1" pivotButton="0" quotePrefix="0" xfId="4">
      <alignment horizontal="center" wrapText="1"/>
    </xf>
    <xf numFmtId="14" fontId="31" fillId="3" borderId="8" applyAlignment="1" pivotButton="0" quotePrefix="0" xfId="4">
      <alignment horizontal="center" vertical="center" wrapText="1"/>
    </xf>
    <xf numFmtId="4" fontId="31" fillId="3" borderId="8" applyAlignment="1" pivotButton="0" quotePrefix="0" xfId="1">
      <alignment horizontal="center" wrapText="1"/>
    </xf>
    <xf numFmtId="164" fontId="15" fillId="4" borderId="9" applyAlignment="1" pivotButton="0" quotePrefix="0" xfId="4">
      <alignment horizontal="center" vertical="center" wrapText="1"/>
    </xf>
    <xf numFmtId="14" fontId="61" fillId="9" borderId="8" applyAlignment="1" applyProtection="1" pivotButton="0" quotePrefix="0" xfId="10">
      <alignment horizontal="left" vertical="top"/>
      <protection locked="0" hidden="0"/>
    </xf>
    <xf numFmtId="0" fontId="5" fillId="0" borderId="0" applyAlignment="1" pivotButton="0" quotePrefix="0" xfId="0">
      <alignment vertical="center" wrapText="1"/>
    </xf>
    <xf numFmtId="164" fontId="37" fillId="0" borderId="0" applyAlignment="1" pivotButton="0" quotePrefix="0" xfId="1">
      <alignment horizontal="left" vertical="center" indent="3"/>
    </xf>
    <xf numFmtId="49" fontId="14" fillId="6" borderId="8" applyAlignment="1" pivotButton="0" quotePrefix="0" xfId="0">
      <alignment horizontal="center" vertical="center" wrapText="1"/>
    </xf>
    <xf numFmtId="49" fontId="15" fillId="6" borderId="8" applyAlignment="1" pivotButton="0" quotePrefix="0" xfId="0">
      <alignment horizontal="center" vertical="center" wrapText="1"/>
    </xf>
    <xf numFmtId="164" fontId="13" fillId="7" borderId="8" applyAlignment="1" pivotButton="0" quotePrefix="0" xfId="4">
      <alignment horizontal="center" vertical="center" wrapText="1"/>
    </xf>
    <xf numFmtId="164" fontId="13" fillId="4" borderId="13" applyAlignment="1" pivotButton="0" quotePrefix="0" xfId="4">
      <alignment horizontal="center" vertical="center" wrapText="1"/>
    </xf>
    <xf numFmtId="165" fontId="5" fillId="0" borderId="0" pivotButton="0" quotePrefix="0" xfId="1"/>
    <xf numFmtId="165" fontId="16" fillId="4" borderId="8" applyAlignment="1" pivotButton="0" quotePrefix="0" xfId="1">
      <alignment horizontal="center" vertical="center" wrapText="1"/>
    </xf>
    <xf numFmtId="165" fontId="17" fillId="5" borderId="8" applyAlignment="1" pivotButton="0" quotePrefix="1" xfId="1">
      <alignment horizontal="center" vertical="center" wrapText="1"/>
    </xf>
    <xf numFmtId="165" fontId="17" fillId="5" borderId="8" applyAlignment="1" pivotButton="0" quotePrefix="0" xfId="1">
      <alignment horizontal="center" vertical="center" wrapText="1"/>
    </xf>
    <xf numFmtId="165" fontId="5" fillId="0" borderId="0" pivotButton="0" quotePrefix="0" xfId="1"/>
    <xf numFmtId="165" fontId="19" fillId="0" borderId="0" pivotButton="0" quotePrefix="0" xfId="1"/>
    <xf numFmtId="165" fontId="31" fillId="16" borderId="8" applyAlignment="1" pivotButton="0" quotePrefix="0" xfId="1">
      <alignment horizontal="center" vertical="center" wrapText="1"/>
    </xf>
    <xf numFmtId="165" fontId="31" fillId="21" borderId="8" applyAlignment="1" pivotButton="0" quotePrefix="0" xfId="1">
      <alignment horizontal="center" vertical="center" wrapText="1"/>
    </xf>
    <xf numFmtId="165" fontId="5" fillId="9" borderId="8" applyAlignment="1" applyProtection="1" pivotButton="0" quotePrefix="0" xfId="1">
      <alignment horizontal="left" vertical="top" wrapText="1"/>
      <protection locked="0" hidden="0"/>
    </xf>
    <xf numFmtId="165" fontId="19" fillId="0" borderId="0" pivotButton="0" quotePrefix="0" xfId="1"/>
    <xf numFmtId="165" fontId="31" fillId="21" borderId="8" applyAlignment="1" pivotButton="0" quotePrefix="0" xfId="1">
      <alignment horizontal="center" vertical="top" wrapText="1"/>
    </xf>
    <xf numFmtId="165" fontId="5" fillId="0" borderId="8" applyAlignment="1" pivotButton="0" quotePrefix="0" xfId="1">
      <alignment vertical="center" wrapText="1"/>
    </xf>
    <xf numFmtId="165" fontId="5" fillId="9" borderId="8" applyAlignment="1" applyProtection="1" pivotButton="0" quotePrefix="0" xfId="1">
      <alignment horizontal="left" vertical="top"/>
      <protection locked="0" hidden="0"/>
    </xf>
    <xf numFmtId="165" fontId="5" fillId="9" borderId="8" applyAlignment="1" applyProtection="1" pivotButton="0" quotePrefix="0" xfId="1">
      <alignment horizontal="center" vertical="center"/>
      <protection locked="0" hidden="0"/>
    </xf>
    <xf numFmtId="165" fontId="5" fillId="9" borderId="8" applyAlignment="1" applyProtection="1" pivotButton="0" quotePrefix="0" xfId="1">
      <alignment horizontal="center" vertical="center" wrapText="1"/>
      <protection locked="0" hidden="0"/>
    </xf>
    <xf numFmtId="165" fontId="19" fillId="21" borderId="8" applyAlignment="1" pivotButton="0" quotePrefix="0" xfId="1">
      <alignment horizontal="left" vertical="center" wrapText="1"/>
    </xf>
    <xf numFmtId="165" fontId="19" fillId="21" borderId="8" applyAlignment="1" pivotButton="0" quotePrefix="0" xfId="1">
      <alignment horizontal="center" vertical="center" wrapText="1"/>
    </xf>
    <xf numFmtId="164" fontId="13" fillId="4" borderId="41" applyAlignment="1" pivotButton="0" quotePrefix="0" xfId="4">
      <alignment horizontal="center" vertical="center" wrapText="1"/>
    </xf>
    <xf numFmtId="164" fontId="13" fillId="4" borderId="14" applyAlignment="1" pivotButton="0" quotePrefix="0" xfId="4">
      <alignment horizontal="center" vertical="center" wrapText="1"/>
    </xf>
    <xf numFmtId="49" fontId="17" fillId="5" borderId="8" applyAlignment="1" pivotButton="0" quotePrefix="0" xfId="0">
      <alignment horizontal="center" vertical="center" wrapText="1"/>
    </xf>
    <xf numFmtId="165" fontId="5" fillId="0" borderId="8" applyAlignment="1" pivotButton="0" quotePrefix="0" xfId="1">
      <alignment horizontal="center" vertical="center" wrapText="1"/>
    </xf>
    <xf numFmtId="43" fontId="5" fillId="9" borderId="8" applyAlignment="1" applyProtection="1" pivotButton="0" quotePrefix="0" xfId="1">
      <alignment horizontal="center" vertical="center" wrapText="1"/>
      <protection locked="0" hidden="0"/>
    </xf>
    <xf numFmtId="49" fontId="19" fillId="21" borderId="8" applyAlignment="1" pivotButton="0" quotePrefix="0" xfId="0">
      <alignment horizontal="left" vertical="center" wrapText="1"/>
    </xf>
    <xf numFmtId="0" fontId="5" fillId="9" borderId="8" applyAlignment="1" applyProtection="1" pivotButton="0" quotePrefix="0" xfId="0">
      <alignment horizontal="left" vertical="top" wrapText="1"/>
      <protection locked="0" hidden="0"/>
    </xf>
    <xf numFmtId="165" fontId="61" fillId="9" borderId="8" applyAlignment="1" applyProtection="1" pivotButton="0" quotePrefix="0" xfId="1">
      <alignment horizontal="left" vertical="top"/>
      <protection locked="0" hidden="0"/>
    </xf>
    <xf numFmtId="165" fontId="61" fillId="9" borderId="8" applyAlignment="1" applyProtection="1" pivotButton="0" quotePrefix="0" xfId="1">
      <alignment horizontal="center" vertical="center"/>
      <protection locked="0" hidden="0"/>
    </xf>
    <xf numFmtId="43" fontId="5" fillId="9" borderId="8" applyAlignment="1" applyProtection="1" pivotButton="0" quotePrefix="0" xfId="1">
      <alignment horizontal="left" vertical="top" wrapText="1"/>
      <protection locked="0" hidden="0"/>
    </xf>
    <xf numFmtId="49" fontId="19" fillId="21" borderId="8" applyAlignment="1" pivotButton="0" quotePrefix="0" xfId="0">
      <alignment horizontal="center" vertical="center" wrapText="1"/>
    </xf>
    <xf numFmtId="1" fontId="5" fillId="9" borderId="8" applyAlignment="1" applyProtection="1" pivotButton="0" quotePrefix="0" xfId="0">
      <alignment horizontal="left" vertical="top" wrapText="1"/>
      <protection locked="0" hidden="0"/>
    </xf>
    <xf numFmtId="165" fontId="31" fillId="21" borderId="8" applyAlignment="1" pivotButton="0" quotePrefix="0" xfId="1">
      <alignment horizontal="center" vertical="top"/>
    </xf>
    <xf numFmtId="164" fontId="31" fillId="3" borderId="8" applyAlignment="1" pivotButton="0" quotePrefix="0" xfId="0">
      <alignment horizontal="center" vertical="center" wrapText="1"/>
    </xf>
    <xf numFmtId="43" fontId="19" fillId="9" borderId="8" applyAlignment="1" pivotButton="0" quotePrefix="0" xfId="1">
      <alignment horizontal="right" vertical="center"/>
    </xf>
    <xf numFmtId="170" fontId="19" fillId="9" borderId="8" applyAlignment="1" pivotButton="0" quotePrefix="0" xfId="1">
      <alignment horizontal="right" vertical="center"/>
    </xf>
    <xf numFmtId="171" fontId="19" fillId="9" borderId="8" applyAlignment="1" pivotButton="0" quotePrefix="0" xfId="1">
      <alignment horizontal="right" vertical="center"/>
    </xf>
    <xf numFmtId="164" fontId="16" fillId="7" borderId="12" applyAlignment="1" pivotButton="0" quotePrefix="0" xfId="4">
      <alignment horizontal="center" vertical="center" wrapText="1"/>
    </xf>
    <xf numFmtId="165" fontId="11" fillId="3" borderId="12" applyAlignment="1" pivotButton="0" quotePrefix="0" xfId="1">
      <alignment horizontal="left"/>
    </xf>
    <xf numFmtId="164" fontId="13" fillId="4" borderId="9" applyAlignment="1" pivotButton="0" quotePrefix="0" xfId="4">
      <alignment horizontal="center" vertical="center" wrapText="1"/>
    </xf>
    <xf numFmtId="165" fontId="14" fillId="5" borderId="8" applyAlignment="1" pivotButton="0" quotePrefix="0" xfId="1">
      <alignment horizontal="center" vertical="center" wrapText="1"/>
    </xf>
    <xf numFmtId="165" fontId="14" fillId="5" borderId="9" applyAlignment="1" pivotButton="0" quotePrefix="0" xfId="1">
      <alignment horizontal="center" vertical="center" wrapText="1"/>
    </xf>
    <xf numFmtId="165" fontId="15" fillId="6" borderId="8" applyAlignment="1" pivotButton="0" quotePrefix="0" xfId="1">
      <alignment horizontal="center" vertical="center" wrapText="1"/>
    </xf>
    <xf numFmtId="49" fontId="15" fillId="6" borderId="8" applyAlignment="1" pivotButton="0" quotePrefix="0" xfId="0">
      <alignment horizontal="center" vertical="top" wrapText="1"/>
    </xf>
    <xf numFmtId="49" fontId="15" fillId="5" borderId="8" applyAlignment="1" pivotButton="0" quotePrefix="0" xfId="0">
      <alignment horizontal="center" vertical="top" wrapText="1"/>
    </xf>
    <xf numFmtId="164" fontId="15" fillId="11" borderId="8" applyAlignment="1" pivotButton="0" quotePrefix="0" xfId="4">
      <alignment horizontal="center" vertical="center" wrapText="1"/>
    </xf>
    <xf numFmtId="165" fontId="15" fillId="5" borderId="12" applyAlignment="1" pivotButton="0" quotePrefix="0" xfId="1">
      <alignment horizontal="center" vertical="center" wrapText="1"/>
    </xf>
    <xf numFmtId="165" fontId="15" fillId="5" borderId="20" applyAlignment="1" pivotButton="0" quotePrefix="0" xfId="1">
      <alignment horizontal="center" vertical="center" wrapText="1"/>
    </xf>
    <xf numFmtId="165" fontId="15" fillId="5" borderId="18" applyAlignment="1" pivotButton="0" quotePrefix="0" xfId="1">
      <alignment horizontal="center" vertical="center" wrapText="1"/>
    </xf>
    <xf numFmtId="165" fontId="15" fillId="5" borderId="8" applyAlignment="1" pivotButton="0" quotePrefix="0" xfId="1">
      <alignment horizontal="center" vertical="center" wrapText="1"/>
    </xf>
    <xf numFmtId="165" fontId="11" fillId="3" borderId="19" applyAlignment="1" pivotButton="0" quotePrefix="0" xfId="1">
      <alignment horizontal="left"/>
    </xf>
    <xf numFmtId="0" fontId="11" fillId="10" borderId="19" applyAlignment="1" pivotButton="0" quotePrefix="0" xfId="4">
      <alignment horizontal="left"/>
    </xf>
    <xf numFmtId="164" fontId="15" fillId="4" borderId="9" applyAlignment="1" pivotButton="0" quotePrefix="0" xfId="4">
      <alignment horizontal="center" vertical="center" wrapText="1"/>
    </xf>
    <xf numFmtId="164" fontId="15" fillId="4" borderId="13" applyAlignment="1" pivotButton="0" quotePrefix="0" xfId="4">
      <alignment horizontal="center" vertical="center" wrapText="1"/>
    </xf>
    <xf numFmtId="164" fontId="15" fillId="4" borderId="8" applyAlignment="1" pivotButton="0" quotePrefix="0" xfId="4">
      <alignment horizontal="center" vertical="center" wrapText="1"/>
    </xf>
    <xf numFmtId="0" fontId="13" fillId="7" borderId="20" applyAlignment="1" pivotButton="0" quotePrefix="0" xfId="4">
      <alignment horizontal="center" vertical="center" wrapText="1"/>
    </xf>
    <xf numFmtId="164" fontId="13" fillId="4" borderId="35" applyAlignment="1" pivotButton="0" quotePrefix="0" xfId="4">
      <alignment horizontal="center" vertical="center" wrapText="1"/>
    </xf>
    <xf numFmtId="164" fontId="13" fillId="4" borderId="26" applyAlignment="1" pivotButton="0" quotePrefix="0" xfId="4">
      <alignment horizontal="center" vertical="center" wrapText="1"/>
    </xf>
    <xf numFmtId="0" fontId="15" fillId="5" borderId="27" applyAlignment="1" pivotButton="0" quotePrefix="0" xfId="0">
      <alignment horizontal="center" vertical="center" wrapText="1"/>
    </xf>
    <xf numFmtId="0" fontId="15" fillId="5" borderId="28" applyAlignment="1" pivotButton="0" quotePrefix="0" xfId="0">
      <alignment horizontal="center" vertical="center" wrapText="1"/>
    </xf>
    <xf numFmtId="164" fontId="13" fillId="4" borderId="29" applyAlignment="1" pivotButton="0" quotePrefix="0" xfId="4">
      <alignment horizontal="center" vertical="center" wrapText="1"/>
    </xf>
    <xf numFmtId="164" fontId="13" fillId="4" borderId="30" applyAlignment="1" pivotButton="0" quotePrefix="0" xfId="4">
      <alignment horizontal="center" vertical="center" wrapText="1"/>
    </xf>
    <xf numFmtId="0" fontId="11" fillId="10" borderId="23" applyAlignment="1" pivotButton="0" quotePrefix="0" xfId="4">
      <alignment horizontal="left"/>
    </xf>
    <xf numFmtId="164" fontId="13" fillId="4" borderId="24" applyAlignment="1" pivotButton="0" quotePrefix="0" xfId="4">
      <alignment horizontal="center" vertical="center" wrapText="1"/>
    </xf>
    <xf numFmtId="164" fontId="13" fillId="4" borderId="25" applyAlignment="1" pivotButton="0" quotePrefix="0" xfId="4">
      <alignment horizontal="center" vertical="center" wrapText="1"/>
    </xf>
    <xf numFmtId="165" fontId="15" fillId="5" borderId="8" applyAlignment="1" pivotButton="0" quotePrefix="0" xfId="7">
      <alignment horizontal="center" vertical="center" wrapText="1"/>
    </xf>
    <xf numFmtId="0" fontId="15" fillId="11" borderId="8" applyAlignment="1" pivotButton="0" quotePrefix="0" xfId="4">
      <alignment horizontal="center" vertical="center" wrapText="1"/>
    </xf>
    <xf numFmtId="165" fontId="15" fillId="5" borderId="12" applyAlignment="1" pivotButton="0" quotePrefix="0" xfId="7">
      <alignment horizontal="center" vertical="center" wrapText="1"/>
    </xf>
    <xf numFmtId="165" fontId="15" fillId="5" borderId="20" applyAlignment="1" pivotButton="0" quotePrefix="0" xfId="7">
      <alignment horizontal="center" vertical="center" wrapText="1"/>
    </xf>
    <xf numFmtId="165" fontId="15" fillId="13" borderId="8" applyAlignment="1" pivotButton="0" quotePrefix="0" xfId="7">
      <alignment horizontal="center" vertical="center" wrapText="1"/>
    </xf>
    <xf numFmtId="0" fontId="8" fillId="2" borderId="8" applyAlignment="1" pivotButton="0" quotePrefix="0" xfId="3">
      <alignment horizontal="center" vertical="top" wrapText="1"/>
    </xf>
    <xf numFmtId="0" fontId="8" fillId="2" borderId="9" applyAlignment="1" pivotButton="0" quotePrefix="0" xfId="3">
      <alignment horizontal="center" vertical="top" wrapText="1"/>
    </xf>
    <xf numFmtId="165" fontId="11" fillId="3" borderId="19" applyAlignment="1" pivotButton="0" quotePrefix="0" xfId="7">
      <alignment horizontal="left"/>
    </xf>
    <xf numFmtId="164" fontId="13" fillId="4" borderId="1" applyAlignment="1" pivotButton="0" quotePrefix="0" xfId="4">
      <alignment horizontal="center" vertical="center" wrapText="1"/>
    </xf>
    <xf numFmtId="49" fontId="14" fillId="5" borderId="1" applyAlignment="1" pivotButton="0" quotePrefix="0" xfId="3">
      <alignment horizontal="center" vertical="center" wrapText="1"/>
    </xf>
    <xf numFmtId="49" fontId="14" fillId="5" borderId="40" applyAlignment="1" pivotButton="0" quotePrefix="0" xfId="3">
      <alignment horizontal="center" vertical="center" wrapText="1"/>
    </xf>
    <xf numFmtId="49" fontId="14" fillId="5" borderId="14" applyAlignment="1" pivotButton="0" quotePrefix="0" xfId="3">
      <alignment horizontal="center" vertical="center" wrapText="1"/>
    </xf>
    <xf numFmtId="165" fontId="15" fillId="5" borderId="8" applyAlignment="1" pivotButton="0" quotePrefix="0" xfId="1">
      <alignment horizontal="center" vertical="top" wrapText="1"/>
    </xf>
    <xf numFmtId="164" fontId="13" fillId="7" borderId="20" applyAlignment="1" pivotButton="0" quotePrefix="0" xfId="4">
      <alignment horizontal="center" vertical="center" wrapText="1"/>
    </xf>
    <xf numFmtId="164" fontId="13" fillId="4" borderId="42" applyAlignment="1" pivotButton="0" quotePrefix="0" xfId="4">
      <alignment horizontal="center" vertical="center" wrapText="1"/>
    </xf>
    <xf numFmtId="49" fontId="14" fillId="13" borderId="1" applyAlignment="1" pivotButton="0" quotePrefix="0" xfId="0">
      <alignment horizontal="center" vertical="center" wrapText="1"/>
    </xf>
    <xf numFmtId="165" fontId="15" fillId="6" borderId="8" applyAlignment="1" pivotButton="0" quotePrefix="0" xfId="1">
      <alignment horizontal="center" vertical="top" wrapText="1"/>
    </xf>
    <xf numFmtId="165" fontId="11" fillId="3" borderId="19" applyAlignment="1" pivotButton="0" quotePrefix="0" xfId="1">
      <alignment horizontal="left" vertical="center"/>
    </xf>
    <xf numFmtId="165" fontId="11" fillId="9" borderId="19" applyAlignment="1" applyProtection="1" pivotButton="0" quotePrefix="0" xfId="1">
      <alignment horizontal="left" vertical="center"/>
      <protection locked="0" hidden="0"/>
    </xf>
    <xf numFmtId="49" fontId="14" fillId="5" borderId="1" applyAlignment="1" pivotButton="0" quotePrefix="0" xfId="0">
      <alignment horizontal="center" vertical="center" wrapText="1"/>
    </xf>
    <xf numFmtId="164" fontId="13" fillId="7" borderId="8" applyAlignment="1" pivotButton="0" quotePrefix="0" xfId="4">
      <alignment horizontal="center" vertical="center" wrapText="1"/>
    </xf>
    <xf numFmtId="164" fontId="13" fillId="4" borderId="8" applyAlignment="1" pivotButton="0" quotePrefix="0" xfId="4">
      <alignment horizontal="center" vertical="center" wrapText="1"/>
    </xf>
    <xf numFmtId="165" fontId="11" fillId="3" borderId="0" applyAlignment="1" pivotButton="0" quotePrefix="0" xfId="1">
      <alignment horizontal="left" vertical="center"/>
    </xf>
    <xf numFmtId="165" fontId="11" fillId="9" borderId="0" applyAlignment="1" applyProtection="1" pivotButton="0" quotePrefix="0" xfId="1">
      <alignment horizontal="left" vertical="center"/>
      <protection locked="0" hidden="0"/>
    </xf>
    <xf numFmtId="49" fontId="14" fillId="5" borderId="8" applyAlignment="1" pivotButton="0" quotePrefix="0" xfId="0">
      <alignment horizontal="center" vertical="center" wrapText="1"/>
    </xf>
    <xf numFmtId="49" fontId="15" fillId="5" borderId="1" applyAlignment="1" pivotButton="0" quotePrefix="0" xfId="0">
      <alignment horizontal="center" vertical="center" wrapText="1"/>
    </xf>
    <xf numFmtId="165" fontId="15" fillId="5" borderId="1" applyAlignment="1" pivotButton="0" quotePrefix="0" xfId="1">
      <alignment horizontal="center" vertical="top" wrapText="1"/>
    </xf>
    <xf numFmtId="0" fontId="14" fillId="13" borderId="2" applyAlignment="1" pivotButton="0" quotePrefix="0" xfId="0">
      <alignment horizontal="center" vertical="center" wrapText="1"/>
    </xf>
    <xf numFmtId="0" fontId="15" fillId="5" borderId="2" applyAlignment="1" pivotButton="0" quotePrefix="0" xfId="0">
      <alignment horizontal="center" vertical="center" wrapText="1"/>
    </xf>
    <xf numFmtId="49" fontId="15" fillId="13" borderId="1" applyAlignment="1" pivotButton="0" quotePrefix="0" xfId="0">
      <alignment horizontal="center" vertical="center" wrapText="1"/>
    </xf>
    <xf numFmtId="165" fontId="15" fillId="13" borderId="1" applyAlignment="1" pivotButton="0" quotePrefix="0" xfId="1">
      <alignment horizontal="center" vertical="top" wrapText="1"/>
    </xf>
    <xf numFmtId="165" fontId="51" fillId="3" borderId="43" applyAlignment="1" pivotButton="0" quotePrefix="0" xfId="1">
      <alignment horizontal="left"/>
    </xf>
    <xf numFmtId="0" fontId="11" fillId="10" borderId="43" applyAlignment="1" pivotButton="0" quotePrefix="0" xfId="4">
      <alignment horizontal="left"/>
    </xf>
    <xf numFmtId="49" fontId="14" fillId="5" borderId="44" applyAlignment="1" pivotButton="0" quotePrefix="0" xfId="0">
      <alignment horizontal="center" vertical="center" wrapText="1"/>
    </xf>
    <xf numFmtId="49" fontId="15" fillId="5" borderId="12" applyAlignment="1" pivotButton="0" quotePrefix="0" xfId="0">
      <alignment horizontal="center" vertical="center" wrapText="1"/>
    </xf>
    <xf numFmtId="49" fontId="15" fillId="5" borderId="20" applyAlignment="1" pivotButton="0" quotePrefix="0" xfId="0">
      <alignment horizontal="center" vertical="center" wrapText="1"/>
    </xf>
    <xf numFmtId="49" fontId="15" fillId="5" borderId="18" applyAlignment="1" pivotButton="0" quotePrefix="0" xfId="0">
      <alignment horizontal="center" vertical="center" wrapText="1"/>
    </xf>
    <xf numFmtId="0" fontId="58" fillId="17" borderId="51" applyAlignment="1" pivotButton="0" quotePrefix="0" xfId="0">
      <alignment horizontal="center" vertical="center" wrapText="1"/>
    </xf>
    <xf numFmtId="0" fontId="58" fillId="17" borderId="0" applyAlignment="1" pivotButton="0" quotePrefix="0" xfId="0">
      <alignment horizontal="center" vertical="center" wrapText="1"/>
    </xf>
    <xf numFmtId="164" fontId="13" fillId="7" borderId="12" applyAlignment="1" pivotButton="0" quotePrefix="0" xfId="5">
      <alignment horizontal="center" vertical="center" wrapText="1"/>
    </xf>
    <xf numFmtId="164" fontId="13" fillId="7" borderId="20" applyAlignment="1" pivotButton="0" quotePrefix="0" xfId="5">
      <alignment horizontal="center" vertical="center" wrapText="1"/>
    </xf>
    <xf numFmtId="164" fontId="13" fillId="7" borderId="18" applyAlignment="1" pivotButton="0" quotePrefix="0" xfId="5">
      <alignment horizontal="center" vertical="center" wrapText="1"/>
    </xf>
    <xf numFmtId="164" fontId="13" fillId="4" borderId="51" applyAlignment="1" pivotButton="0" quotePrefix="0" xfId="5">
      <alignment horizontal="center" vertical="center"/>
    </xf>
    <xf numFmtId="164" fontId="13" fillId="4" borderId="0" applyAlignment="1" pivotButton="0" quotePrefix="0" xfId="5">
      <alignment horizontal="center" vertical="center"/>
    </xf>
    <xf numFmtId="49" fontId="14" fillId="5" borderId="4" applyAlignment="1" pivotButton="0" quotePrefix="0" xfId="0">
      <alignment horizontal="center" vertical="center" wrapText="1"/>
    </xf>
    <xf numFmtId="49" fontId="14" fillId="5" borderId="49" applyAlignment="1" pivotButton="0" quotePrefix="0" xfId="0">
      <alignment horizontal="center" vertical="center" wrapText="1"/>
    </xf>
    <xf numFmtId="49" fontId="14" fillId="5" borderId="45" applyAlignment="1" pivotButton="0" quotePrefix="0" xfId="0">
      <alignment horizontal="center" vertical="center" wrapText="1"/>
    </xf>
    <xf numFmtId="49" fontId="14" fillId="5" borderId="50" applyAlignment="1" pivotButton="0" quotePrefix="0" xfId="0">
      <alignment horizontal="center" vertical="center" wrapText="1"/>
    </xf>
    <xf numFmtId="165" fontId="15" fillId="6" borderId="9" applyAlignment="1" pivotButton="0" quotePrefix="0" xfId="1">
      <alignment horizontal="center" vertical="center" wrapText="1"/>
    </xf>
    <xf numFmtId="165" fontId="15" fillId="6" borderId="13" applyAlignment="1" pivotButton="0" quotePrefix="0" xfId="1">
      <alignment horizontal="center" vertical="center" wrapText="1"/>
    </xf>
    <xf numFmtId="165" fontId="15" fillId="6" borderId="31" applyAlignment="1" pivotButton="0" quotePrefix="0" xfId="1">
      <alignment horizontal="center" vertical="center" wrapText="1"/>
    </xf>
    <xf numFmtId="165" fontId="15" fillId="6" borderId="46" applyAlignment="1" pivotButton="0" quotePrefix="0" xfId="1">
      <alignment horizontal="center" vertical="center" wrapText="1"/>
    </xf>
    <xf numFmtId="165" fontId="15" fillId="6" borderId="47" applyAlignment="1" pivotButton="0" quotePrefix="0" xfId="1">
      <alignment horizontal="center" vertical="center" wrapText="1"/>
    </xf>
    <xf numFmtId="165" fontId="15" fillId="6" borderId="48" applyAlignment="1" pivotButton="0" quotePrefix="0" xfId="1">
      <alignment horizontal="center" vertical="center" wrapText="1"/>
    </xf>
    <xf numFmtId="165" fontId="44" fillId="3" borderId="12" applyAlignment="1" pivotButton="0" quotePrefix="0" xfId="1">
      <alignment horizontal="left"/>
    </xf>
    <xf numFmtId="165" fontId="44" fillId="3" borderId="20" applyAlignment="1" pivotButton="0" quotePrefix="0" xfId="1">
      <alignment horizontal="left"/>
    </xf>
    <xf numFmtId="49" fontId="14" fillId="5" borderId="0" applyAlignment="1" pivotButton="0" quotePrefix="0" xfId="0">
      <alignment horizontal="center" vertical="center" wrapText="1"/>
    </xf>
    <xf numFmtId="49" fontId="14" fillId="5" borderId="19" applyAlignment="1" pivotButton="0" quotePrefix="0" xfId="0">
      <alignment horizontal="center" vertical="center" wrapText="1"/>
    </xf>
    <xf numFmtId="165" fontId="15" fillId="5" borderId="51" applyAlignment="1" pivotButton="0" quotePrefix="0" xfId="1">
      <alignment horizontal="center" vertical="center" wrapText="1"/>
    </xf>
    <xf numFmtId="165" fontId="15" fillId="5" borderId="0" applyAlignment="1" pivotButton="0" quotePrefix="0" xfId="1">
      <alignment horizontal="center" vertical="center" wrapText="1"/>
    </xf>
    <xf numFmtId="164" fontId="13" fillId="7" borderId="41" applyAlignment="1" pivotButton="0" quotePrefix="0" xfId="5">
      <alignment horizontal="center" vertical="center" wrapText="1"/>
    </xf>
    <xf numFmtId="164" fontId="13" fillId="7" borderId="19" applyAlignment="1" pivotButton="0" quotePrefix="0" xfId="5">
      <alignment horizontal="center" vertical="center" wrapText="1"/>
    </xf>
    <xf numFmtId="49" fontId="14" fillId="5" borderId="11" applyAlignment="1" pivotButton="0" quotePrefix="0" xfId="0">
      <alignment horizontal="center" vertical="center" wrapText="1"/>
    </xf>
    <xf numFmtId="165" fontId="15" fillId="6" borderId="4" applyAlignment="1" pivotButton="0" quotePrefix="0" xfId="1">
      <alignment horizontal="center" vertical="center" wrapText="1"/>
    </xf>
    <xf numFmtId="165" fontId="15" fillId="6" borderId="10" applyAlignment="1" pivotButton="0" quotePrefix="0" xfId="1">
      <alignment horizontal="center" vertical="center" wrapText="1"/>
    </xf>
    <xf numFmtId="165" fontId="15" fillId="6" borderId="44" applyAlignment="1" pivotButton="0" quotePrefix="0" xfId="1">
      <alignment horizontal="center" vertical="center" wrapText="1"/>
    </xf>
    <xf numFmtId="165" fontId="15" fillId="6" borderId="14" applyAlignment="1" pivotButton="0" quotePrefix="0" xfId="1">
      <alignment horizontal="center" vertical="center" wrapText="1"/>
    </xf>
    <xf numFmtId="164" fontId="13" fillId="4" borderId="11" applyAlignment="1" pivotButton="0" quotePrefix="0" xfId="5">
      <alignment horizontal="center" vertical="center" wrapText="1"/>
    </xf>
    <xf numFmtId="164" fontId="13" fillId="4" borderId="49" applyAlignment="1" pivotButton="0" quotePrefix="0" xfId="5">
      <alignment horizontal="center" vertical="center" wrapText="1"/>
    </xf>
    <xf numFmtId="164" fontId="13" fillId="4" borderId="0" applyAlignment="1" pivotButton="0" quotePrefix="0" xfId="5">
      <alignment horizontal="center" vertical="center" wrapText="1"/>
    </xf>
    <xf numFmtId="164" fontId="13" fillId="4" borderId="19" applyAlignment="1" pivotButton="0" quotePrefix="0" xfId="5">
      <alignment horizontal="center" vertical="center" wrapText="1"/>
    </xf>
    <xf numFmtId="165" fontId="44" fillId="3" borderId="12" applyAlignment="1" pivotButton="0" quotePrefix="0" xfId="1">
      <alignment horizontal="left" vertical="center"/>
    </xf>
    <xf numFmtId="165" fontId="44" fillId="3" borderId="20" applyAlignment="1" pivotButton="0" quotePrefix="0" xfId="1">
      <alignment horizontal="left" vertical="center"/>
    </xf>
    <xf numFmtId="165" fontId="44" fillId="3" borderId="18" applyAlignment="1" pivotButton="0" quotePrefix="0" xfId="1">
      <alignment horizontal="left" vertical="center"/>
    </xf>
    <xf numFmtId="0" fontId="44" fillId="10" borderId="12" applyAlignment="1" pivotButton="0" quotePrefix="0" xfId="5">
      <alignment horizontal="left"/>
    </xf>
    <xf numFmtId="0" fontId="44" fillId="10" borderId="20" applyAlignment="1" pivotButton="0" quotePrefix="0" xfId="5">
      <alignment horizontal="left"/>
    </xf>
    <xf numFmtId="165" fontId="15" fillId="5" borderId="52" applyAlignment="1" pivotButton="0" quotePrefix="0" xfId="1">
      <alignment horizontal="center" vertical="center" wrapText="1"/>
    </xf>
    <xf numFmtId="165" fontId="15" fillId="5" borderId="53" applyAlignment="1" pivotButton="0" quotePrefix="0" xfId="1">
      <alignment horizontal="center" vertical="center" wrapText="1"/>
    </xf>
    <xf numFmtId="49" fontId="14" fillId="5" borderId="47" applyAlignment="1" pivotButton="0" quotePrefix="0" xfId="0">
      <alignment horizontal="center" vertical="center" wrapText="1"/>
    </xf>
    <xf numFmtId="49" fontId="14" fillId="5" borderId="52" applyAlignment="1" pivotButton="0" quotePrefix="0" xfId="0">
      <alignment horizontal="center" vertical="center" wrapText="1"/>
    </xf>
    <xf numFmtId="49" fontId="14" fillId="5" borderId="53" applyAlignment="1" pivotButton="0" quotePrefix="0" xfId="0">
      <alignment horizontal="center" vertical="center" wrapText="1"/>
    </xf>
    <xf numFmtId="49" fontId="14" fillId="6" borderId="12" applyAlignment="1" pivotButton="0" quotePrefix="0" xfId="0">
      <alignment horizontal="center" vertical="center" wrapText="1"/>
    </xf>
    <xf numFmtId="49" fontId="14" fillId="6" borderId="20" applyAlignment="1" pivotButton="0" quotePrefix="0" xfId="0">
      <alignment horizontal="center" vertical="center" wrapText="1"/>
    </xf>
    <xf numFmtId="165" fontId="15" fillId="5" borderId="9" applyAlignment="1" pivotButton="0" quotePrefix="0" xfId="1">
      <alignment horizontal="center" vertical="center" wrapText="1"/>
    </xf>
    <xf numFmtId="165" fontId="15" fillId="5" borderId="13" applyAlignment="1" pivotButton="0" quotePrefix="0" xfId="1">
      <alignment horizontal="center" vertical="center" wrapText="1"/>
    </xf>
    <xf numFmtId="0" fontId="11" fillId="10" borderId="23" applyAlignment="1" pivotButton="0" quotePrefix="0" xfId="4">
      <alignment horizontal="left" vertical="center"/>
    </xf>
    <xf numFmtId="164" fontId="13" fillId="4" borderId="13" applyAlignment="1" pivotButton="0" quotePrefix="0" xfId="4">
      <alignment horizontal="center" vertical="center" wrapText="1"/>
    </xf>
    <xf numFmtId="49" fontId="14" fillId="5" borderId="9" applyAlignment="1" pivotButton="0" quotePrefix="0" xfId="0">
      <alignment horizontal="center" vertical="center" wrapText="1"/>
    </xf>
    <xf numFmtId="49" fontId="14" fillId="5" borderId="13" applyAlignment="1" pivotButton="0" quotePrefix="0" xfId="0">
      <alignment horizontal="center" vertical="center" wrapText="1"/>
    </xf>
    <xf numFmtId="0" fontId="5" fillId="0" borderId="5" applyAlignment="1" pivotButton="0" quotePrefix="0" xfId="0">
      <alignment horizontal="left" vertical="top"/>
    </xf>
    <xf numFmtId="0" fontId="5" fillId="0" borderId="6" applyAlignment="1" pivotButton="0" quotePrefix="0" xfId="0">
      <alignment horizontal="left" vertical="top"/>
    </xf>
    <xf numFmtId="0" fontId="5" fillId="0" borderId="7" applyAlignment="1" pivotButton="0" quotePrefix="0" xfId="0">
      <alignment horizontal="left" vertical="top"/>
    </xf>
    <xf numFmtId="165" fontId="44" fillId="3" borderId="51" applyAlignment="1" pivotButton="0" quotePrefix="0" xfId="1">
      <alignment horizontal="left" vertical="center"/>
    </xf>
    <xf numFmtId="165" fontId="44" fillId="3" borderId="0" applyAlignment="1" pivotButton="0" quotePrefix="0" xfId="1">
      <alignment horizontal="left" vertical="center"/>
    </xf>
    <xf numFmtId="164" fontId="13" fillId="7" borderId="12" applyAlignment="1" pivotButton="0" quotePrefix="0" xfId="4">
      <alignment horizontal="center" vertical="center" wrapText="1"/>
    </xf>
    <xf numFmtId="0" fontId="8" fillId="20" borderId="51" applyAlignment="1" pivotButton="0" quotePrefix="0" xfId="0">
      <alignment horizontal="center" vertical="center"/>
    </xf>
    <xf numFmtId="0" fontId="8" fillId="20" borderId="0" applyAlignment="1" pivotButton="0" quotePrefix="0" xfId="0">
      <alignment horizontal="center" vertical="center"/>
    </xf>
    <xf numFmtId="0" fontId="8" fillId="20" borderId="46" applyAlignment="1" pivotButton="0" quotePrefix="0" xfId="0">
      <alignment horizontal="center" vertical="center" wrapText="1"/>
    </xf>
    <xf numFmtId="0" fontId="8" fillId="20" borderId="40" applyAlignment="1" pivotButton="0" quotePrefix="0" xfId="0">
      <alignment horizontal="center" vertical="center" wrapText="1"/>
    </xf>
    <xf numFmtId="165" fontId="44" fillId="3" borderId="0" applyAlignment="1" pivotButton="0" quotePrefix="0" xfId="1">
      <alignment horizontal="left" vertical="center"/>
    </xf>
    <xf numFmtId="0" fontId="5" fillId="0" borderId="55" applyAlignment="1" pivotButton="0" quotePrefix="0" xfId="0">
      <alignment horizontal="left" vertical="top"/>
    </xf>
    <xf numFmtId="0" fontId="5" fillId="0" borderId="3" applyAlignment="1" pivotButton="0" quotePrefix="0" xfId="0">
      <alignment horizontal="left" vertical="top"/>
    </xf>
    <xf numFmtId="164" fontId="13" fillId="7" borderId="18" applyAlignment="1" pivotButton="0" quotePrefix="0" xfId="4">
      <alignment horizontal="center" vertical="center" wrapText="1"/>
    </xf>
    <xf numFmtId="0" fontId="8" fillId="20" borderId="46" applyAlignment="1" pivotButton="0" quotePrefix="0" xfId="0">
      <alignment horizontal="center" vertical="top" wrapText="1"/>
    </xf>
    <xf numFmtId="0" fontId="8" fillId="20" borderId="40" applyAlignment="1" pivotButton="0" quotePrefix="0" xfId="0">
      <alignment horizontal="center" vertical="top" wrapText="1"/>
    </xf>
    <xf numFmtId="0" fontId="5" fillId="0" borderId="0" applyAlignment="1" pivotButton="0" quotePrefix="0" xfId="0">
      <alignment horizontal="left" vertical="top"/>
    </xf>
    <xf numFmtId="0" fontId="5" fillId="0" borderId="56" applyAlignment="1" pivotButton="0" quotePrefix="0" xfId="0">
      <alignment horizontal="left" vertical="top"/>
    </xf>
    <xf numFmtId="0" fontId="5" fillId="0" borderId="19" applyAlignment="1" pivotButton="0" quotePrefix="0" xfId="0">
      <alignment horizontal="left" vertical="top"/>
    </xf>
    <xf numFmtId="164" fontId="13" fillId="4" borderId="12" applyAlignment="1" pivotButton="0" quotePrefix="0" xfId="4">
      <alignment horizontal="center" vertical="center" wrapText="1"/>
    </xf>
    <xf numFmtId="164" fontId="13" fillId="4" borderId="20" applyAlignment="1" pivotButton="0" quotePrefix="0" xfId="4">
      <alignment horizontal="center" vertical="center" wrapText="1"/>
    </xf>
    <xf numFmtId="164" fontId="13" fillId="4" borderId="18" applyAlignment="1" pivotButton="0" quotePrefix="0" xfId="4">
      <alignment horizontal="center" vertical="center" wrapText="1"/>
    </xf>
    <xf numFmtId="165" fontId="44" fillId="3" borderId="41" applyAlignment="1" pivotButton="0" quotePrefix="0" xfId="1">
      <alignment horizontal="left" vertical="center"/>
    </xf>
    <xf numFmtId="165" fontId="44" fillId="3" borderId="19" applyAlignment="1" pivotButton="0" quotePrefix="0" xfId="1">
      <alignment horizontal="left" vertical="center"/>
    </xf>
    <xf numFmtId="164" fontId="13" fillId="4" borderId="46" applyAlignment="1" pivotButton="0" quotePrefix="0" xfId="4">
      <alignment horizontal="center" vertical="center" wrapText="1"/>
    </xf>
    <xf numFmtId="164" fontId="13" fillId="4" borderId="41" applyAlignment="1" pivotButton="0" quotePrefix="0" xfId="4">
      <alignment horizontal="center" vertical="center" wrapText="1"/>
    </xf>
    <xf numFmtId="164" fontId="13" fillId="4" borderId="57" applyAlignment="1" pivotButton="0" quotePrefix="0" xfId="4">
      <alignment horizontal="center" vertical="center" wrapText="1"/>
    </xf>
    <xf numFmtId="164" fontId="13" fillId="4" borderId="50" applyAlignment="1" pivotButton="0" quotePrefix="0" xfId="4">
      <alignment horizontal="center" vertical="center" wrapText="1"/>
    </xf>
    <xf numFmtId="0" fontId="8" fillId="20" borderId="51" applyAlignment="1" pivotButton="0" quotePrefix="0" xfId="0">
      <alignment horizontal="center" vertical="top"/>
    </xf>
    <xf numFmtId="0" fontId="8" fillId="20" borderId="0" applyAlignment="1" pivotButton="0" quotePrefix="0" xfId="0">
      <alignment horizontal="center" vertical="top"/>
    </xf>
    <xf numFmtId="165" fontId="44" fillId="3" borderId="18" applyAlignment="1" pivotButton="0" quotePrefix="0" xfId="1">
      <alignment horizontal="left"/>
    </xf>
    <xf numFmtId="49" fontId="14" fillId="5" borderId="10" applyAlignment="1" pivotButton="0" quotePrefix="0" xfId="0">
      <alignment horizontal="center" vertical="center" wrapText="1"/>
    </xf>
    <xf numFmtId="164" fontId="13" fillId="4" borderId="4" applyAlignment="1" pivotButton="0" quotePrefix="0" xfId="4">
      <alignment horizontal="center" vertical="center" wrapText="1"/>
    </xf>
    <xf numFmtId="164" fontId="13" fillId="4" borderId="10" applyAlignment="1" pivotButton="0" quotePrefix="0" xfId="4">
      <alignment horizontal="center" vertical="center" wrapText="1"/>
    </xf>
    <xf numFmtId="0" fontId="0" fillId="0" borderId="20" pivotButton="0" quotePrefix="0" xfId="0"/>
    <xf numFmtId="0" fontId="0" fillId="0" borderId="18" pivotButton="0" quotePrefix="0" xfId="0"/>
    <xf numFmtId="0" fontId="0" fillId="0" borderId="31" pivotButton="0" quotePrefix="0" xfId="0"/>
    <xf numFmtId="0" fontId="0" fillId="0" borderId="13" pivotButton="0" quotePrefix="0" xfId="0"/>
    <xf numFmtId="0" fontId="0" fillId="0" borderId="19" pivotButton="0" quotePrefix="0" xfId="0"/>
    <xf numFmtId="0" fontId="0" fillId="0" borderId="23" pivotButton="0" quotePrefix="0" xfId="0"/>
    <xf numFmtId="0" fontId="0" fillId="0" borderId="30" pivotButton="0" quotePrefix="0" xfId="0"/>
    <xf numFmtId="0" fontId="0" fillId="0" borderId="44" pivotButton="0" quotePrefix="0" xfId="0"/>
    <xf numFmtId="0" fontId="0" fillId="0" borderId="59" pivotButton="0" quotePrefix="0" xfId="0"/>
    <xf numFmtId="0" fontId="0" fillId="0" borderId="11" pivotButton="0" quotePrefix="0" xfId="0"/>
    <xf numFmtId="0" fontId="0" fillId="0" borderId="58" pivotButton="0" quotePrefix="0" xfId="0"/>
    <xf numFmtId="0" fontId="0" fillId="0" borderId="40" pivotButton="0" quotePrefix="0" xfId="0"/>
    <xf numFmtId="49" fontId="14" fillId="5" borderId="18" applyAlignment="1" pivotButton="0" quotePrefix="0" xfId="3">
      <alignment horizontal="center" vertical="center" wrapText="1"/>
    </xf>
    <xf numFmtId="0" fontId="0" fillId="0" borderId="10" pivotButton="0" quotePrefix="0" xfId="0"/>
    <xf numFmtId="0" fontId="0" fillId="0" borderId="14" pivotButton="0" quotePrefix="0" xfId="0"/>
    <xf numFmtId="166" fontId="31" fillId="3" borderId="13" applyAlignment="1" pivotButton="0" quotePrefix="0" xfId="3">
      <alignment vertical="center" wrapText="1"/>
    </xf>
    <xf numFmtId="166" fontId="31" fillId="3" borderId="13" applyAlignment="1" pivotButton="0" quotePrefix="0" xfId="3">
      <alignment horizontal="right" vertical="center" wrapText="1"/>
    </xf>
    <xf numFmtId="166" fontId="5" fillId="14" borderId="8" applyAlignment="1" pivotButton="0" quotePrefix="0" xfId="7">
      <alignment vertical="center" wrapText="1"/>
    </xf>
    <xf numFmtId="166" fontId="5" fillId="14" borderId="8" applyAlignment="1" pivotButton="0" quotePrefix="0" xfId="7">
      <alignment horizontal="right" vertical="center" wrapText="1"/>
    </xf>
    <xf numFmtId="166" fontId="19" fillId="14" borderId="8" applyAlignment="1" pivotButton="0" quotePrefix="0" xfId="3">
      <alignment vertical="center" wrapText="1"/>
    </xf>
    <xf numFmtId="166" fontId="19" fillId="14" borderId="8" applyAlignment="1" pivotButton="0" quotePrefix="0" xfId="3">
      <alignment horizontal="right" vertical="center" wrapText="1"/>
    </xf>
    <xf numFmtId="166" fontId="19" fillId="14" borderId="8" applyAlignment="1" pivotButton="0" quotePrefix="0" xfId="7">
      <alignment vertical="center" wrapText="1"/>
    </xf>
    <xf numFmtId="166" fontId="19" fillId="14" borderId="8" applyAlignment="1" pivotButton="0" quotePrefix="0" xfId="7">
      <alignment horizontal="right" vertical="center" wrapText="1"/>
    </xf>
    <xf numFmtId="166" fontId="19" fillId="14" borderId="8" applyAlignment="1" pivotButton="0" quotePrefix="0" xfId="3">
      <alignment vertical="top" wrapText="1"/>
    </xf>
    <xf numFmtId="166" fontId="19" fillId="14" borderId="8" applyAlignment="1" pivotButton="0" quotePrefix="0" xfId="3">
      <alignment horizontal="right" vertical="top" wrapText="1"/>
    </xf>
    <xf numFmtId="0" fontId="0" fillId="0" borderId="19" applyProtection="1" pivotButton="0" quotePrefix="0" xfId="0">
      <protection locked="0" hidden="0"/>
    </xf>
    <xf numFmtId="167" fontId="31" fillId="0" borderId="8" applyAlignment="1" pivotButton="0" quotePrefix="0" xfId="0">
      <alignment horizontal="left" wrapText="1"/>
    </xf>
    <xf numFmtId="0" fontId="0" fillId="0" borderId="0" applyProtection="1" pivotButton="0" quotePrefix="0" xfId="0">
      <protection locked="0" hidden="0"/>
    </xf>
    <xf numFmtId="0" fontId="0" fillId="0" borderId="43" pivotButton="0" quotePrefix="0" xfId="0"/>
    <xf numFmtId="0" fontId="0" fillId="0" borderId="3" pivotButton="0" quotePrefix="0" xfId="0"/>
    <xf numFmtId="0" fontId="0" fillId="0" borderId="55" pivotButton="0" quotePrefix="0" xfId="0"/>
    <xf numFmtId="166" fontId="31" fillId="3" borderId="13" applyAlignment="1" pivotButton="0" quotePrefix="0" xfId="0">
      <alignment horizontal="right" vertical="center" wrapText="1"/>
    </xf>
    <xf numFmtId="166" fontId="31" fillId="3" borderId="13" applyAlignment="1" pivotButton="0" quotePrefix="0" xfId="0">
      <alignment horizontal="center" vertical="center" wrapText="1"/>
    </xf>
    <xf numFmtId="166" fontId="19" fillId="14" borderId="8" applyAlignment="1" pivotButton="0" quotePrefix="0" xfId="0">
      <alignment horizontal="right"/>
    </xf>
    <xf numFmtId="166" fontId="25" fillId="0" borderId="0" applyAlignment="1" pivotButton="0" quotePrefix="0" xfId="0">
      <alignment horizontal="center"/>
    </xf>
    <xf numFmtId="166" fontId="25" fillId="0" borderId="0" applyAlignment="1" pivotButton="0" quotePrefix="0" xfId="0">
      <alignment horizontal="left"/>
    </xf>
    <xf numFmtId="49" fontId="14" fillId="5" borderId="60" applyAlignment="1" pivotButton="0" quotePrefix="0" xfId="0">
      <alignment horizontal="center" vertical="center" wrapText="1"/>
    </xf>
    <xf numFmtId="49" fontId="14" fillId="5" borderId="61" applyAlignment="1" pivotButton="0" quotePrefix="0" xfId="0">
      <alignment horizontal="center" vertical="center" wrapText="1"/>
    </xf>
    <xf numFmtId="165" fontId="15" fillId="6" borderId="63" applyAlignment="1" pivotButton="0" quotePrefix="0" xfId="1">
      <alignment horizontal="center"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164" fontId="13" fillId="7" borderId="8" applyAlignment="1" pivotButton="0" quotePrefix="0" xfId="5">
      <alignment horizontal="center" vertical="center" wrapText="1"/>
    </xf>
    <xf numFmtId="168" fontId="31" fillId="0" borderId="8" applyAlignment="1" pivotButton="0" quotePrefix="0" xfId="9">
      <alignment horizontal="left" vertical="top"/>
    </xf>
    <xf numFmtId="165" fontId="44" fillId="3" borderId="8" applyAlignment="1" pivotButton="0" quotePrefix="0" xfId="1">
      <alignment horizontal="left" vertical="center"/>
    </xf>
    <xf numFmtId="49" fontId="14" fillId="5" borderId="20" applyAlignment="1" pivotButton="0" quotePrefix="0" xfId="0">
      <alignment horizontal="center" vertical="center" wrapText="1"/>
    </xf>
    <xf numFmtId="165" fontId="15" fillId="6" borderId="1" applyAlignment="1" pivotButton="0" quotePrefix="0" xfId="1">
      <alignment horizontal="center" vertical="center" wrapText="1"/>
    </xf>
    <xf numFmtId="0" fontId="0" fillId="0" borderId="53" pivotButton="0" quotePrefix="0" xfId="0"/>
    <xf numFmtId="169" fontId="31" fillId="14" borderId="8" applyAlignment="1" pivotButton="0" quotePrefix="0" xfId="9">
      <alignment horizontal="right" vertical="center" wrapText="1"/>
    </xf>
    <xf numFmtId="168" fontId="65" fillId="0" borderId="8" applyAlignment="1" pivotButton="0" quotePrefix="0" xfId="9">
      <alignment horizontal="left" vertical="top"/>
    </xf>
    <xf numFmtId="168" fontId="42" fillId="0" borderId="8" applyAlignment="1" pivotButton="0" quotePrefix="0" xfId="9">
      <alignment horizontal="left" vertical="top"/>
    </xf>
    <xf numFmtId="168" fontId="64" fillId="0" borderId="8" applyAlignment="1" pivotButton="0" quotePrefix="0" xfId="9">
      <alignment horizontal="left" vertical="top"/>
    </xf>
    <xf numFmtId="168" fontId="63" fillId="0" borderId="8" applyAlignment="1" pivotButton="0" quotePrefix="0" xfId="9">
      <alignment horizontal="left" vertical="top"/>
    </xf>
    <xf numFmtId="0" fontId="8" fillId="20" borderId="9" applyAlignment="1" pivotButton="0" quotePrefix="0" xfId="0">
      <alignment horizontal="center" vertical="center" wrapText="1"/>
    </xf>
    <xf numFmtId="0" fontId="5" fillId="0" borderId="4" applyAlignment="1" pivotButton="0" quotePrefix="0" xfId="0">
      <alignment horizontal="left" vertical="top"/>
    </xf>
    <xf numFmtId="0" fontId="0" fillId="0" borderId="6" pivotButton="0" quotePrefix="0" xfId="0"/>
    <xf numFmtId="0" fontId="0" fillId="0" borderId="7" pivotButton="0" quotePrefix="0" xfId="0"/>
    <xf numFmtId="0" fontId="8" fillId="20" borderId="9" applyAlignment="1" pivotButton="0" quotePrefix="0" xfId="0">
      <alignment horizontal="center" vertical="top" wrapText="1"/>
    </xf>
    <xf numFmtId="164" fontId="13" fillId="4" borderId="64" applyAlignment="1" pivotButton="0" quotePrefix="0" xfId="4">
      <alignment horizontal="center" vertical="center" wrapText="1"/>
    </xf>
    <xf numFmtId="0" fontId="0" fillId="0" borderId="41" pivotButton="0" quotePrefix="0" xfId="0"/>
    <xf numFmtId="165" fontId="44" fillId="3" borderId="8" applyAlignment="1" pivotButton="0" quotePrefix="0" xfId="1">
      <alignment horizontal="left"/>
    </xf>
    <xf numFmtId="170" fontId="19" fillId="9" borderId="8" applyAlignment="1" pivotButton="0" quotePrefix="0" xfId="1">
      <alignment horizontal="right" vertical="center"/>
    </xf>
    <xf numFmtId="171" fontId="19" fillId="9" borderId="8" applyAlignment="1" pivotButton="0" quotePrefix="0" xfId="1">
      <alignment horizontal="right" vertical="center"/>
    </xf>
  </cellXfs>
  <cellStyles count="11">
    <cellStyle name="Normal" xfId="0" builtinId="0"/>
    <cellStyle name="Comma" xfId="1" builtinId="3"/>
    <cellStyle name="Percent" xfId="2" builtinId="5"/>
    <cellStyle name="Normal 2 2 2" xfId="3"/>
    <cellStyle name="Normal 2 2" xfId="4"/>
    <cellStyle name="Normal 2 2 3 2 2" xfId="5"/>
    <cellStyle name="Comma 2 2 2 2 2" xfId="6"/>
    <cellStyle name="Comma 2 2" xfId="7"/>
    <cellStyle name="Percent 2" xfId="8"/>
    <cellStyle name="Comma 2 3" xfId="9"/>
    <cellStyle name="Normal 2" xfId="10"/>
  </cellStyles>
  <dxfs count="170">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0"/>
        </patternFill>
      </fill>
    </dxf>
    <dxf>
      <fill>
        <patternFill>
          <bgColor rgb="FFEDF2DB"/>
        </patternFill>
      </fill>
    </dxf>
    <dxf>
      <fill>
        <patternFill>
          <bgColor theme="4" tint="0.7999816888943144"/>
        </patternFill>
      </fill>
    </dxf>
    <dxf>
      <fill>
        <patternFill>
          <bgColor theme="7" tint="0.7999816888943144"/>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ill>
        <patternFill>
          <bgColor rgb="FFEDF2DB"/>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gradientFill type="path" left="0.5" right="0.5" top="0.5" bottom="0.5">
          <stop position="0">
            <color theme="2"/>
          </stop>
          <stop position="1">
            <color rgb="FFFF0000"/>
          </stop>
        </gradient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
      <font>
        <i val="1"/>
      </font>
      <numFmt numFmtId="30" formatCode="@"/>
      <fill>
        <patternFill patternType="solid">
          <fgColor auto="1"/>
          <bgColor rgb="FFFF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Aysel V Mehdizade</author>
  </authors>
  <commentList>
    <comment ref="J12" authorId="0" shapeId="0">
      <text>
        <t xml:space="preserve">
Risks factors refer to the any kind of commercial, technical or financial risks considered as critical for investment project realization 
Risk faktorları üzrə status investisiya layihəsinin reallaşdırılması üçün kritik hesab edilən hər cür kommersiya, texniki və ya maliyyə risklərini nəzərdə tutur</t>
      </text>
    </comment>
    <comment ref="L12" authorId="0" shapeId="0">
      <text>
        <t>Total budgeted amount for the whole investment project  
Təsdiq olunmuş Layihə-smeta sənədlərinə əsasən layihənin büdcəsi</t>
      </text>
    </comment>
    <comment ref="M12" authorId="0" shapeId="0">
      <text>
        <t>1.Shows actual execution (accrual basis) from the start date of the project up to reporting date in monetary values
Layihənin başlandığı tarixdən hesabat dövrünün sonunadək layihə üzrə faktiki yerinə yetirilən işlərin dəyəri</t>
      </text>
    </comment>
    <comment ref="N12" authorId="0" shapeId="0">
      <text>
        <t xml:space="preserve">1.Shows budgeted execution (accrual basis) from the start date till the reporting date in monetary values  
Layihənin başlandığı tarixdən hesabat dövrünün sonunadək layihə üzrə planlaşdırılan işlərin dəyəri 
</t>
      </text>
    </comment>
    <comment ref="O12" authorId="0" shapeId="0">
      <text>
        <t xml:space="preserve">1.Shows execution (accrual basis) confirmed by signed act of work performed for reporting period in monetary values
Hesabat dövrü üzrə imzalanmış iş aktı ilə təsdiq edilmiş icranı (hesablama metodu əsasında) monetar dəyərdə əks etdirir 
</t>
      </text>
    </comment>
    <comment ref="P12" authorId="0" shapeId="0">
      <text>
        <t xml:space="preserve">1.Shows planned or budgeted execution (accrual basis) in reporting period in monetary values  
Hesabat dövrü üzrə planlanan və ya büdcələnmiş icranı (hesablama metodu əsasında) monetar dəyərdə əks etdirir 
</t>
      </text>
    </comment>
    <comment ref="T12" authorId="0" shapeId="0">
      <text>
        <t xml:space="preserve">1.Shows cumulative execution (accrual basis) confirmed by signed act of work performed from the beginning of the current year in monetary values 
Cari ilin əvvəlindən imzalanmış iş aktı ilə təsdiq edilmiş məcmu icranı (hesablama metodu əsasında) monetar dəyərdə əks etdirir </t>
      </text>
    </comment>
    <comment ref="U12" authorId="0" shapeId="0">
      <text>
        <t xml:space="preserve">1.Shows cumulative planned or budgeted execution (accrual basis) from the beginning of the current year in monetary values 
Cari ilin əvvəlindən planlanan və ya büdcələnmiş məcmu icranı (hesablama metodu əsasında) monetar dəyərdə əks etdirir </t>
      </text>
    </comment>
  </commentList>
</comments>
</file>

<file path=xl/comments/comment2.xml><?xml version="1.0" encoding="utf-8"?>
<comments xmlns="http://schemas.openxmlformats.org/spreadsheetml/2006/main">
  <authors>
    <author>Aysel V Mehdizade</author>
  </authors>
  <commentList>
    <comment ref="G12" authorId="0" shapeId="0">
      <text>
        <t>Total budgeted amount for the whole investment project    
Təsdiq olunmuş Layihə-smeta sənədlərinə əsasən layihənin büdcəsi</t>
      </text>
    </comment>
    <comment ref="H12" authorId="0" shapeId="0">
      <text>
        <t>Shows actual financing from the start date of the project to reporting date in monetary values 
Layihənin başlandığı tarixdən hesabat dövrünün sonunadək layihə üzrə faktiki maliyyələşmə (ödəniş) məbləği</t>
      </text>
    </comment>
    <comment ref="I12" authorId="0" shapeId="0">
      <text>
        <t>Shows budgeted financing from the start date of the project till the reporting date in monetary values 
Layihənin başlandığı tarixdən hesabat dövrünün sonunadək layihə üzrə planlaşdırılan maliyyələşmə (ödəniş) məbləği</t>
      </text>
    </comment>
    <comment ref="J12" authorId="0" shapeId="0">
      <text>
        <t>Shows amount of actual financing (cash basis) within the investment projects in reporting period in monetary values
 Layihə üzrə hesabat dövrünə olan faktiki maliyyələşdirməni (kassa metodu ilə) əks etdirir</t>
      </text>
    </comment>
    <comment ref="K12" authorId="0" shapeId="0">
      <text>
        <t>Shows planned or budgeted amount of financing (cash basis) in reporting period in monetary values 
Layihə üzrə hesabat dövründə planlaşdırılmış və ya büdcələnmiş maliyyələşdirmə məbləğlərini (kassa metodu ilə)
 əks etdirir</t>
      </text>
    </comment>
    <comment ref="O12" authorId="0" shapeId="0">
      <text>
        <t>Shows cumulative amount of actual financing (cash basis) within the investment projects from the beginning of the current year in monetary values
Cari ilin əvvəlindən layihə üzrə edilmiş məcmu faktiki maliyyələşdirmə məbləğlərini (kassa metodu ilə) monetar dəyərdə əks etdirir</t>
      </text>
    </comment>
    <comment ref="P12" authorId="0" shapeId="0">
      <text>
        <t>Consider cumulative planned or budgeted amount of financing (cash basis) from the beginning of the current year in monetary values 
 İlin əvvəlindən layihə üzrə edilmiş planlaşdırılmış maliyyələşdirmənin məcmusunu (kassa metodu ilə) nəzərdə tutur</t>
      </text>
    </comment>
  </commentList>
</comments>
</file>

<file path=xl/comments/comment3.xml><?xml version="1.0" encoding="utf-8"?>
<comments xmlns="http://schemas.openxmlformats.org/spreadsheetml/2006/main">
  <authors>
    <author>Nurken Abeuov</author>
  </authors>
  <commentList>
    <comment ref="C24" authorId="0" shapeId="0">
      <text>
        <t>Input for customer name / 
Müştərinin adının daxil edilməsi</t>
      </text>
    </comment>
  </commentList>
</comments>
</file>

<file path=xl/comments/comment4.xml><?xml version="1.0" encoding="utf-8"?>
<comments xmlns="http://schemas.openxmlformats.org/spreadsheetml/2006/main">
  <authors>
    <author>Nurken Abeuov</author>
  </authors>
  <commentList>
    <comment ref="C26" authorId="0" shapeId="0">
      <text>
        <t>Input for supplier name / 
Təchizatçıların adını daxil edilməsi</t>
      </text>
    </comment>
    <comment ref="C27" authorId="0" shapeId="0">
      <text>
        <t>Input for supplier name / 
Təchizatçıların adını daxil edilməsi</t>
      </text>
    </comment>
    <comment ref="C28" authorId="0" shapeId="0">
      <text>
        <t>Input for supplier name / 
Təchizatçıların adını daxil edilməsi</t>
      </text>
    </comment>
    <comment ref="C29" authorId="0" shapeId="0">
      <text>
        <t>Input for supplier name / 
Təchizatçıların adını daxil edilməsi</t>
      </text>
    </comment>
    <comment ref="C30" authorId="0" shapeId="0">
      <text>
        <t>Input for supplier name / 
Təchizatçıların adını daxil edilməsi</t>
      </text>
    </comment>
    <comment ref="C31" authorId="0" shapeId="0">
      <text>
        <t>Input for supplier name / 
Təchizatçıların adını daxil edilməsi</t>
      </text>
    </comment>
    <comment ref="C32" authorId="0" shapeId="0">
      <text>
        <t>Input for supplier name / 
Təchizatçıların adını daxil edilməsi</t>
      </text>
    </comment>
    <comment ref="C33" authorId="0" shapeId="0">
      <text>
        <t>Input for supplier name / 
Təchizatçıların adını daxil edilməsi</t>
      </text>
    </comment>
    <comment ref="C34" authorId="0" shapeId="0">
      <text>
        <t>Input for supplier name / 
Təchizatçıların adını daxil edilməsi</t>
      </text>
    </comment>
    <comment ref="C35" authorId="0" shapeId="0">
      <text>
        <t>Input for supplier name / 
Təchizatçıların adını daxil edilməsi</t>
      </text>
    </comment>
    <comment ref="C50" authorId="0" shapeId="0">
      <text>
        <t>Input for supplier name / 
Təchizatçıların adını daxil edilməsi</t>
      </text>
    </comment>
  </commentList>
</comments>
</file>

<file path=xl/comments/comment5.xml><?xml version="1.0" encoding="utf-8"?>
<comments xmlns="http://schemas.openxmlformats.org/spreadsheetml/2006/main">
  <authors>
    <author>Nurken Abeuov</author>
  </authors>
  <commentList>
    <comment ref="C24" authorId="0" shapeId="0">
      <text>
        <t>Input for customer name / 
Müştərinin adının daxil edilməsi</t>
      </text>
    </comment>
  </commentList>
</comments>
</file>

<file path=xl/externalLinks/_rels/externalLink1.xml.rels><Relationships xmlns="http://schemas.openxmlformats.org/package/2006/relationships"><Relationship Type="http://schemas.openxmlformats.org/officeDocument/2006/relationships/externalLinkPath" Target="file:///C:\Users\Nino\Downloads\Monthly%20report_template_v7%202023%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urrency"/>
      <sheetName val="Cover"/>
      <sheetName val="Content"/>
      <sheetName val="Guidance"/>
      <sheetName val="Checks"/>
      <sheetName val="Segment_map"/>
      <sheetName val="Sheet1"/>
      <sheetName val="Product_map T"/>
      <sheetName val="Services_map"/>
      <sheetName val="Exchange rates"/>
      <sheetName val="Locale"/>
      <sheetName val="Exec_Dash"/>
      <sheetName val="Exec Finance"/>
      <sheetName val="AR&amp;AP_Dash"/>
      <sheetName val="Investment_analysis"/>
      <sheetName val="Investment_dash"/>
      <sheetName val="Borrowings_Dash"/>
      <sheetName val="Upstream_Dash"/>
      <sheetName val="Midstream_Dash"/>
      <sheetName val="Downstream_dash"/>
      <sheetName val="GasDistr_Dash"/>
      <sheetName val="Construction_Dash"/>
      <sheetName val="Drilling_Dash"/>
      <sheetName val="Wholesales and Trading_dash"/>
      <sheetName val="Retail_dash"/>
      <sheetName val="Marketing Dash"/>
      <sheetName val="Support_Dash"/>
      <sheetName val="Exec_Dash_C1"/>
      <sheetName val="Exec Finance_C1"/>
      <sheetName val="Upstream_Dash_C1"/>
      <sheetName val="Midstream_Dash_C1"/>
      <sheetName val="Downstream_dash_C1"/>
      <sheetName val="Drilling_Dash C1"/>
      <sheetName val="GasDistr_Dash_C1"/>
      <sheetName val="Wholesales and Trading_dash_C1"/>
      <sheetName val="Retail_dash_C1"/>
      <sheetName val="Marketing Dash_C1"/>
      <sheetName val="Support_Dash_C1"/>
      <sheetName val="Input forms--&gt;"/>
      <sheetName val="BS"/>
      <sheetName val="P&amp;L"/>
      <sheetName val="CFS (ind)"/>
      <sheetName val="Service revenue&amp;COGS"/>
      <sheetName val="Products revenue&amp;COGS_WSales_Tr"/>
      <sheetName val="Products revenue&amp;COGS_Retail"/>
      <sheetName val="Products revenue&amp;COGS_Gas Distr"/>
      <sheetName val="CAPEX&amp;INVESTMENT"/>
      <sheetName val="CAPEX_cash basis"/>
      <sheetName val="OPEX_breakdown"/>
      <sheetName val="Borrowings"/>
      <sheetName val="Receivables"/>
      <sheetName val="Payables"/>
      <sheetName val="Prepayments"/>
      <sheetName val="Upstream "/>
      <sheetName val="Midstream"/>
      <sheetName val="Downstream"/>
      <sheetName val="Gas Distibution"/>
      <sheetName val="Drilling"/>
      <sheetName val="Trading"/>
      <sheetName val="Retail"/>
      <sheetName val="Marketing_Department"/>
      <sheetName val="Сonstruction"/>
      <sheetName val="Project_description"/>
      <sheetName val="HSE Safety"/>
      <sheetName val="HR"/>
      <sheetName val="HSE Environment"/>
      <sheetName val="Procurement and MM"/>
      <sheetName val="Key events"/>
      <sheetName val="Output forms--&gt;"/>
      <sheetName val="KPI Finance"/>
      <sheetName val="KPI Upstream"/>
      <sheetName val="KPI Midstream"/>
      <sheetName val="KPI Downstream"/>
      <sheetName val="KPI Gas Distribution"/>
      <sheetName val="KPI Drilling"/>
      <sheetName val="KPI Wholesales and Trading"/>
      <sheetName val="KPI Sales"/>
      <sheetName val="KPI Retail"/>
      <sheetName val="KPI Сonstruction"/>
      <sheetName val="KPI HSE Safety"/>
      <sheetName val="KPI HR"/>
      <sheetName val="KPI Environment"/>
      <sheetName val="KPI Procurement and MM"/>
      <sheetName val="Support sheets--&gt;"/>
      <sheetName val="Support_tables"/>
      <sheetName val="Select list (dont delete)"/>
      <sheetName val="Construction_execution_chart"/>
    </sheetNames>
    <sheetDataSet>
      <sheetData sheetId="0"/>
      <sheetData sheetId="1"/>
      <sheetData sheetId="2"/>
      <sheetData sheetId="3"/>
      <sheetData sheetId="4"/>
      <sheetData sheetId="5">
        <row r="4">
          <cell r="D4" t="str">
            <v>SOCAR Energy Georgia LLC</v>
          </cell>
          <cell r="J4" t="str">
            <v>USD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13">
          <cell r="G13">
            <v>130425.03796092815</v>
          </cell>
          <cell r="H13">
            <v>152288.82352941178</v>
          </cell>
        </row>
        <row r="14">
          <cell r="G14">
            <v>21239.02156243028</v>
          </cell>
          <cell r="H14">
            <v>15533.529411764706</v>
          </cell>
        </row>
        <row r="15">
          <cell r="G15">
            <v>21239.02156243028</v>
          </cell>
          <cell r="H15">
            <v>15533.529411764706</v>
          </cell>
        </row>
        <row r="16">
          <cell r="G16">
            <v>0</v>
          </cell>
        </row>
        <row r="17">
          <cell r="G17">
            <v>21239.02156243028</v>
          </cell>
          <cell r="H17">
            <v>15533.529411764706</v>
          </cell>
        </row>
        <row r="18">
          <cell r="G18">
            <v>0</v>
          </cell>
        </row>
        <row r="19">
          <cell r="G19">
            <v>0</v>
          </cell>
        </row>
        <row r="20">
          <cell r="G20">
            <v>0</v>
          </cell>
          <cell r="H20">
            <v>0</v>
          </cell>
        </row>
        <row r="21">
          <cell r="G21">
            <v>0</v>
          </cell>
          <cell r="H21">
            <v>0</v>
          </cell>
        </row>
        <row r="22">
          <cell r="G22">
            <v>91927.687220986161</v>
          </cell>
          <cell r="H22">
            <v>131002.35294117648</v>
          </cell>
        </row>
        <row r="23">
          <cell r="G23">
            <v>91927.687220986161</v>
          </cell>
          <cell r="H23">
            <v>131002.35294117648</v>
          </cell>
        </row>
        <row r="24">
          <cell r="G24">
            <v>86141.589915089935</v>
          </cell>
          <cell r="H24">
            <v>128743.52941176471</v>
          </cell>
        </row>
        <row r="25">
          <cell r="G25">
            <v>0</v>
          </cell>
          <cell r="H25">
            <v>0</v>
          </cell>
        </row>
        <row r="26">
          <cell r="G26">
            <v>5786.0973058962263</v>
          </cell>
          <cell r="H26">
            <v>2258.8235294117649</v>
          </cell>
        </row>
        <row r="27">
          <cell r="G27">
            <v>0</v>
          </cell>
          <cell r="H27">
            <v>0</v>
          </cell>
        </row>
        <row r="28">
          <cell r="G28">
            <v>0</v>
          </cell>
        </row>
        <row r="29">
          <cell r="G29">
            <v>0</v>
          </cell>
          <cell r="H29">
            <v>0</v>
          </cell>
        </row>
        <row r="33">
          <cell r="G33">
            <v>17258.32917751171</v>
          </cell>
          <cell r="H33">
            <v>5752.9411764705883</v>
          </cell>
        </row>
        <row r="34">
          <cell r="G34">
            <v>17258.32917751171</v>
          </cell>
          <cell r="H34">
            <v>5752.9411764705883</v>
          </cell>
        </row>
        <row r="35">
          <cell r="G35">
            <v>0</v>
          </cell>
          <cell r="H35">
            <v>0</v>
          </cell>
        </row>
        <row r="36">
          <cell r="G36">
            <v>0</v>
          </cell>
          <cell r="H36">
            <v>0</v>
          </cell>
        </row>
        <row r="37">
          <cell r="G37">
            <v>0</v>
          </cell>
          <cell r="H37">
            <v>0</v>
          </cell>
        </row>
        <row r="38">
          <cell r="G38">
            <v>0</v>
          </cell>
          <cell r="H38">
            <v>0</v>
          </cell>
        </row>
        <row r="39">
          <cell r="G39">
            <v>0</v>
          </cell>
          <cell r="H39">
            <v>0</v>
          </cell>
        </row>
        <row r="40">
          <cell r="H40">
            <v>0</v>
          </cell>
        </row>
        <row r="41">
          <cell r="G41">
            <v>0</v>
          </cell>
          <cell r="H41">
            <v>0</v>
          </cell>
        </row>
        <row r="44">
          <cell r="G44">
            <v>509532.6520606025</v>
          </cell>
          <cell r="H44">
            <v>386565.29411764705</v>
          </cell>
        </row>
        <row r="45">
          <cell r="G45">
            <v>481202.36347883381</v>
          </cell>
          <cell r="H45">
            <v>378304.70588235295</v>
          </cell>
        </row>
        <row r="46">
          <cell r="G46">
            <v>656670.03200572752</v>
          </cell>
          <cell r="H46">
            <v>494852.3529411765</v>
          </cell>
        </row>
        <row r="47">
          <cell r="G47">
            <v>-175467.66852689374</v>
          </cell>
          <cell r="H47">
            <v>-116547.64705882354</v>
          </cell>
        </row>
        <row r="48">
          <cell r="G48">
            <v>0</v>
          </cell>
          <cell r="H48">
            <v>0</v>
          </cell>
        </row>
        <row r="49">
          <cell r="G49">
            <v>-175467.66852689374</v>
          </cell>
          <cell r="H49">
            <v>-116547.64705882354</v>
          </cell>
        </row>
        <row r="50">
          <cell r="G50">
            <v>0</v>
          </cell>
          <cell r="H50">
            <v>0</v>
          </cell>
        </row>
        <row r="53">
          <cell r="G53">
            <v>6594.9644085635828</v>
          </cell>
          <cell r="H53">
            <v>2082.3529411764703</v>
          </cell>
        </row>
        <row r="54">
          <cell r="G54">
            <v>10089.958864576076</v>
          </cell>
          <cell r="H54">
            <v>4902.3529411764703</v>
          </cell>
        </row>
        <row r="55">
          <cell r="G55">
            <v>-3494.9944560124936</v>
          </cell>
          <cell r="H55">
            <v>-2820</v>
          </cell>
        </row>
        <row r="56">
          <cell r="G56">
            <v>0</v>
          </cell>
          <cell r="H56">
            <v>0</v>
          </cell>
        </row>
        <row r="57">
          <cell r="G57">
            <v>-3494.9944560124936</v>
          </cell>
          <cell r="H57">
            <v>-2820</v>
          </cell>
        </row>
        <row r="58">
          <cell r="G58">
            <v>0</v>
          </cell>
          <cell r="H58">
            <v>0</v>
          </cell>
        </row>
        <row r="59">
          <cell r="G59">
            <v>4617.1220181164354</v>
          </cell>
          <cell r="H59">
            <v>0</v>
          </cell>
        </row>
        <row r="60">
          <cell r="G60">
            <v>3985.854566074217</v>
          </cell>
          <cell r="H60">
            <v>0</v>
          </cell>
        </row>
        <row r="61">
          <cell r="G61">
            <v>631.26745204221868</v>
          </cell>
          <cell r="H61">
            <v>0</v>
          </cell>
        </row>
        <row r="62">
          <cell r="G62">
            <v>0</v>
          </cell>
          <cell r="H62">
            <v>0</v>
          </cell>
        </row>
        <row r="63">
          <cell r="G63">
            <v>0</v>
          </cell>
          <cell r="H63">
            <v>0</v>
          </cell>
        </row>
        <row r="64">
          <cell r="G64">
            <v>0</v>
          </cell>
          <cell r="H64">
            <v>0</v>
          </cell>
        </row>
        <row r="65">
          <cell r="G65">
            <v>0</v>
          </cell>
          <cell r="H65">
            <v>0</v>
          </cell>
        </row>
        <row r="66">
          <cell r="G66">
            <v>0</v>
          </cell>
          <cell r="H66">
            <v>0</v>
          </cell>
        </row>
        <row r="67">
          <cell r="G67">
            <v>0</v>
          </cell>
          <cell r="H67">
            <v>0</v>
          </cell>
        </row>
        <row r="75">
          <cell r="G75">
            <v>17118.202155088729</v>
          </cell>
          <cell r="H75">
            <v>6178.2352941176468</v>
          </cell>
        </row>
        <row r="76">
          <cell r="G76">
            <v>17118.202155088729</v>
          </cell>
          <cell r="H76">
            <v>6178.2352941176468</v>
          </cell>
        </row>
        <row r="77">
          <cell r="G77">
            <v>0</v>
          </cell>
          <cell r="H77">
            <v>0</v>
          </cell>
        </row>
        <row r="78">
          <cell r="G78">
            <v>0</v>
          </cell>
          <cell r="H78">
            <v>0</v>
          </cell>
        </row>
        <row r="79">
          <cell r="G79">
            <v>0</v>
          </cell>
          <cell r="H79">
            <v>0</v>
          </cell>
        </row>
        <row r="80">
          <cell r="G80">
            <v>639957.69002153061</v>
          </cell>
          <cell r="H80">
            <v>538854.1176470588</v>
          </cell>
        </row>
        <row r="82">
          <cell r="G82">
            <v>-420428.21779904724</v>
          </cell>
          <cell r="H82">
            <v>-330578.23529411765</v>
          </cell>
        </row>
        <row r="83">
          <cell r="G83">
            <v>-212027.54268737455</v>
          </cell>
          <cell r="H83">
            <v>-239672.9411764706</v>
          </cell>
        </row>
        <row r="84">
          <cell r="G84">
            <v>-212027.54268737455</v>
          </cell>
          <cell r="H84">
            <v>-239672.9411764706</v>
          </cell>
        </row>
        <row r="85">
          <cell r="G85">
            <v>0</v>
          </cell>
          <cell r="H85">
            <v>0</v>
          </cell>
        </row>
        <row r="86">
          <cell r="G86">
            <v>0</v>
          </cell>
          <cell r="H86">
            <v>0</v>
          </cell>
        </row>
        <row r="87">
          <cell r="G87">
            <v>-6774.3906776302329</v>
          </cell>
          <cell r="H87">
            <v>-1767.6470588235295</v>
          </cell>
        </row>
        <row r="88">
          <cell r="G88">
            <v>0</v>
          </cell>
          <cell r="H88">
            <v>0</v>
          </cell>
        </row>
        <row r="89">
          <cell r="G89">
            <v>-6774.3906776302329</v>
          </cell>
          <cell r="H89">
            <v>-1767.6470588235295</v>
          </cell>
        </row>
        <row r="90">
          <cell r="G90">
            <v>0</v>
          </cell>
          <cell r="H90">
            <v>0</v>
          </cell>
        </row>
        <row r="91">
          <cell r="G91">
            <v>0</v>
          </cell>
        </row>
        <row r="92">
          <cell r="G92">
            <v>-201626.28443404243</v>
          </cell>
          <cell r="H92">
            <v>-89137.647058823539</v>
          </cell>
        </row>
        <row r="93">
          <cell r="G93">
            <v>-201626.28443404243</v>
          </cell>
          <cell r="H93">
            <v>-89137.647058823539</v>
          </cell>
        </row>
        <row r="94">
          <cell r="G94">
            <v>-201626.28443404243</v>
          </cell>
          <cell r="H94">
            <v>-89137.647058823539</v>
          </cell>
        </row>
        <row r="95">
          <cell r="G95">
            <v>0</v>
          </cell>
          <cell r="H95">
            <v>0</v>
          </cell>
        </row>
        <row r="96">
          <cell r="G96">
            <v>0</v>
          </cell>
          <cell r="H96">
            <v>0</v>
          </cell>
        </row>
        <row r="100">
          <cell r="G100">
            <v>0</v>
          </cell>
          <cell r="H100">
            <v>0</v>
          </cell>
        </row>
        <row r="107">
          <cell r="G107">
            <v>0</v>
          </cell>
          <cell r="H107">
            <v>0</v>
          </cell>
        </row>
        <row r="113">
          <cell r="G113">
            <v>0</v>
          </cell>
          <cell r="H113">
            <v>0</v>
          </cell>
        </row>
        <row r="115">
          <cell r="G115">
            <v>-147339.01634683175</v>
          </cell>
          <cell r="H115">
            <v>-144127.64705882352</v>
          </cell>
        </row>
        <row r="116">
          <cell r="G116">
            <v>0</v>
          </cell>
          <cell r="H116">
            <v>0</v>
          </cell>
        </row>
        <row r="120">
          <cell r="G120">
            <v>-80094.312826172609</v>
          </cell>
          <cell r="H120">
            <v>-114580</v>
          </cell>
        </row>
        <row r="121">
          <cell r="G121">
            <v>-80094.312826172609</v>
          </cell>
          <cell r="H121">
            <v>-114580</v>
          </cell>
        </row>
        <row r="122">
          <cell r="G122">
            <v>-80094.312826172609</v>
          </cell>
          <cell r="H122">
            <v>-114580</v>
          </cell>
        </row>
        <row r="123">
          <cell r="G123">
            <v>0</v>
          </cell>
        </row>
        <row r="124">
          <cell r="G124">
            <v>0</v>
          </cell>
          <cell r="H124">
            <v>0</v>
          </cell>
        </row>
        <row r="127">
          <cell r="G127">
            <v>-18266.697493864802</v>
          </cell>
          <cell r="H127">
            <v>-7463.5294117647063</v>
          </cell>
        </row>
        <row r="128">
          <cell r="G128">
            <v>0</v>
          </cell>
          <cell r="H128">
            <v>0</v>
          </cell>
        </row>
        <row r="129">
          <cell r="G129">
            <v>0</v>
          </cell>
          <cell r="H129">
            <v>0</v>
          </cell>
        </row>
        <row r="136">
          <cell r="G136">
            <v>0</v>
          </cell>
          <cell r="H136">
            <v>0</v>
          </cell>
        </row>
        <row r="142">
          <cell r="G142">
            <v>-48978.006026794348</v>
          </cell>
          <cell r="H142">
            <v>-22084.117647058825</v>
          </cell>
        </row>
        <row r="143">
          <cell r="G143">
            <v>-567767.23414587905</v>
          </cell>
          <cell r="H143">
            <v>-474705.8823529412</v>
          </cell>
        </row>
        <row r="144">
          <cell r="G144">
            <v>-152370.31962606165</v>
          </cell>
          <cell r="H144">
            <v>-160494.11764705883</v>
          </cell>
        </row>
        <row r="145">
          <cell r="G145">
            <v>-146946.5106458787</v>
          </cell>
          <cell r="H145">
            <v>-153093.5294117647</v>
          </cell>
        </row>
        <row r="146">
          <cell r="G146">
            <v>-5423.8089801829401</v>
          </cell>
          <cell r="H146">
            <v>-7400.588235294118</v>
          </cell>
        </row>
        <row r="147">
          <cell r="G147">
            <v>73585.248782199633</v>
          </cell>
          <cell r="H147">
            <v>96345.882352941175</v>
          </cell>
        </row>
        <row r="149">
          <cell r="G149">
            <v>117220.34808854396</v>
          </cell>
          <cell r="H149">
            <v>131075.88235294117</v>
          </cell>
        </row>
        <row r="150">
          <cell r="G150">
            <v>-43635.099306344338</v>
          </cell>
          <cell r="H150">
            <v>-34730</v>
          </cell>
        </row>
        <row r="151">
          <cell r="G151">
            <v>0</v>
          </cell>
          <cell r="H151">
            <v>0</v>
          </cell>
        </row>
        <row r="152">
          <cell r="G152">
            <v>0</v>
          </cell>
          <cell r="H152">
            <v>0</v>
          </cell>
        </row>
        <row r="153">
          <cell r="G153">
            <v>0</v>
          </cell>
          <cell r="H153">
            <v>0</v>
          </cell>
        </row>
        <row r="154">
          <cell r="G154">
            <v>6982.3994420712042</v>
          </cell>
          <cell r="H154">
            <v>0</v>
          </cell>
        </row>
        <row r="155">
          <cell r="H155">
            <v>0</v>
          </cell>
        </row>
        <row r="156">
          <cell r="H156">
            <v>0</v>
          </cell>
        </row>
        <row r="157">
          <cell r="H157">
            <v>0</v>
          </cell>
        </row>
        <row r="158">
          <cell r="G158">
            <v>-72190.455875651562</v>
          </cell>
          <cell r="H158">
            <v>-64148.23529411765</v>
          </cell>
        </row>
        <row r="159">
          <cell r="G159">
            <v>-71802.671401790809</v>
          </cell>
          <cell r="H159">
            <v>-64148.23529411765</v>
          </cell>
        </row>
        <row r="160">
          <cell r="G160">
            <v>-387.78447386075476</v>
          </cell>
          <cell r="H160">
            <v>0</v>
          </cell>
        </row>
        <row r="164">
          <cell r="G164">
            <v>-387.78447386075476</v>
          </cell>
          <cell r="H164">
            <v>0</v>
          </cell>
        </row>
        <row r="165">
          <cell r="G165">
            <v>0</v>
          </cell>
        </row>
        <row r="166">
          <cell r="G166">
            <v>-639957.69002153061</v>
          </cell>
          <cell r="H166">
            <v>-538854.1176470588</v>
          </cell>
        </row>
      </sheetData>
      <sheetData sheetId="40">
        <row r="6">
          <cell r="E6" t="str">
            <v>Month / Ay</v>
          </cell>
          <cell r="P6" t="str">
            <v>Cumulative / Məcmu</v>
          </cell>
        </row>
        <row r="7">
          <cell r="E7" t="str">
            <v>Same period of the previous year actual / Ötən ilin eyni dövrü üzrə fakt</v>
          </cell>
          <cell r="F7" t="str">
            <v>Current period actual / Cari dövr üzrə fakt</v>
          </cell>
          <cell r="G7" t="str">
            <v>Current period plan / Cari dövr üzrə plan</v>
          </cell>
          <cell r="H7" t="str">
            <v>Deviations actual to plan of current period / Cari dövr üzrə faktın plandan kənarlaşmaları</v>
          </cell>
          <cell r="L7" t="str">
            <v>Deviations of current from previous period / Cari dövrün əvvəlki dövrdən kənarlaşmaları</v>
          </cell>
          <cell r="P7" t="str">
            <v>Same period of the previous year actual / Ötən ilin eyni dövrü üzrə fakt</v>
          </cell>
          <cell r="Q7" t="str">
            <v>Current period actual / Cari dövr üzrə fakt</v>
          </cell>
          <cell r="R7" t="str">
            <v>Current period plan / Cari dövr üzrə plan</v>
          </cell>
          <cell r="S7" t="str">
            <v>Deviations actual to plan of current period / Cari dövr üzrə faktın plandan kənarlaşmaları</v>
          </cell>
          <cell r="W7" t="str">
            <v>Deviations of current from previous period / Cari dövrün əvvəlki dövrdən kənarlaşmaları</v>
          </cell>
        </row>
        <row r="8">
          <cell r="H8" t="str">
            <v>Deviation from current period plan in absolute / Cari dövr üzrə plandan kənarlaşma (mütləq dəyərdə)</v>
          </cell>
          <cell r="I8" t="str">
            <v>Deviation from current period plan % /
Cari dövr üzrə plandan kənarlaşma %</v>
          </cell>
          <cell r="L8" t="str">
            <v>Deviation from same period of the previous year actual in absolute / Əvvəlki ilin eyni dövrü üzrə faktdan kənarlaşma (mütləq dəyərdə)</v>
          </cell>
          <cell r="M8" t="str">
            <v xml:space="preserve">Deviation from same period of the previous year actual % / Əvvəlki ilin eyni dövrü üzrə faktdan kənarlaşma %
</v>
          </cell>
          <cell r="S8" t="str">
            <v>Deviation from current period plan in absolute / Cari dövr üzrə plandan kənarlaşma (mütləq dəyərdə)</v>
          </cell>
          <cell r="T8" t="str">
            <v>Deviation from current period plan, % /
Cari dövr üzrə plandan kənarlaşma, %</v>
          </cell>
          <cell r="W8" t="str">
            <v>Deviation from same period of the previous year actual in absolute / Əvvəlki ilin eyni dövrü üzrə faktdan kənarlaşma (mütləq dəyərdə)</v>
          </cell>
          <cell r="X8" t="str">
            <v xml:space="preserve">Deviation from same period of the previous year actual % / Əvvəlki ilin eyni dövrü üzrə faktdan kənarlaşma %
</v>
          </cell>
        </row>
        <row r="9">
          <cell r="E9" t="str">
            <v>Reporting period (month) / Hesabat dövrü (ay)</v>
          </cell>
          <cell r="P9" t="str">
            <v>Cumulative from the beginning of the year / İlin əvvəlindən artan yekunla</v>
          </cell>
        </row>
        <row r="11">
          <cell r="E11">
            <v>117936.85689675197</v>
          </cell>
          <cell r="F11">
            <v>88580.592846469342</v>
          </cell>
          <cell r="G11">
            <v>117582.94117647059</v>
          </cell>
          <cell r="P11">
            <v>873327.58325430425</v>
          </cell>
          <cell r="Q11">
            <v>752897.2094985327</v>
          </cell>
          <cell r="R11">
            <v>894182.3529411765</v>
          </cell>
        </row>
        <row r="12">
          <cell r="E12">
            <v>111407.59299822172</v>
          </cell>
          <cell r="F12">
            <v>87718.304196221696</v>
          </cell>
          <cell r="G12">
            <v>117064.11764705883</v>
          </cell>
          <cell r="P12">
            <v>857704.38335885527</v>
          </cell>
          <cell r="Q12">
            <v>747669.76424174896</v>
          </cell>
          <cell r="R12">
            <v>888276.4705882353</v>
          </cell>
        </row>
        <row r="13">
          <cell r="E13">
            <v>0</v>
          </cell>
          <cell r="F13">
            <v>0</v>
          </cell>
          <cell r="G13">
            <v>0</v>
          </cell>
          <cell r="P13">
            <v>0</v>
          </cell>
          <cell r="Q13">
            <v>0</v>
          </cell>
          <cell r="R13">
            <v>0</v>
          </cell>
        </row>
        <row r="14">
          <cell r="E14">
            <v>11338.624579259273</v>
          </cell>
          <cell r="F14">
            <v>15060.616487169209</v>
          </cell>
          <cell r="G14">
            <v>24707.647058823528</v>
          </cell>
          <cell r="P14">
            <v>239267.54532135831</v>
          </cell>
          <cell r="Q14">
            <v>182060.27428271214</v>
          </cell>
          <cell r="R14">
            <v>249562.35294117648</v>
          </cell>
        </row>
        <row r="15">
          <cell r="E15">
            <v>0</v>
          </cell>
          <cell r="F15">
            <v>0</v>
          </cell>
          <cell r="G15">
            <v>0</v>
          </cell>
          <cell r="P15">
            <v>0</v>
          </cell>
          <cell r="Q15">
            <v>0</v>
          </cell>
          <cell r="R15">
            <v>0</v>
          </cell>
        </row>
        <row r="16">
          <cell r="E16">
            <v>96519.738701692288</v>
          </cell>
          <cell r="F16">
            <v>69564.98801323006</v>
          </cell>
          <cell r="G16">
            <v>89315.294117647063</v>
          </cell>
          <cell r="P16">
            <v>578048.64374536101</v>
          </cell>
          <cell r="Q16">
            <v>527464.48067811271</v>
          </cell>
          <cell r="R16">
            <v>603371.76470588241</v>
          </cell>
        </row>
        <row r="17">
          <cell r="E17">
            <v>0</v>
          </cell>
          <cell r="F17">
            <v>0</v>
          </cell>
          <cell r="G17">
            <v>0</v>
          </cell>
          <cell r="P17">
            <v>235.98652934789041</v>
          </cell>
          <cell r="Q17">
            <v>197.84447586443926</v>
          </cell>
          <cell r="R17">
            <v>0</v>
          </cell>
        </row>
        <row r="18">
          <cell r="E18">
            <v>2435.1117013745952</v>
          </cell>
          <cell r="F18">
            <v>1949.0951205049014</v>
          </cell>
          <cell r="G18">
            <v>1942.9411764705883</v>
          </cell>
          <cell r="P18">
            <v>26893.885171670936</v>
          </cell>
          <cell r="Q18">
            <v>23347.956017635643</v>
          </cell>
          <cell r="R18">
            <v>22281.176470588238</v>
          </cell>
        </row>
        <row r="19">
          <cell r="E19">
            <v>1114.1180158955617</v>
          </cell>
          <cell r="F19">
            <v>1143.6045753175229</v>
          </cell>
          <cell r="G19">
            <v>1098.2352941176471</v>
          </cell>
          <cell r="P19">
            <v>13258.322591117287</v>
          </cell>
          <cell r="Q19">
            <v>14599.208787423986</v>
          </cell>
          <cell r="R19">
            <v>13061.176470588234</v>
          </cell>
        </row>
        <row r="20">
          <cell r="E20">
            <v>6529.2638985302428</v>
          </cell>
          <cell r="F20">
            <v>862.28865024764957</v>
          </cell>
          <cell r="G20">
            <v>518.82352941176475</v>
          </cell>
          <cell r="P20">
            <v>15623.19989544895</v>
          </cell>
          <cell r="Q20">
            <v>5227.4452567837643</v>
          </cell>
          <cell r="R20">
            <v>5905.8823529411766</v>
          </cell>
        </row>
        <row r="21">
          <cell r="E21">
            <v>-109814.40872919954</v>
          </cell>
          <cell r="F21">
            <v>-76427.692496111355</v>
          </cell>
          <cell r="G21">
            <v>-112484.11764705884</v>
          </cell>
          <cell r="P21">
            <v>-793719.17344237771</v>
          </cell>
          <cell r="Q21">
            <v>-692046.5878472256</v>
          </cell>
          <cell r="R21">
            <v>-842922.94117647072</v>
          </cell>
        </row>
        <row r="22">
          <cell r="E22">
            <v>-97368.506931799056</v>
          </cell>
          <cell r="F22">
            <v>-67838.886175123713</v>
          </cell>
          <cell r="G22">
            <v>-103461.17647058825</v>
          </cell>
          <cell r="P22">
            <v>-709666.97193864919</v>
          </cell>
          <cell r="Q22">
            <v>-601091.25307847676</v>
          </cell>
          <cell r="R22">
            <v>-760130.00000000012</v>
          </cell>
        </row>
        <row r="24">
          <cell r="E24">
            <v>0</v>
          </cell>
          <cell r="F24">
            <v>0</v>
          </cell>
          <cell r="G24">
            <v>0</v>
          </cell>
          <cell r="P24">
            <v>0</v>
          </cell>
          <cell r="Q24">
            <v>0</v>
          </cell>
          <cell r="R24">
            <v>0</v>
          </cell>
        </row>
        <row r="25">
          <cell r="E25">
            <v>0</v>
          </cell>
          <cell r="G25">
            <v>0</v>
          </cell>
          <cell r="P25">
            <v>0</v>
          </cell>
          <cell r="Q25">
            <v>0</v>
          </cell>
          <cell r="R25">
            <v>0</v>
          </cell>
        </row>
        <row r="26">
          <cell r="E26">
            <v>0</v>
          </cell>
          <cell r="G26">
            <v>0</v>
          </cell>
          <cell r="P26">
            <v>0</v>
          </cell>
          <cell r="Q26">
            <v>0</v>
          </cell>
          <cell r="R26">
            <v>0</v>
          </cell>
        </row>
        <row r="27">
          <cell r="E27">
            <v>0</v>
          </cell>
          <cell r="G27">
            <v>0</v>
          </cell>
          <cell r="P27">
            <v>0</v>
          </cell>
          <cell r="Q27">
            <v>0</v>
          </cell>
          <cell r="R27">
            <v>0</v>
          </cell>
        </row>
        <row r="28">
          <cell r="E28">
            <v>-94110.008052480131</v>
          </cell>
          <cell r="F28">
            <v>-66352.024293478215</v>
          </cell>
          <cell r="G28">
            <v>-101439.41176470589</v>
          </cell>
          <cell r="P28">
            <v>-686463.18441405019</v>
          </cell>
          <cell r="Q28">
            <v>-575199.81879056396</v>
          </cell>
          <cell r="R28">
            <v>-743355.29411764711</v>
          </cell>
        </row>
        <row r="29">
          <cell r="E29">
            <v>0</v>
          </cell>
          <cell r="G29">
            <v>0</v>
          </cell>
          <cell r="P29">
            <v>0</v>
          </cell>
          <cell r="Q29">
            <v>0</v>
          </cell>
          <cell r="R29">
            <v>0</v>
          </cell>
        </row>
        <row r="30">
          <cell r="E30">
            <v>0</v>
          </cell>
          <cell r="G30">
            <v>0</v>
          </cell>
          <cell r="P30">
            <v>0</v>
          </cell>
          <cell r="Q30">
            <v>0</v>
          </cell>
          <cell r="R30">
            <v>0</v>
          </cell>
        </row>
        <row r="31">
          <cell r="E31">
            <v>0</v>
          </cell>
          <cell r="G31">
            <v>0</v>
          </cell>
          <cell r="P31">
            <v>0</v>
          </cell>
          <cell r="Q31">
            <v>0</v>
          </cell>
          <cell r="R31">
            <v>0</v>
          </cell>
        </row>
        <row r="32">
          <cell r="E32">
            <v>0</v>
          </cell>
          <cell r="G32">
            <v>0</v>
          </cell>
          <cell r="P32">
            <v>0</v>
          </cell>
          <cell r="Q32">
            <v>0</v>
          </cell>
          <cell r="R32">
            <v>0</v>
          </cell>
        </row>
        <row r="33">
          <cell r="E33">
            <v>0</v>
          </cell>
          <cell r="G33">
            <v>0</v>
          </cell>
          <cell r="P33">
            <v>0</v>
          </cell>
          <cell r="Q33">
            <v>0</v>
          </cell>
          <cell r="R33">
            <v>0</v>
          </cell>
        </row>
        <row r="34">
          <cell r="E34">
            <v>0</v>
          </cell>
          <cell r="G34">
            <v>0</v>
          </cell>
          <cell r="P34">
            <v>0</v>
          </cell>
          <cell r="Q34">
            <v>0</v>
          </cell>
          <cell r="R34">
            <v>0</v>
          </cell>
        </row>
        <row r="35">
          <cell r="E35">
            <v>0</v>
          </cell>
          <cell r="G35">
            <v>0</v>
          </cell>
          <cell r="P35">
            <v>0</v>
          </cell>
          <cell r="Q35">
            <v>0</v>
          </cell>
          <cell r="R35">
            <v>0</v>
          </cell>
        </row>
        <row r="36">
          <cell r="E36">
            <v>0</v>
          </cell>
          <cell r="G36">
            <v>0</v>
          </cell>
          <cell r="P36">
            <v>0</v>
          </cell>
          <cell r="Q36">
            <v>0</v>
          </cell>
          <cell r="R36">
            <v>0</v>
          </cell>
        </row>
        <row r="37">
          <cell r="E37">
            <v>0</v>
          </cell>
          <cell r="G37">
            <v>0</v>
          </cell>
          <cell r="P37">
            <v>0</v>
          </cell>
          <cell r="Q37">
            <v>0</v>
          </cell>
          <cell r="R37">
            <v>0</v>
          </cell>
        </row>
        <row r="38">
          <cell r="E38">
            <v>0</v>
          </cell>
          <cell r="G38">
            <v>0</v>
          </cell>
          <cell r="P38">
            <v>0</v>
          </cell>
          <cell r="Q38">
            <v>0</v>
          </cell>
          <cell r="R38">
            <v>0</v>
          </cell>
        </row>
        <row r="39">
          <cell r="E39">
            <v>0</v>
          </cell>
          <cell r="F39">
            <v>0</v>
          </cell>
          <cell r="G39">
            <v>0</v>
          </cell>
          <cell r="P39">
            <v>0</v>
          </cell>
          <cell r="Q39">
            <v>0</v>
          </cell>
          <cell r="R39">
            <v>0</v>
          </cell>
        </row>
        <row r="40">
          <cell r="E40">
            <v>0</v>
          </cell>
          <cell r="F40">
            <v>-775.74709972484084</v>
          </cell>
          <cell r="G40">
            <v>-742.35294117647061</v>
          </cell>
          <cell r="P40">
            <v>0</v>
          </cell>
          <cell r="Q40">
            <v>-5153.7746839128604</v>
          </cell>
          <cell r="R40">
            <v>-5691.7647058823532</v>
          </cell>
        </row>
        <row r="41">
          <cell r="E41">
            <v>0</v>
          </cell>
          <cell r="G41">
            <v>0</v>
          </cell>
          <cell r="P41">
            <v>0</v>
          </cell>
          <cell r="R41">
            <v>0</v>
          </cell>
        </row>
        <row r="42">
          <cell r="E42">
            <v>-3258.49887931892</v>
          </cell>
          <cell r="F42">
            <v>-711.11478192064772</v>
          </cell>
          <cell r="G42">
            <v>-1279.4117647058824</v>
          </cell>
          <cell r="P42">
            <v>-23203.787524598974</v>
          </cell>
          <cell r="Q42">
            <v>-20737.659603999891</v>
          </cell>
          <cell r="R42">
            <v>-11082.941176470589</v>
          </cell>
        </row>
        <row r="43">
          <cell r="E43">
            <v>0</v>
          </cell>
          <cell r="F43">
            <v>0</v>
          </cell>
          <cell r="G43">
            <v>0</v>
          </cell>
          <cell r="P43">
            <v>0</v>
          </cell>
          <cell r="Q43">
            <v>0</v>
          </cell>
          <cell r="R43">
            <v>0</v>
          </cell>
        </row>
        <row r="44">
          <cell r="E44">
            <v>0</v>
          </cell>
          <cell r="G44">
            <v>0</v>
          </cell>
          <cell r="P44">
            <v>0</v>
          </cell>
          <cell r="R44">
            <v>0</v>
          </cell>
        </row>
        <row r="45">
          <cell r="E45">
            <v>20568.349964952911</v>
          </cell>
          <cell r="F45">
            <v>20741.70667134563</v>
          </cell>
          <cell r="G45">
            <v>14121.764705882335</v>
          </cell>
          <cell r="P45">
            <v>163660.61131565506</v>
          </cell>
          <cell r="Q45">
            <v>151805.95642005594</v>
          </cell>
          <cell r="R45">
            <v>134052.35294117639</v>
          </cell>
        </row>
        <row r="46">
          <cell r="E46">
            <v>-12445.901797400482</v>
          </cell>
          <cell r="F46">
            <v>-8588.8063209876436</v>
          </cell>
          <cell r="G46">
            <v>-9022.9411764705892</v>
          </cell>
          <cell r="P46">
            <v>-84052.201503728458</v>
          </cell>
          <cell r="Q46">
            <v>-90955.334768748828</v>
          </cell>
          <cell r="R46">
            <v>-82792.941176470602</v>
          </cell>
        </row>
        <row r="47">
          <cell r="E47">
            <v>-5123.7861843079136</v>
          </cell>
          <cell r="F47">
            <v>-3640.4124340001554</v>
          </cell>
          <cell r="G47">
            <v>-5576.4705882352946</v>
          </cell>
          <cell r="P47">
            <v>-32435.982602072541</v>
          </cell>
          <cell r="Q47">
            <v>-39845.07013689274</v>
          </cell>
          <cell r="R47">
            <v>-38711.764705882357</v>
          </cell>
        </row>
        <row r="48">
          <cell r="E48">
            <v>-850.50183937899067</v>
          </cell>
          <cell r="F48">
            <v>-2318.2797389752532</v>
          </cell>
          <cell r="G48">
            <v>-1570.5882352941178</v>
          </cell>
          <cell r="P48">
            <v>-24775.396080681734</v>
          </cell>
          <cell r="Q48">
            <v>-22693.757507251357</v>
          </cell>
          <cell r="R48">
            <v>-18617.058823529413</v>
          </cell>
        </row>
        <row r="49">
          <cell r="E49">
            <v>-850.50183937899067</v>
          </cell>
          <cell r="F49">
            <v>-2318.2797389752532</v>
          </cell>
          <cell r="G49">
            <v>-1570.5882352941178</v>
          </cell>
          <cell r="P49">
            <v>-24775.396080681734</v>
          </cell>
          <cell r="Q49">
            <v>-22693.757507251357</v>
          </cell>
          <cell r="R49">
            <v>-18617.058823529413</v>
          </cell>
        </row>
        <row r="50">
          <cell r="E50">
            <v>0</v>
          </cell>
          <cell r="F50">
            <v>0</v>
          </cell>
          <cell r="G50">
            <v>0</v>
          </cell>
          <cell r="P50">
            <v>0</v>
          </cell>
          <cell r="Q50">
            <v>0</v>
          </cell>
          <cell r="R50">
            <v>0</v>
          </cell>
        </row>
        <row r="51">
          <cell r="E51">
            <v>0</v>
          </cell>
          <cell r="F51">
            <v>0</v>
          </cell>
          <cell r="G51">
            <v>0</v>
          </cell>
          <cell r="P51">
            <v>0</v>
          </cell>
          <cell r="Q51">
            <v>0</v>
          </cell>
          <cell r="R51">
            <v>0</v>
          </cell>
        </row>
        <row r="52">
          <cell r="E52">
            <v>0</v>
          </cell>
          <cell r="F52">
            <v>-122.19943650997811</v>
          </cell>
          <cell r="G52">
            <v>-175.88235294117646</v>
          </cell>
          <cell r="P52">
            <v>0</v>
          </cell>
          <cell r="Q52">
            <v>-1210.4044972151423</v>
          </cell>
          <cell r="R52">
            <v>-2071.1764705882351</v>
          </cell>
        </row>
        <row r="53">
          <cell r="E53">
            <v>-361.49373646639702</v>
          </cell>
          <cell r="F53">
            <v>-269.93388654453713</v>
          </cell>
          <cell r="G53">
            <v>-278.23529411764707</v>
          </cell>
          <cell r="P53">
            <v>-3156.4119374073312</v>
          </cell>
          <cell r="Q53">
            <v>-2911.1211006790618</v>
          </cell>
          <cell r="R53">
            <v>-2857.0588235294117</v>
          </cell>
        </row>
        <row r="54">
          <cell r="E54">
            <v>-172.95448456259672</v>
          </cell>
          <cell r="F54">
            <v>-175.62120919164218</v>
          </cell>
          <cell r="G54">
            <v>-160</v>
          </cell>
          <cell r="P54">
            <v>-1904.7552136521599</v>
          </cell>
          <cell r="Q54">
            <v>-2403.2029338344009</v>
          </cell>
          <cell r="R54">
            <v>-2634.1176470588234</v>
          </cell>
        </row>
        <row r="55">
          <cell r="E55">
            <v>-4037.0022316802374</v>
          </cell>
          <cell r="F55">
            <v>-494.82627780478248</v>
          </cell>
          <cell r="G55">
            <v>-42.352941176470587</v>
          </cell>
          <cell r="P55">
            <v>-4164.032104427698</v>
          </cell>
          <cell r="Q55">
            <v>-4614.4203316724916</v>
          </cell>
          <cell r="R55">
            <v>-3711.7647058823532</v>
          </cell>
        </row>
        <row r="56">
          <cell r="E56">
            <v>-361.87482605477402</v>
          </cell>
          <cell r="F56">
            <v>-389.58268015170745</v>
          </cell>
          <cell r="G56">
            <v>-314.70588235294116</v>
          </cell>
          <cell r="P56">
            <v>-4289.0399094205177</v>
          </cell>
          <cell r="Q56">
            <v>-4593.3454116159737</v>
          </cell>
          <cell r="R56">
            <v>-3744.7058823529414</v>
          </cell>
        </row>
        <row r="57">
          <cell r="E57">
            <v>-79.265840118431058</v>
          </cell>
          <cell r="F57">
            <v>-20.939354502863107</v>
          </cell>
          <cell r="G57">
            <v>-32.352941176470587</v>
          </cell>
          <cell r="P57">
            <v>-975.27510732790506</v>
          </cell>
          <cell r="Q57">
            <v>-245.95604223990478</v>
          </cell>
          <cell r="R57">
            <v>-370</v>
          </cell>
        </row>
        <row r="58">
          <cell r="E58">
            <v>-39.674273710900565</v>
          </cell>
          <cell r="F58">
            <v>-34.655086306660877</v>
          </cell>
          <cell r="G58">
            <v>-23.529411764705884</v>
          </cell>
          <cell r="P58">
            <v>-408.93356428237223</v>
          </cell>
          <cell r="Q58">
            <v>-435.7914384629014</v>
          </cell>
          <cell r="R58">
            <v>-396.47058823529414</v>
          </cell>
        </row>
        <row r="59">
          <cell r="E59">
            <v>0</v>
          </cell>
          <cell r="F59">
            <v>0</v>
          </cell>
          <cell r="G59">
            <v>-5.882352941176471</v>
          </cell>
          <cell r="P59">
            <v>0</v>
          </cell>
          <cell r="Q59">
            <v>0</v>
          </cell>
          <cell r="R59">
            <v>-23.529411764705884</v>
          </cell>
        </row>
        <row r="60">
          <cell r="E60">
            <v>0</v>
          </cell>
          <cell r="F60">
            <v>-74.832520264743167</v>
          </cell>
          <cell r="G60">
            <v>-53.529411764705884</v>
          </cell>
          <cell r="P60">
            <v>0</v>
          </cell>
          <cell r="Q60">
            <v>-841.110567412808</v>
          </cell>
          <cell r="R60">
            <v>-625.88235294117646</v>
          </cell>
        </row>
        <row r="61">
          <cell r="E61">
            <v>0</v>
          </cell>
          <cell r="F61">
            <v>-168.09530006692961</v>
          </cell>
          <cell r="G61">
            <v>-50</v>
          </cell>
          <cell r="P61">
            <v>0</v>
          </cell>
          <cell r="Q61">
            <v>-1636.3589611695884</v>
          </cell>
          <cell r="R61">
            <v>-600</v>
          </cell>
        </row>
        <row r="62">
          <cell r="E62">
            <v>0</v>
          </cell>
          <cell r="F62">
            <v>-63.465009177707017</v>
          </cell>
          <cell r="G62">
            <v>-42.352941176470587</v>
          </cell>
          <cell r="P62">
            <v>0</v>
          </cell>
          <cell r="Q62">
            <v>-558.51025407563179</v>
          </cell>
          <cell r="R62">
            <v>-416.47058823529414</v>
          </cell>
        </row>
        <row r="63">
          <cell r="E63">
            <v>0</v>
          </cell>
          <cell r="F63">
            <v>0</v>
          </cell>
          <cell r="G63">
            <v>0</v>
          </cell>
          <cell r="P63">
            <v>0</v>
          </cell>
          <cell r="Q63">
            <v>0</v>
          </cell>
          <cell r="R63">
            <v>0</v>
          </cell>
        </row>
        <row r="64">
          <cell r="E64">
            <v>0</v>
          </cell>
          <cell r="F64">
            <v>-89.417513199970244</v>
          </cell>
          <cell r="G64">
            <v>-71.764705882352942</v>
          </cell>
          <cell r="P64">
            <v>0</v>
          </cell>
          <cell r="Q64">
            <v>-1257.8198073919832</v>
          </cell>
          <cell r="R64">
            <v>-1259.4117647058824</v>
          </cell>
        </row>
        <row r="65">
          <cell r="E65">
            <v>-1419.3483811202398</v>
          </cell>
          <cell r="F65">
            <v>-726.54587429071387</v>
          </cell>
          <cell r="G65">
            <v>-625.29411764705878</v>
          </cell>
          <cell r="P65">
            <v>-11942.374984456177</v>
          </cell>
          <cell r="Q65">
            <v>-7708.465778834845</v>
          </cell>
          <cell r="R65">
            <v>-6753.5294117647054</v>
          </cell>
        </row>
        <row r="66">
          <cell r="E66">
            <v>0</v>
          </cell>
          <cell r="F66">
            <v>0</v>
          </cell>
          <cell r="G66">
            <v>0</v>
          </cell>
          <cell r="P66">
            <v>0</v>
          </cell>
          <cell r="Q66">
            <v>0</v>
          </cell>
          <cell r="R66">
            <v>0</v>
          </cell>
        </row>
        <row r="68">
          <cell r="E68">
            <v>0</v>
          </cell>
          <cell r="F68">
            <v>0</v>
          </cell>
          <cell r="G68">
            <v>0</v>
          </cell>
          <cell r="P68">
            <v>0</v>
          </cell>
          <cell r="Q68">
            <v>0</v>
          </cell>
          <cell r="R68">
            <v>0</v>
          </cell>
        </row>
        <row r="83">
          <cell r="E83">
            <v>0</v>
          </cell>
          <cell r="F83">
            <v>0</v>
          </cell>
          <cell r="G83">
            <v>0</v>
          </cell>
          <cell r="P83">
            <v>0</v>
          </cell>
          <cell r="Q83">
            <v>0</v>
          </cell>
          <cell r="R83">
            <v>0</v>
          </cell>
        </row>
        <row r="89">
          <cell r="E89">
            <v>0</v>
          </cell>
          <cell r="F89">
            <v>0</v>
          </cell>
          <cell r="G89">
            <v>0</v>
          </cell>
          <cell r="P89">
            <v>0</v>
          </cell>
          <cell r="Q89">
            <v>0</v>
          </cell>
          <cell r="R89">
            <v>0</v>
          </cell>
        </row>
        <row r="91">
          <cell r="E91">
            <v>0</v>
          </cell>
          <cell r="F91">
            <v>0</v>
          </cell>
          <cell r="G91">
            <v>0</v>
          </cell>
          <cell r="P91">
            <v>0</v>
          </cell>
          <cell r="Q91">
            <v>0</v>
          </cell>
          <cell r="R91">
            <v>0</v>
          </cell>
        </row>
        <row r="109">
          <cell r="E109">
            <v>0</v>
          </cell>
          <cell r="F109">
            <v>0</v>
          </cell>
          <cell r="G109">
            <v>0</v>
          </cell>
          <cell r="P109">
            <v>0</v>
          </cell>
          <cell r="Q109">
            <v>0</v>
          </cell>
          <cell r="R109">
            <v>0</v>
          </cell>
        </row>
        <row r="111">
          <cell r="E111">
            <v>0</v>
          </cell>
          <cell r="F111">
            <v>0</v>
          </cell>
          <cell r="G111">
            <v>0</v>
          </cell>
          <cell r="P111">
            <v>0</v>
          </cell>
          <cell r="Q111">
            <v>0</v>
          </cell>
          <cell r="R111">
            <v>0</v>
          </cell>
        </row>
        <row r="129">
          <cell r="E129">
            <v>0</v>
          </cell>
          <cell r="F129">
            <v>0</v>
          </cell>
          <cell r="G129">
            <v>0</v>
          </cell>
          <cell r="P129">
            <v>0</v>
          </cell>
          <cell r="Q129">
            <v>0</v>
          </cell>
          <cell r="R129">
            <v>0</v>
          </cell>
        </row>
        <row r="131">
          <cell r="E131">
            <v>0</v>
          </cell>
          <cell r="F131">
            <v>0</v>
          </cell>
          <cell r="G131">
            <v>0</v>
          </cell>
          <cell r="P131">
            <v>0</v>
          </cell>
          <cell r="Q131">
            <v>0</v>
          </cell>
          <cell r="R131">
            <v>0</v>
          </cell>
        </row>
        <row r="150">
          <cell r="E150">
            <v>0</v>
          </cell>
          <cell r="F150">
            <v>0</v>
          </cell>
          <cell r="G150">
            <v>0</v>
          </cell>
          <cell r="P150">
            <v>0</v>
          </cell>
          <cell r="Q150">
            <v>0</v>
          </cell>
          <cell r="R150">
            <v>0</v>
          </cell>
        </row>
        <row r="155">
          <cell r="E155">
            <v>0</v>
          </cell>
          <cell r="F155">
            <v>0</v>
          </cell>
          <cell r="G155">
            <v>0</v>
          </cell>
          <cell r="P155">
            <v>0</v>
          </cell>
          <cell r="Q155">
            <v>0</v>
          </cell>
          <cell r="R155">
            <v>0</v>
          </cell>
        </row>
        <row r="159">
          <cell r="E159">
            <v>0</v>
          </cell>
          <cell r="F159">
            <v>548.45147616568761</v>
          </cell>
          <cell r="G159">
            <v>0</v>
          </cell>
          <cell r="P159">
            <v>-138.03068097705426</v>
          </cell>
          <cell r="Q159">
            <v>276.33785602736634</v>
          </cell>
          <cell r="R159">
            <v>0</v>
          </cell>
        </row>
        <row r="160">
          <cell r="E160">
            <v>8122.4481675524294</v>
          </cell>
          <cell r="F160">
            <v>12701.351826523674</v>
          </cell>
          <cell r="G160">
            <v>5098.8235294117458</v>
          </cell>
          <cell r="P160">
            <v>79470.379130949543</v>
          </cell>
          <cell r="Q160">
            <v>61126.959507334475</v>
          </cell>
          <cell r="R160">
            <v>51259.411764705786</v>
          </cell>
        </row>
        <row r="161">
          <cell r="E161">
            <v>0</v>
          </cell>
          <cell r="F161">
            <v>0</v>
          </cell>
          <cell r="G161">
            <v>0</v>
          </cell>
          <cell r="P161">
            <v>0</v>
          </cell>
          <cell r="Q161">
            <v>0</v>
          </cell>
          <cell r="R161">
            <v>0</v>
          </cell>
        </row>
        <row r="168">
          <cell r="E168">
            <v>-2137.6338856450766</v>
          </cell>
          <cell r="F168">
            <v>-1047.0414850896086</v>
          </cell>
          <cell r="G168">
            <v>0</v>
          </cell>
          <cell r="P168">
            <v>4261.8455407807778</v>
          </cell>
          <cell r="Q168">
            <v>4310.2230014129564</v>
          </cell>
          <cell r="R168">
            <v>0</v>
          </cell>
        </row>
        <row r="169">
          <cell r="E169">
            <v>-2137.6338856450766</v>
          </cell>
          <cell r="F169">
            <v>-1047.0414850896086</v>
          </cell>
          <cell r="G169">
            <v>0</v>
          </cell>
          <cell r="P169">
            <v>4261.8455407807778</v>
          </cell>
          <cell r="Q169">
            <v>4310.2230014129564</v>
          </cell>
          <cell r="R169">
            <v>0</v>
          </cell>
        </row>
        <row r="170">
          <cell r="E170">
            <v>-5500.1279383562205</v>
          </cell>
          <cell r="F170">
            <v>517.78197764317622</v>
          </cell>
          <cell r="G170">
            <v>0</v>
          </cell>
          <cell r="P170">
            <v>16297.784876341699</v>
          </cell>
          <cell r="Q170">
            <v>5132.4086991361692</v>
          </cell>
          <cell r="R170">
            <v>0</v>
          </cell>
        </row>
        <row r="171">
          <cell r="E171">
            <v>484.68634355113227</v>
          </cell>
          <cell r="F171">
            <v>12172.092319077243</v>
          </cell>
          <cell r="G171">
            <v>5098.8235294117458</v>
          </cell>
          <cell r="P171">
            <v>100030.00954807202</v>
          </cell>
          <cell r="Q171">
            <v>70569.591207883597</v>
          </cell>
          <cell r="R171">
            <v>51259.411764705786</v>
          </cell>
        </row>
        <row r="172">
          <cell r="E172">
            <v>8972.9500069314181</v>
          </cell>
          <cell r="F172">
            <v>15019.631565498928</v>
          </cell>
          <cell r="G172">
            <v>6669.4117647058629</v>
          </cell>
          <cell r="P172">
            <v>104245.77521163128</v>
          </cell>
          <cell r="Q172">
            <v>83820.717014585825</v>
          </cell>
          <cell r="R172">
            <v>69876.470588235199</v>
          </cell>
        </row>
        <row r="173">
          <cell r="E173">
            <v>-1519.6856509057363</v>
          </cell>
          <cell r="F173">
            <v>-2485.2900907975982</v>
          </cell>
          <cell r="G173">
            <v>-1289.4117647058824</v>
          </cell>
          <cell r="P173">
            <v>-29912.559123150724</v>
          </cell>
          <cell r="Q173">
            <v>-26934.491901539379</v>
          </cell>
          <cell r="R173">
            <v>-16529.411764705881</v>
          </cell>
        </row>
        <row r="174">
          <cell r="E174">
            <v>0</v>
          </cell>
          <cell r="F174">
            <v>0</v>
          </cell>
          <cell r="G174">
            <v>0</v>
          </cell>
          <cell r="P174">
            <v>0</v>
          </cell>
          <cell r="Q174">
            <v>0</v>
          </cell>
          <cell r="R174">
            <v>0</v>
          </cell>
        </row>
        <row r="175">
          <cell r="E175">
            <v>-1519.6856509057363</v>
          </cell>
          <cell r="F175">
            <v>-2485.2900907975982</v>
          </cell>
          <cell r="G175">
            <v>-1289.4117647058824</v>
          </cell>
          <cell r="P175">
            <v>-29912.559123150724</v>
          </cell>
          <cell r="Q175">
            <v>-26934.491901539379</v>
          </cell>
          <cell r="R175">
            <v>-16529.411764705881</v>
          </cell>
        </row>
        <row r="176">
          <cell r="E176">
            <v>-1034.9993073546041</v>
          </cell>
          <cell r="F176">
            <v>9686.8022282796446</v>
          </cell>
          <cell r="G176">
            <v>3809.4117647058633</v>
          </cell>
          <cell r="P176">
            <v>70117.450424921291</v>
          </cell>
          <cell r="Q176">
            <v>43635.099306344215</v>
          </cell>
          <cell r="R176">
            <v>34729.999999999905</v>
          </cell>
        </row>
        <row r="178">
          <cell r="E178">
            <v>-1034.9993073546041</v>
          </cell>
          <cell r="F178">
            <v>9686.8022282796446</v>
          </cell>
          <cell r="G178">
            <v>3809.4117647058633</v>
          </cell>
          <cell r="P178">
            <v>70117.450424921291</v>
          </cell>
          <cell r="Q178">
            <v>43635.099306344215</v>
          </cell>
          <cell r="R178">
            <v>34729.999999999905</v>
          </cell>
        </row>
        <row r="180">
          <cell r="E180">
            <v>-1034.9993073546041</v>
          </cell>
          <cell r="F180">
            <v>9686.8022282796446</v>
          </cell>
          <cell r="G180">
            <v>3809.4117647058633</v>
          </cell>
          <cell r="P180">
            <v>70117.450424921291</v>
          </cell>
          <cell r="Q180">
            <v>43635.099306344215</v>
          </cell>
          <cell r="R180">
            <v>34729.999999999905</v>
          </cell>
        </row>
      </sheetData>
      <sheetData sheetId="41">
        <row r="11">
          <cell r="E11">
            <v>15150.246720971336</v>
          </cell>
          <cell r="F11">
            <v>11006.177964078945</v>
          </cell>
          <cell r="G11">
            <v>4838.2352941176305</v>
          </cell>
        </row>
        <row r="12">
          <cell r="E12">
            <v>-1034.9993073546041</v>
          </cell>
          <cell r="F12">
            <v>9686.8022282796446</v>
          </cell>
          <cell r="G12">
            <v>3809.4117647058633</v>
          </cell>
        </row>
        <row r="13">
          <cell r="E13">
            <v>0</v>
          </cell>
          <cell r="F13">
            <v>0</v>
          </cell>
          <cell r="G13">
            <v>0</v>
          </cell>
        </row>
        <row r="14">
          <cell r="E14">
            <v>1519.6856509057363</v>
          </cell>
          <cell r="F14">
            <v>2485.2900907975982</v>
          </cell>
          <cell r="G14">
            <v>1289.4117647058824</v>
          </cell>
        </row>
        <row r="15">
          <cell r="E15">
            <v>2137.6338856450766</v>
          </cell>
          <cell r="F15">
            <v>1047.0414850896086</v>
          </cell>
          <cell r="G15">
            <v>0</v>
          </cell>
        </row>
        <row r="16">
          <cell r="E16">
            <v>5500.1279383562205</v>
          </cell>
          <cell r="F16">
            <v>-517.78197764317622</v>
          </cell>
          <cell r="G16">
            <v>0</v>
          </cell>
        </row>
        <row r="17">
          <cell r="E17">
            <v>0</v>
          </cell>
          <cell r="F17">
            <v>0</v>
          </cell>
          <cell r="G17">
            <v>0</v>
          </cell>
        </row>
        <row r="18">
          <cell r="E18">
            <v>850.50183937899067</v>
          </cell>
          <cell r="F18">
            <v>2318.2797389752532</v>
          </cell>
          <cell r="G18">
            <v>1570.5882352941178</v>
          </cell>
        </row>
        <row r="19">
          <cell r="E19">
            <v>0</v>
          </cell>
          <cell r="F19">
            <v>0</v>
          </cell>
          <cell r="G19">
            <v>0</v>
          </cell>
        </row>
        <row r="20">
          <cell r="E20">
            <v>0</v>
          </cell>
          <cell r="F20">
            <v>0</v>
          </cell>
          <cell r="G20">
            <v>0</v>
          </cell>
        </row>
        <row r="21">
          <cell r="E21">
            <v>0</v>
          </cell>
          <cell r="F21">
            <v>-548.45147616568761</v>
          </cell>
          <cell r="G21">
            <v>0</v>
          </cell>
        </row>
        <row r="23">
          <cell r="E23">
            <v>8972.9500069314199</v>
          </cell>
          <cell r="F23">
            <v>14471.180089333238</v>
          </cell>
          <cell r="G23">
            <v>6669.4117647058638</v>
          </cell>
        </row>
        <row r="24">
          <cell r="E24">
            <v>0</v>
          </cell>
          <cell r="F24">
            <v>0</v>
          </cell>
          <cell r="G24">
            <v>0</v>
          </cell>
        </row>
        <row r="25">
          <cell r="E25">
            <v>-64471.967401708702</v>
          </cell>
          <cell r="F25">
            <v>-9714.8247896901357</v>
          </cell>
          <cell r="G25">
            <v>-34237.647058823532</v>
          </cell>
        </row>
        <row r="26">
          <cell r="E26">
            <v>10395.648689485115</v>
          </cell>
          <cell r="F26">
            <v>-1520.9843645422802</v>
          </cell>
          <cell r="G26">
            <v>94.117647058823536</v>
          </cell>
        </row>
        <row r="27">
          <cell r="E27">
            <v>56634.470336224113</v>
          </cell>
          <cell r="F27">
            <v>-17177.929873668552</v>
          </cell>
          <cell r="G27">
            <v>33098.23529411765</v>
          </cell>
        </row>
        <row r="28">
          <cell r="E28">
            <v>5700.6419254031171</v>
          </cell>
          <cell r="F28">
            <v>2262.7681291725348</v>
          </cell>
          <cell r="G28">
            <v>42.352941176470587</v>
          </cell>
        </row>
        <row r="29">
          <cell r="E29">
            <v>-269.47528095957415</v>
          </cell>
          <cell r="F29">
            <v>25171.258864271738</v>
          </cell>
          <cell r="G29">
            <v>247.05882352941177</v>
          </cell>
        </row>
        <row r="30">
          <cell r="E30">
            <v>16962.268275375482</v>
          </cell>
          <cell r="F30">
            <v>13491.468054876543</v>
          </cell>
          <cell r="G30">
            <v>5913.529411764689</v>
          </cell>
        </row>
        <row r="31">
          <cell r="E31">
            <v>0</v>
          </cell>
          <cell r="G31">
            <v>0</v>
          </cell>
        </row>
        <row r="32">
          <cell r="E32">
            <v>-1812.021554404145</v>
          </cell>
          <cell r="F32">
            <v>-2485.2900907975982</v>
          </cell>
          <cell r="G32">
            <v>-1075.2941176470588</v>
          </cell>
        </row>
        <row r="33">
          <cell r="E33">
            <v>-6225.4553184256001</v>
          </cell>
          <cell r="F33">
            <v>-6581.8931661337092</v>
          </cell>
          <cell r="G33">
            <v>-8757.0588235294126</v>
          </cell>
        </row>
        <row r="34">
          <cell r="E34">
            <v>-6225.4553184256001</v>
          </cell>
          <cell r="F34">
            <v>-6581.8931661337092</v>
          </cell>
          <cell r="G34">
            <v>-8757.0588235294126</v>
          </cell>
        </row>
        <row r="35">
          <cell r="E35">
            <v>-6225.4553184256001</v>
          </cell>
          <cell r="F35">
            <v>-6581.8931661337092</v>
          </cell>
          <cell r="G35">
            <v>-8757.0588235294126</v>
          </cell>
        </row>
        <row r="36">
          <cell r="E36">
            <v>0</v>
          </cell>
          <cell r="F36">
            <v>0</v>
          </cell>
          <cell r="G36">
            <v>0</v>
          </cell>
        </row>
        <row r="46">
          <cell r="E46">
            <v>0</v>
          </cell>
          <cell r="F46">
            <v>0</v>
          </cell>
          <cell r="G46">
            <v>0</v>
          </cell>
        </row>
        <row r="51">
          <cell r="E51">
            <v>0</v>
          </cell>
          <cell r="F51">
            <v>0</v>
          </cell>
          <cell r="G51">
            <v>0</v>
          </cell>
        </row>
        <row r="52">
          <cell r="E52">
            <v>0</v>
          </cell>
          <cell r="G52">
            <v>0</v>
          </cell>
        </row>
        <row r="53">
          <cell r="F53">
            <v>0</v>
          </cell>
          <cell r="G53">
            <v>0</v>
          </cell>
        </row>
        <row r="54">
          <cell r="E54">
            <v>0</v>
          </cell>
          <cell r="G54">
            <v>0</v>
          </cell>
        </row>
        <row r="55">
          <cell r="E55">
            <v>0</v>
          </cell>
          <cell r="F55">
            <v>0</v>
          </cell>
          <cell r="G55">
            <v>0</v>
          </cell>
        </row>
        <row r="56">
          <cell r="E56">
            <v>0</v>
          </cell>
          <cell r="F56">
            <v>0</v>
          </cell>
          <cell r="G56">
            <v>0</v>
          </cell>
        </row>
        <row r="57">
          <cell r="E57">
            <v>-1565.3067516078338</v>
          </cell>
          <cell r="F57">
            <v>10111.528554475322</v>
          </cell>
          <cell r="G57">
            <v>-1035.2941176470588</v>
          </cell>
        </row>
        <row r="58">
          <cell r="G58">
            <v>0</v>
          </cell>
        </row>
        <row r="59">
          <cell r="E59">
            <v>-1565.3067516078338</v>
          </cell>
          <cell r="F59">
            <v>10111.528554475322</v>
          </cell>
          <cell r="G59">
            <v>-1035.2941176470588</v>
          </cell>
        </row>
        <row r="60">
          <cell r="E60">
            <v>0</v>
          </cell>
          <cell r="F60">
            <v>0</v>
          </cell>
          <cell r="G60">
            <v>0</v>
          </cell>
        </row>
        <row r="61">
          <cell r="E61">
            <v>0</v>
          </cell>
          <cell r="F61">
            <v>0</v>
          </cell>
          <cell r="G61">
            <v>0</v>
          </cell>
        </row>
        <row r="62">
          <cell r="E62">
            <v>0</v>
          </cell>
          <cell r="F62">
            <v>0</v>
          </cell>
          <cell r="G62">
            <v>0</v>
          </cell>
        </row>
        <row r="63">
          <cell r="E63">
            <v>0</v>
          </cell>
          <cell r="F63">
            <v>0</v>
          </cell>
          <cell r="G63">
            <v>0</v>
          </cell>
        </row>
        <row r="64">
          <cell r="E64">
            <v>0</v>
          </cell>
          <cell r="F64">
            <v>0</v>
          </cell>
          <cell r="G64">
            <v>0</v>
          </cell>
        </row>
        <row r="65">
          <cell r="E65">
            <v>0</v>
          </cell>
          <cell r="F65">
            <v>0</v>
          </cell>
          <cell r="G65">
            <v>0</v>
          </cell>
        </row>
        <row r="66">
          <cell r="E66">
            <v>0</v>
          </cell>
          <cell r="F66">
            <v>0</v>
          </cell>
          <cell r="G66">
            <v>0</v>
          </cell>
        </row>
        <row r="67">
          <cell r="E67">
            <v>0</v>
          </cell>
          <cell r="F67">
            <v>0</v>
          </cell>
          <cell r="G67">
            <v>0</v>
          </cell>
        </row>
        <row r="68">
          <cell r="F68">
            <v>0</v>
          </cell>
          <cell r="G68">
            <v>0</v>
          </cell>
        </row>
        <row r="69">
          <cell r="E69">
            <v>0</v>
          </cell>
          <cell r="F69">
            <v>0</v>
          </cell>
          <cell r="G69">
            <v>0</v>
          </cell>
        </row>
        <row r="70">
          <cell r="E70">
            <v>0</v>
          </cell>
          <cell r="G70">
            <v>0</v>
          </cell>
        </row>
        <row r="71">
          <cell r="E71">
            <v>0</v>
          </cell>
          <cell r="G71">
            <v>0</v>
          </cell>
        </row>
        <row r="72">
          <cell r="E72">
            <v>0</v>
          </cell>
          <cell r="F72">
            <v>23.583295325912331</v>
          </cell>
          <cell r="G72">
            <v>0</v>
          </cell>
        </row>
        <row r="73">
          <cell r="E73">
            <v>0</v>
          </cell>
          <cell r="G73">
            <v>0</v>
          </cell>
        </row>
        <row r="74">
          <cell r="E74">
            <v>7359.4846509379022</v>
          </cell>
          <cell r="F74">
            <v>14559.396647746471</v>
          </cell>
          <cell r="G74">
            <v>-4954.1176470588416</v>
          </cell>
        </row>
        <row r="75">
          <cell r="E75">
            <v>4513.5027694913997</v>
          </cell>
          <cell r="F75">
            <v>2698.9325297651958</v>
          </cell>
          <cell r="G75">
            <v>10707.058823529413</v>
          </cell>
        </row>
        <row r="76">
          <cell r="E76">
            <v>11872.987420429301</v>
          </cell>
          <cell r="F76">
            <v>17258.329177511667</v>
          </cell>
          <cell r="G76">
            <v>5752.941176470571</v>
          </cell>
        </row>
      </sheetData>
      <sheetData sheetId="42">
        <row r="15">
          <cell r="G15">
            <v>6529.2638985302428</v>
          </cell>
          <cell r="H15">
            <v>862.28865024764957</v>
          </cell>
          <cell r="I15">
            <v>518.82352941176475</v>
          </cell>
          <cell r="N15">
            <v>15623.19989544895</v>
          </cell>
          <cell r="O15">
            <v>5227.4452567837643</v>
          </cell>
          <cell r="P15">
            <v>5905.8823529411766</v>
          </cell>
        </row>
      </sheetData>
      <sheetData sheetId="43">
        <row r="17">
          <cell r="G17">
            <v>0</v>
          </cell>
          <cell r="H17">
            <v>0</v>
          </cell>
          <cell r="I17">
            <v>0</v>
          </cell>
          <cell r="N17">
            <v>0</v>
          </cell>
          <cell r="O17">
            <v>0</v>
          </cell>
          <cell r="P17">
            <v>0</v>
          </cell>
        </row>
        <row r="40">
          <cell r="G40">
            <v>498.86994197643969</v>
          </cell>
          <cell r="H40">
            <v>3134.4445058641186</v>
          </cell>
          <cell r="I40">
            <v>13523.529411764704</v>
          </cell>
          <cell r="N40">
            <v>80347.099664830253</v>
          </cell>
          <cell r="O40">
            <v>59417.43720946736</v>
          </cell>
          <cell r="P40">
            <v>121711.76470588235</v>
          </cell>
        </row>
        <row r="143">
          <cell r="G143">
            <v>0</v>
          </cell>
          <cell r="H143">
            <v>0</v>
          </cell>
          <cell r="I143">
            <v>0</v>
          </cell>
          <cell r="N143">
            <v>0</v>
          </cell>
          <cell r="O143">
            <v>0</v>
          </cell>
          <cell r="P143">
            <v>0</v>
          </cell>
        </row>
        <row r="236">
          <cell r="G236">
            <v>0</v>
          </cell>
          <cell r="H236">
            <v>0</v>
          </cell>
          <cell r="I236">
            <v>0</v>
          </cell>
          <cell r="N236">
            <v>235.98652934789041</v>
          </cell>
          <cell r="O236">
            <v>197.84447586443926</v>
          </cell>
          <cell r="P236">
            <v>0</v>
          </cell>
        </row>
        <row r="289">
          <cell r="G289">
            <v>69776.442648508964</v>
          </cell>
          <cell r="H289">
            <v>43414.94514004558</v>
          </cell>
          <cell r="I289">
            <v>66853.529411764714</v>
          </cell>
          <cell r="N289">
            <v>403140.25904446171</v>
          </cell>
          <cell r="O289">
            <v>338956.63270117558</v>
          </cell>
          <cell r="P289">
            <v>427030.5882352941</v>
          </cell>
        </row>
        <row r="302">
          <cell r="G302">
            <v>0</v>
          </cell>
          <cell r="H302">
            <v>0</v>
          </cell>
          <cell r="I302">
            <v>0</v>
          </cell>
          <cell r="N302">
            <v>0</v>
          </cell>
          <cell r="O302">
            <v>0</v>
          </cell>
          <cell r="P302">
            <v>0</v>
          </cell>
        </row>
      </sheetData>
      <sheetData sheetId="44">
        <row r="18">
          <cell r="G18">
            <v>10839.754637282833</v>
          </cell>
          <cell r="H18">
            <v>11926.171981305091</v>
          </cell>
          <cell r="I18">
            <v>11184.117647058823</v>
          </cell>
          <cell r="N18">
            <v>158920.44565652806</v>
          </cell>
          <cell r="O18">
            <v>122642.83707324477</v>
          </cell>
          <cell r="P18">
            <v>127850.58823529413</v>
          </cell>
        </row>
        <row r="51">
          <cell r="G51">
            <v>2435.1117013745952</v>
          </cell>
          <cell r="H51">
            <v>1949.0951205049014</v>
          </cell>
          <cell r="I51">
            <v>1942.9411764705883</v>
          </cell>
          <cell r="N51">
            <v>26893.885171670936</v>
          </cell>
          <cell r="O51">
            <v>23347.956017635643</v>
          </cell>
          <cell r="P51">
            <v>22281.176470588238</v>
          </cell>
        </row>
        <row r="84">
          <cell r="G84">
            <v>1114.1180158955617</v>
          </cell>
          <cell r="H84">
            <v>1143.6045753175229</v>
          </cell>
          <cell r="I84">
            <v>1098.2352941176471</v>
          </cell>
          <cell r="N84">
            <v>13258.322591117287</v>
          </cell>
          <cell r="O84">
            <v>14599.208787423986</v>
          </cell>
          <cell r="P84">
            <v>13061.176470588234</v>
          </cell>
        </row>
      </sheetData>
      <sheetData sheetId="45">
        <row r="17">
          <cell r="G17">
            <v>26743.296053183323</v>
          </cell>
          <cell r="H17">
            <v>26150.042873184488</v>
          </cell>
          <cell r="I17">
            <v>22461.764705882353</v>
          </cell>
          <cell r="N17">
            <v>174908.38470089933</v>
          </cell>
          <cell r="O17">
            <v>188507.84797693708</v>
          </cell>
          <cell r="P17">
            <v>176341.17647058828</v>
          </cell>
        </row>
      </sheetData>
      <sheetData sheetId="46">
        <row r="16">
          <cell r="B16" t="str">
            <v>Upstream / Hasilat</v>
          </cell>
          <cell r="C16" t="str">
            <v>Total</v>
          </cell>
          <cell r="D16" t="str">
            <v>Cəmi</v>
          </cell>
          <cell r="E16" t="str">
            <v>thsd / min USD</v>
          </cell>
          <cell r="L16">
            <v>0</v>
          </cell>
          <cell r="Y16">
            <v>2</v>
          </cell>
        </row>
        <row r="17">
          <cell r="B17" t="str">
            <v>Upstream / Hasilat</v>
          </cell>
          <cell r="C17" t="str">
            <v xml:space="preserve">All production drilling projects </v>
          </cell>
          <cell r="D17" t="str">
            <v>Bütün istehsal qazma layihələri</v>
          </cell>
          <cell r="E17" t="str">
            <v>thsd / min USD</v>
          </cell>
          <cell r="L17">
            <v>0</v>
          </cell>
          <cell r="Y17">
            <v>0</v>
          </cell>
        </row>
        <row r="18">
          <cell r="B18" t="str">
            <v>Upstream / Hasilat</v>
          </cell>
          <cell r="C18" t="str">
            <v>[Input of the project name] / [layihənin adının daxil edilməsi]</v>
          </cell>
          <cell r="D18" t="str">
            <v xml:space="preserve">[input: brief description of the project, including: / layihənin qısa təsvirinin daxil edilməsi, o cümlədən:
Description of assets / Aktivlərin təsviri,
</v>
          </cell>
          <cell r="E18" t="str">
            <v>thsd / min USD</v>
          </cell>
          <cell r="Y18">
            <v>0</v>
          </cell>
        </row>
        <row r="19">
          <cell r="B19" t="str">
            <v>Upstream / Hasilat</v>
          </cell>
          <cell r="C19" t="str">
            <v>[Input of the project name] / [layihənin adının daxil edilməsi]</v>
          </cell>
          <cell r="D19" t="str">
            <v xml:space="preserve">[input: brief description of the project, including: / layihənin qısa təsvirinin daxil edilməsi, o cümlədən:
Description of assets / Aktivlərin təsviri,
</v>
          </cell>
          <cell r="E19" t="str">
            <v>thsd / min USD</v>
          </cell>
          <cell r="Y19">
            <v>0</v>
          </cell>
        </row>
        <row r="20">
          <cell r="B20" t="str">
            <v>Upstream / Hasilat</v>
          </cell>
          <cell r="C20" t="str">
            <v>[Input of the project name] / [layihənin adının daxil edilməsi]</v>
          </cell>
          <cell r="D20" t="str">
            <v xml:space="preserve">[input: brief description of the project, including: / layihənin qısa təsvirinin daxil edilməsi, o cümlədən:
Description of assets / Aktivlərin təsviri,
</v>
          </cell>
          <cell r="E20" t="str">
            <v>thsd / min USD</v>
          </cell>
          <cell r="Y20">
            <v>0</v>
          </cell>
        </row>
        <row r="21">
          <cell r="B21" t="str">
            <v>Upstream / Hasilat</v>
          </cell>
          <cell r="C21" t="str">
            <v>[Input of the project name] / [layihənin adının daxil edilməsi]</v>
          </cell>
          <cell r="D21" t="str">
            <v xml:space="preserve">[input: brief description of the project, including: / layihənin qısa təsvirinin daxil edilməsi, o cümlədən:
Description of assets / Aktivlərin təsviri,
</v>
          </cell>
          <cell r="E21" t="str">
            <v>thsd / min USD</v>
          </cell>
          <cell r="Y21">
            <v>0</v>
          </cell>
        </row>
        <row r="22">
          <cell r="B22" t="str">
            <v>Upstream / Hasilat</v>
          </cell>
          <cell r="C22" t="str">
            <v>[Input of the project name] / [layihənin adının daxil edilməsi]</v>
          </cell>
          <cell r="D22" t="str">
            <v xml:space="preserve">[input: brief description of the project, including: / layihənin qısa təsvirinin daxil edilməsi, o cümlədən:
Description of assets / Aktivlərin təsviri,
</v>
          </cell>
          <cell r="E22" t="str">
            <v>thsd / min USD</v>
          </cell>
          <cell r="Y22">
            <v>0</v>
          </cell>
        </row>
        <row r="23">
          <cell r="B23" t="str">
            <v>Upstream / Hasilat</v>
          </cell>
          <cell r="C23" t="str">
            <v>[Input of the project name] / [layihənin adının daxil edilməsi]</v>
          </cell>
          <cell r="D23" t="str">
            <v xml:space="preserve">[input: brief description of the project, including: / layihənin qısa təsvirinin daxil edilməsi, o cümlədən:
Description of assets / Aktivlərin təsviri,
</v>
          </cell>
          <cell r="E23" t="str">
            <v>thsd / min USD</v>
          </cell>
          <cell r="Y23">
            <v>0</v>
          </cell>
        </row>
        <row r="24">
          <cell r="B24" t="str">
            <v>Upstream / Hasilat</v>
          </cell>
          <cell r="C24" t="str">
            <v>[Input of the project name] / [layihənin adının daxil edilməsi]</v>
          </cell>
          <cell r="D24" t="str">
            <v xml:space="preserve">[input: brief description of the project, including: / layihənin qısa təsvirinin daxil edilməsi, o cümlədən:
Description of assets / Aktivlərin təsviri,
</v>
          </cell>
          <cell r="E24" t="str">
            <v>thsd / min USD</v>
          </cell>
          <cell r="Y24">
            <v>0</v>
          </cell>
        </row>
        <row r="25">
          <cell r="B25" t="str">
            <v>Upstream / Hasilat</v>
          </cell>
          <cell r="C25" t="str">
            <v>[Input of the project name] / [layihənin adının daxil edilməsi]</v>
          </cell>
          <cell r="D25" t="str">
            <v xml:space="preserve">[input: brief description of the project, including: / layihənin qısa təsvirinin daxil edilməsi, o cümlədən:
Description of assets / Aktivlərin təsviri,
</v>
          </cell>
          <cell r="E25" t="str">
            <v>thsd / min USD</v>
          </cell>
          <cell r="Y25">
            <v>0</v>
          </cell>
        </row>
        <row r="26">
          <cell r="B26" t="str">
            <v>Upstream / Hasilat</v>
          </cell>
          <cell r="C26" t="str">
            <v>[Input of the project name] / [layihənin adının daxil edilməsi]</v>
          </cell>
          <cell r="D26" t="str">
            <v xml:space="preserve">[input: brief description of the project, including: / layihənin qısa təsvirinin daxil edilməsi, o cümlədən:
Description of assets / Aktivlərin təsviri,
</v>
          </cell>
          <cell r="E26" t="str">
            <v>thsd / min USD</v>
          </cell>
          <cell r="Y26">
            <v>0</v>
          </cell>
        </row>
        <row r="27">
          <cell r="B27" t="str">
            <v>Upstream / Hasilat</v>
          </cell>
          <cell r="C27" t="str">
            <v>[Input of the project name] / [layihənin adının daxil edilməsi]</v>
          </cell>
          <cell r="D27" t="str">
            <v xml:space="preserve">[input: brief description of the project, including: / layihənin qısa təsvirinin daxil edilməsi, o cümlədən:
Description of assets / Aktivlərin təsviri,
</v>
          </cell>
          <cell r="E27" t="str">
            <v>thsd / min USD</v>
          </cell>
          <cell r="Y27">
            <v>0</v>
          </cell>
        </row>
        <row r="28">
          <cell r="B28" t="str">
            <v>Upstream / Hasilat</v>
          </cell>
          <cell r="C28" t="str">
            <v>[Input of the project name] / [layihənin adının daxil edilməsi]</v>
          </cell>
          <cell r="D28" t="str">
            <v xml:space="preserve">[input: brief description of the project, including: / layihənin qısa təsvirinin daxil edilməsi, o cümlədən:
Description of assets / Aktivlərin təsviri,
</v>
          </cell>
          <cell r="E28" t="str">
            <v>thsd / min USD</v>
          </cell>
          <cell r="Y28">
            <v>0</v>
          </cell>
        </row>
        <row r="29">
          <cell r="B29" t="str">
            <v>Upstream / Hasilat</v>
          </cell>
          <cell r="C29" t="str">
            <v>[Input of the project name] / [layihənin adının daxil edilməsi]</v>
          </cell>
          <cell r="D29" t="str">
            <v xml:space="preserve">[input: brief description of the project, including: / layihənin qısa təsvirinin daxil edilməsi, o cümlədən:
Description of assets / Aktivlərin təsviri,
</v>
          </cell>
          <cell r="E29" t="str">
            <v>thsd / min USD</v>
          </cell>
          <cell r="Y29">
            <v>0</v>
          </cell>
        </row>
        <row r="30">
          <cell r="B30" t="str">
            <v>Upstream / Hasilat</v>
          </cell>
          <cell r="C30" t="str">
            <v>[Input of the project name] / [layihənin adının daxil edilməsi]</v>
          </cell>
          <cell r="D30" t="str">
            <v xml:space="preserve">[input: brief description of the project, including: / layihənin qısa təsvirinin daxil edilməsi, o cümlədən:
Description of assets / Aktivlərin təsviri,
</v>
          </cell>
          <cell r="E30" t="str">
            <v>thsd / min USD</v>
          </cell>
          <cell r="Y30">
            <v>0</v>
          </cell>
        </row>
        <row r="31">
          <cell r="B31" t="str">
            <v>Upstream / Hasilat</v>
          </cell>
          <cell r="C31" t="str">
            <v>[Input of the project name] / [layihənin adının daxil edilməsi]</v>
          </cell>
          <cell r="D31" t="str">
            <v xml:space="preserve">[input: brief description of the project, including: / layihənin qısa təsvirinin daxil edilməsi, o cümlədən:
Description of assets / Aktivlərin təsviri,
</v>
          </cell>
          <cell r="E31" t="str">
            <v>thsd / min USD</v>
          </cell>
          <cell r="Y31">
            <v>0</v>
          </cell>
        </row>
        <row r="32">
          <cell r="B32" t="str">
            <v>Upstream / Hasilat</v>
          </cell>
          <cell r="C32" t="str">
            <v>[Input of the project name] / [layihənin adının daxil edilməsi]</v>
          </cell>
          <cell r="D32" t="str">
            <v xml:space="preserve">[input: brief description of the project, including: / layihənin qısa təsvirinin daxil edilməsi, o cümlədən:
Description of assets / Aktivlərin təsviri,
</v>
          </cell>
          <cell r="E32" t="str">
            <v>thsd / min USD</v>
          </cell>
          <cell r="Y32">
            <v>0</v>
          </cell>
        </row>
        <row r="33">
          <cell r="B33" t="str">
            <v>Upstream / Hasilat</v>
          </cell>
          <cell r="C33" t="str">
            <v>[Input of the project name] / [layihənin adının daxil edilməsi]</v>
          </cell>
          <cell r="D33" t="str">
            <v xml:space="preserve">[input: brief description of the project, including: / layihənin qısa təsvirinin daxil edilməsi, o cümlədən:
Description of assets / Aktivlərin təsviri,
</v>
          </cell>
          <cell r="E33" t="str">
            <v>thsd / min USD</v>
          </cell>
          <cell r="Y33">
            <v>0</v>
          </cell>
        </row>
        <row r="34">
          <cell r="B34" t="str">
            <v>Upstream / Hasilat</v>
          </cell>
          <cell r="C34" t="str">
            <v>Other projects</v>
          </cell>
          <cell r="D34" t="str">
            <v>Digər layihələr</v>
          </cell>
          <cell r="E34" t="str">
            <v>thsd / min USD</v>
          </cell>
          <cell r="Y34">
            <v>0</v>
          </cell>
        </row>
        <row r="35">
          <cell r="B35" t="str">
            <v>Upstream / Hasilat</v>
          </cell>
          <cell r="C35" t="str">
            <v xml:space="preserve">All exploration drilling projects </v>
          </cell>
          <cell r="D35" t="str">
            <v>Bütün kəşfiyyat qazma layihələri</v>
          </cell>
          <cell r="E35" t="str">
            <v>thsd / min USD</v>
          </cell>
          <cell r="L35">
            <v>0</v>
          </cell>
          <cell r="Y35">
            <v>1</v>
          </cell>
        </row>
        <row r="36">
          <cell r="B36" t="str">
            <v>Upstream / Hasilat</v>
          </cell>
          <cell r="C36" t="str">
            <v>[Input of the project name] / [layihənin adının daxil edilməsi]</v>
          </cell>
          <cell r="D36" t="str">
            <v xml:space="preserve">[input: brief description of the project, including: / layihənin qısa təsvirinin daxil edilməsi, o cümlədən:
Description of assets / Aktivlərin təsviri,
</v>
          </cell>
          <cell r="E36" t="str">
            <v>thsd / min USD</v>
          </cell>
          <cell r="Y36">
            <v>0</v>
          </cell>
        </row>
        <row r="37">
          <cell r="B37" t="str">
            <v>Upstream / Hasilat</v>
          </cell>
          <cell r="C37" t="str">
            <v>[Input of the project name] / [layihənin adının daxil edilməsi]</v>
          </cell>
          <cell r="D37" t="str">
            <v xml:space="preserve">[input: brief description of the project, including: / layihənin qısa təsvirinin daxil edilməsi, o cümlədən:
Description of assets / Aktivlərin təsviri,
</v>
          </cell>
          <cell r="E37" t="str">
            <v>thsd / min USD</v>
          </cell>
          <cell r="Y37">
            <v>0</v>
          </cell>
        </row>
        <row r="38">
          <cell r="B38" t="str">
            <v>Upstream / Hasilat</v>
          </cell>
          <cell r="C38" t="str">
            <v>[Input of the project name] / [layihənin adının daxil edilməsi]</v>
          </cell>
          <cell r="D38" t="str">
            <v xml:space="preserve">[input: brief description of the project, including: / layihənin qısa təsvirinin daxil edilməsi, o cümlədən:
Description of assets / Aktivlərin təsviri,
</v>
          </cell>
          <cell r="E38" t="str">
            <v>thsd / min USD</v>
          </cell>
          <cell r="Y38">
            <v>0</v>
          </cell>
        </row>
        <row r="39">
          <cell r="B39" t="str">
            <v>Upstream / Hasilat</v>
          </cell>
          <cell r="C39" t="str">
            <v>[Input of the project name] / [layihənin adının daxil edilməsi]</v>
          </cell>
          <cell r="D39" t="str">
            <v xml:space="preserve">[input: brief description of the project, including: / layihənin qısa təsvirinin daxil edilməsi, o cümlədən:
Description of assets / Aktivlərin təsviri,
</v>
          </cell>
          <cell r="E39" t="str">
            <v>thsd / min USD</v>
          </cell>
          <cell r="Y39">
            <v>0</v>
          </cell>
        </row>
        <row r="40">
          <cell r="B40" t="str">
            <v>Upstream / Hasilat</v>
          </cell>
          <cell r="C40" t="str">
            <v>[Input of the project name] / [layihənin adının daxil edilməsi]</v>
          </cell>
          <cell r="D40" t="str">
            <v xml:space="preserve">[input: brief description of the project, including: / layihənin qısa təsvirinin daxil edilməsi, o cümlədən:
Description of assets / Aktivlərin təsviri,
</v>
          </cell>
          <cell r="E40" t="str">
            <v>thsd / min USD</v>
          </cell>
          <cell r="Y40">
            <v>0</v>
          </cell>
        </row>
        <row r="41">
          <cell r="B41" t="str">
            <v>Upstream / Hasilat</v>
          </cell>
          <cell r="C41" t="str">
            <v>[Input of the project name] / [layihənin adının daxil edilməsi]</v>
          </cell>
          <cell r="D41" t="str">
            <v xml:space="preserve">[input: brief description of the project, including: / layihənin qısa təsvirinin daxil edilməsi, o cümlədən:
Description of assets / Aktivlərin təsviri,
</v>
          </cell>
          <cell r="E41" t="str">
            <v>thsd / min USD</v>
          </cell>
          <cell r="Y41">
            <v>0</v>
          </cell>
        </row>
        <row r="42">
          <cell r="B42" t="str">
            <v>Upstream / Hasilat</v>
          </cell>
          <cell r="C42" t="str">
            <v>[Input of the project name] / [layihənin adının daxil edilməsi]</v>
          </cell>
          <cell r="D42" t="str">
            <v xml:space="preserve">[input: brief description of the project, including: / layihənin qısa təsvirinin daxil edilməsi, o cümlədən:
Description of assets / Aktivlərin təsviri,
</v>
          </cell>
          <cell r="E42" t="str">
            <v>thsd / min USD</v>
          </cell>
          <cell r="Y42">
            <v>0</v>
          </cell>
        </row>
        <row r="43">
          <cell r="B43" t="str">
            <v>Upstream / Hasilat</v>
          </cell>
          <cell r="C43" t="str">
            <v>[Input of the project name] / [layihənin adının daxil edilməsi]</v>
          </cell>
          <cell r="D43" t="str">
            <v xml:space="preserve">[input: brief description of the project, including: / layihənin qısa təsvirinin daxil edilməsi, o cümlədən:
Description of assets / Aktivlərin təsviri,
</v>
          </cell>
          <cell r="E43" t="str">
            <v>thsd / min USD</v>
          </cell>
          <cell r="Y43">
            <v>0</v>
          </cell>
        </row>
        <row r="44">
          <cell r="B44" t="str">
            <v>Upstream / Hasilat</v>
          </cell>
          <cell r="C44" t="str">
            <v>[Input of the project name] / [layihənin adının daxil edilməsi]</v>
          </cell>
          <cell r="D44" t="str">
            <v xml:space="preserve">[input: brief description of the project, including: / layihənin qısa təsvirinin daxil edilməsi, o cümlədən:
Description of assets / Aktivlərin təsviri,
</v>
          </cell>
          <cell r="E44" t="str">
            <v>thsd / min USD</v>
          </cell>
          <cell r="Y44">
            <v>0</v>
          </cell>
        </row>
        <row r="45">
          <cell r="B45" t="str">
            <v>Upstream / Hasilat</v>
          </cell>
          <cell r="C45" t="str">
            <v>[Input of the project name] / [layihənin adının daxil edilməsi]</v>
          </cell>
          <cell r="D45" t="str">
            <v xml:space="preserve">[input: brief description of the project, including: / layihənin qısa təsvirinin daxil edilməsi, o cümlədən:
Description of assets / Aktivlərin təsviri,
</v>
          </cell>
          <cell r="E45" t="str">
            <v>thsd / min USD</v>
          </cell>
          <cell r="Y45">
            <v>0</v>
          </cell>
        </row>
        <row r="46">
          <cell r="B46" t="str">
            <v>Upstream / Hasilat</v>
          </cell>
          <cell r="C46" t="str">
            <v>Other projects</v>
          </cell>
          <cell r="D46" t="str">
            <v>Digər layihələr</v>
          </cell>
          <cell r="E46" t="str">
            <v>thsd / min USD</v>
          </cell>
          <cell r="Y46">
            <v>0</v>
          </cell>
        </row>
        <row r="47">
          <cell r="B47" t="str">
            <v>Upstream / Hasilat</v>
          </cell>
          <cell r="C47" t="str">
            <v xml:space="preserve">Construction and other type of projects </v>
          </cell>
          <cell r="D47" t="str">
            <v>Tikinti və digər növ layihələr</v>
          </cell>
          <cell r="E47" t="str">
            <v>thsd / min USD</v>
          </cell>
          <cell r="L47">
            <v>0</v>
          </cell>
          <cell r="Y47">
            <v>1</v>
          </cell>
        </row>
        <row r="48">
          <cell r="B48" t="str">
            <v>Upstream / Hasilat</v>
          </cell>
          <cell r="C48" t="str">
            <v>[Input of the project name] / [layihənin adının daxil edilməsi]</v>
          </cell>
          <cell r="D48" t="str">
            <v xml:space="preserve">[input: brief description of the project, including: / layihənin qısa təsvirinin daxil edilməsi, o cümlədən:
Description of assets / Aktivlərin təsviri,
</v>
          </cell>
          <cell r="E48" t="str">
            <v>thsd / min USD</v>
          </cell>
          <cell r="Y48">
            <v>0</v>
          </cell>
        </row>
        <row r="49">
          <cell r="B49" t="str">
            <v>Upstream / Hasilat</v>
          </cell>
          <cell r="C49" t="str">
            <v>[Input of the project name] / [layihənin adının daxil edilməsi]</v>
          </cell>
          <cell r="D49" t="str">
            <v xml:space="preserve">[input: brief description of the project, including: / layihənin qısa təsvirinin daxil edilməsi, o cümlədən:
Description of assets / Aktivlərin təsviri,
</v>
          </cell>
          <cell r="E49" t="str">
            <v>thsd / min USD</v>
          </cell>
          <cell r="Y49">
            <v>0</v>
          </cell>
        </row>
        <row r="50">
          <cell r="B50" t="str">
            <v>Upstream / Hasilat</v>
          </cell>
          <cell r="C50" t="str">
            <v>[Input of the project name] / [layihənin adının daxil edilməsi]</v>
          </cell>
          <cell r="D50" t="str">
            <v xml:space="preserve">[input: brief description of the project, including: / layihənin qısa təsvirinin daxil edilməsi, o cümlədən:
Description of assets / Aktivlərin təsviri,
</v>
          </cell>
          <cell r="E50" t="str">
            <v>thsd / min USD</v>
          </cell>
          <cell r="Y50">
            <v>0</v>
          </cell>
        </row>
        <row r="51">
          <cell r="B51" t="str">
            <v>Upstream / Hasilat</v>
          </cell>
          <cell r="C51" t="str">
            <v>[Input of the project name] / [layihənin adının daxil edilməsi]</v>
          </cell>
          <cell r="D51" t="str">
            <v xml:space="preserve">[input: brief description of the project, including: / layihənin qısa təsvirinin daxil edilməsi, o cümlədən:
Description of assets / Aktivlərin təsviri,
</v>
          </cell>
          <cell r="E51" t="str">
            <v>thsd / min USD</v>
          </cell>
          <cell r="Y51">
            <v>0</v>
          </cell>
        </row>
        <row r="52">
          <cell r="B52" t="str">
            <v>Upstream / Hasilat</v>
          </cell>
          <cell r="C52" t="str">
            <v>[Input of the project name] / [layihənin adının daxil edilməsi]</v>
          </cell>
          <cell r="D52" t="str">
            <v xml:space="preserve">[input: brief description of the project, including: / layihənin qısa təsvirinin daxil edilməsi, o cümlədən:
Description of assets / Aktivlərin təsviri,
</v>
          </cell>
          <cell r="E52" t="str">
            <v>thsd / min USD</v>
          </cell>
          <cell r="Y52">
            <v>0</v>
          </cell>
        </row>
        <row r="53">
          <cell r="B53" t="str">
            <v>Upstream / Hasilat</v>
          </cell>
          <cell r="C53" t="str">
            <v>[Input of the project name] / [layihənin adının daxil edilməsi]</v>
          </cell>
          <cell r="D53" t="str">
            <v xml:space="preserve">[input: brief description of the project, including: / layihənin qısa təsvirinin daxil edilməsi, o cümlədən:
Description of assets / Aktivlərin təsviri,
</v>
          </cell>
          <cell r="E53" t="str">
            <v>thsd / min USD</v>
          </cell>
          <cell r="Y53">
            <v>0</v>
          </cell>
        </row>
        <row r="54">
          <cell r="B54" t="str">
            <v>Upstream / Hasilat</v>
          </cell>
          <cell r="C54" t="str">
            <v>[Input of the project name] / [layihənin adının daxil edilməsi]</v>
          </cell>
          <cell r="D54" t="str">
            <v xml:space="preserve">[input: brief description of the project, including: / layihənin qısa təsvirinin daxil edilməsi, o cümlədən:
Description of assets / Aktivlərin təsviri,
</v>
          </cell>
          <cell r="E54" t="str">
            <v>thsd / min USD</v>
          </cell>
          <cell r="Y54">
            <v>0</v>
          </cell>
        </row>
        <row r="55">
          <cell r="B55" t="str">
            <v>Upstream / Hasilat</v>
          </cell>
          <cell r="C55" t="str">
            <v>[Input of the project name] / [layihənin adının daxil edilməsi]</v>
          </cell>
          <cell r="D55" t="str">
            <v xml:space="preserve">[input: brief description of the project, including: / layihənin qısa təsvirinin daxil edilməsi, o cümlədən:
Description of assets / Aktivlərin təsviri,
</v>
          </cell>
          <cell r="E55" t="str">
            <v>thsd / min USD</v>
          </cell>
          <cell r="Y55">
            <v>0</v>
          </cell>
        </row>
        <row r="56">
          <cell r="B56" t="str">
            <v>Upstream / Hasilat</v>
          </cell>
          <cell r="C56" t="str">
            <v>[Input of the project name] / [layihənin adının daxil edilməsi]</v>
          </cell>
          <cell r="D56" t="str">
            <v xml:space="preserve">[input: brief description of the project, including: / layihənin qısa təsvirinin daxil edilməsi, o cümlədən:
Description of assets / Aktivlərin təsviri,
</v>
          </cell>
          <cell r="E56" t="str">
            <v>thsd / min USD</v>
          </cell>
          <cell r="Y56">
            <v>0</v>
          </cell>
        </row>
        <row r="57">
          <cell r="B57" t="str">
            <v>Upstream / Hasilat</v>
          </cell>
          <cell r="C57" t="str">
            <v>[Input of the project name] / [layihənin adının daxil edilməsi]</v>
          </cell>
          <cell r="D57" t="str">
            <v xml:space="preserve">[input: brief description of the project, including: / layihənin qısa təsvirinin daxil edilməsi, o cümlədən:
Description of assets / Aktivlərin təsviri,
</v>
          </cell>
          <cell r="E57" t="str">
            <v>thsd / min USD</v>
          </cell>
          <cell r="Y57">
            <v>0</v>
          </cell>
        </row>
        <row r="58">
          <cell r="B58" t="str">
            <v>Upstream / Hasilat</v>
          </cell>
          <cell r="C58" t="str">
            <v>[Input of the project name] / [layihənin adının daxil edilməsi]</v>
          </cell>
          <cell r="D58" t="str">
            <v xml:space="preserve">[input: brief description of the project, including: / layihənin qısa təsvirinin daxil edilməsi, o cümlədən:
Description of assets / Aktivlərin təsviri,
</v>
          </cell>
          <cell r="E58" t="str">
            <v>thsd / min USD</v>
          </cell>
          <cell r="Y58">
            <v>0</v>
          </cell>
        </row>
        <row r="59">
          <cell r="B59" t="str">
            <v>Upstream / Hasilat</v>
          </cell>
          <cell r="C59" t="str">
            <v>[Input of the project name] / [layihənin adının daxil edilməsi]</v>
          </cell>
          <cell r="D59" t="str">
            <v xml:space="preserve">[input: brief description of the project, including: / layihənin qısa təsvirinin daxil edilməsi, o cümlədən:
Description of assets / Aktivlərin təsviri,
</v>
          </cell>
          <cell r="E59" t="str">
            <v>thsd / min USD</v>
          </cell>
          <cell r="Y59">
            <v>0</v>
          </cell>
        </row>
        <row r="60">
          <cell r="B60" t="str">
            <v>Upstream / Hasilat</v>
          </cell>
          <cell r="C60" t="str">
            <v>[Input of the project name] / [layihənin adının daxil edilməsi]</v>
          </cell>
          <cell r="D60" t="str">
            <v xml:space="preserve">[input: brief description of the project, including: / layihənin qısa təsvirinin daxil edilməsi, o cümlədən:
Description of assets / Aktivlərin təsviri,
</v>
          </cell>
          <cell r="E60" t="str">
            <v>thsd / min USD</v>
          </cell>
          <cell r="Y60">
            <v>0</v>
          </cell>
        </row>
        <row r="61">
          <cell r="B61" t="str">
            <v>Upstream / Hasilat</v>
          </cell>
          <cell r="C61" t="str">
            <v>[Input of the project name] / [layihənin adının daxil edilməsi]</v>
          </cell>
          <cell r="D61" t="str">
            <v xml:space="preserve">[input: brief description of the project, including: / layihənin qısa təsvirinin daxil edilməsi, o cümlədən:
Description of assets / Aktivlərin təsviri,
</v>
          </cell>
          <cell r="E61" t="str">
            <v>thsd / min USD</v>
          </cell>
          <cell r="Y61">
            <v>0</v>
          </cell>
        </row>
        <row r="62">
          <cell r="B62" t="str">
            <v>Upstream (PSA) / Hasilat (HPBS)</v>
          </cell>
          <cell r="C62" t="str">
            <v>[Input of the project name] / [layihənin adının daxil edilməsi]</v>
          </cell>
          <cell r="D62" t="str">
            <v xml:space="preserve">[input: brief description of the project, including: / layihənin qısa təsvirinin daxil edilməsi, o cümlədən:
Description of assets / Aktivlərin təsviri,
</v>
          </cell>
          <cell r="E62" t="str">
            <v>thsd / min USD</v>
          </cell>
          <cell r="Y62">
            <v>0</v>
          </cell>
        </row>
        <row r="63">
          <cell r="B63" t="str">
            <v>Upstream (PSA) / Hasilat (HPBS)</v>
          </cell>
          <cell r="C63" t="str">
            <v>[Input of the project name] / [layihənin adının daxil edilməsi]</v>
          </cell>
          <cell r="D63" t="str">
            <v xml:space="preserve">[input: brief description of the project, including: / layihənin qısa təsvirinin daxil edilməsi, o cümlədən:
Description of assets / Aktivlərin təsviri,
</v>
          </cell>
          <cell r="E63" t="str">
            <v>thsd / min USD</v>
          </cell>
          <cell r="Y63">
            <v>0</v>
          </cell>
        </row>
        <row r="64">
          <cell r="B64" t="str">
            <v>Upstream (PSA) / Hasilat (HPBS)</v>
          </cell>
          <cell r="C64" t="str">
            <v>[Input of the project name] / [layihənin adının daxil edilməsi]</v>
          </cell>
          <cell r="D64" t="str">
            <v xml:space="preserve">[input: brief description of the project, including: / layihənin qısa təsvirinin daxil edilməsi, o cümlədən:
Description of assets / Aktivlərin təsviri,
</v>
          </cell>
          <cell r="E64" t="str">
            <v>thsd / min USD</v>
          </cell>
          <cell r="Y64">
            <v>0</v>
          </cell>
        </row>
        <row r="65">
          <cell r="B65" t="str">
            <v>Upstream / Hasilat</v>
          </cell>
          <cell r="C65" t="str">
            <v>Other projects</v>
          </cell>
          <cell r="D65" t="str">
            <v>Digər layihələr</v>
          </cell>
          <cell r="E65" t="str">
            <v>thsd / min USD</v>
          </cell>
          <cell r="Y65">
            <v>0</v>
          </cell>
        </row>
        <row r="66">
          <cell r="B66" t="str">
            <v>Downstream / Emal</v>
          </cell>
          <cell r="C66" t="str">
            <v>Total</v>
          </cell>
          <cell r="D66" t="str">
            <v>Cəmi</v>
          </cell>
          <cell r="E66" t="str">
            <v>thsd / min USD</v>
          </cell>
          <cell r="L66">
            <v>0</v>
          </cell>
          <cell r="Y66">
            <v>2</v>
          </cell>
        </row>
        <row r="67">
          <cell r="B67" t="str">
            <v>Downstream / Emal</v>
          </cell>
          <cell r="C67" t="str">
            <v xml:space="preserve">Modernization/construction projects </v>
          </cell>
          <cell r="D67" t="str">
            <v>Modernizasiya / tikinti layihələri</v>
          </cell>
          <cell r="E67" t="str">
            <v>thsd / min USD</v>
          </cell>
          <cell r="L67">
            <v>0</v>
          </cell>
          <cell r="Y67">
            <v>1</v>
          </cell>
        </row>
        <row r="68">
          <cell r="B68" t="str">
            <v>Downstream / Emal</v>
          </cell>
          <cell r="C68" t="str">
            <v>[Input of the project name] / [layihənin adının daxil edilməsi]</v>
          </cell>
          <cell r="D68" t="str">
            <v xml:space="preserve">[input: brief description of the project, including: / layihənin qısa təsvirinin daxil edilməsi, o cümlədən:
Description of assets / Aktivlərin təsviri,
</v>
          </cell>
          <cell r="E68" t="str">
            <v>thsd / min USD</v>
          </cell>
          <cell r="Y68">
            <v>0</v>
          </cell>
        </row>
        <row r="69">
          <cell r="B69" t="str">
            <v>Downstream / Emal</v>
          </cell>
          <cell r="C69" t="str">
            <v>[Input of the project name] / [layihənin adının daxil edilməsi]</v>
          </cell>
          <cell r="D69" t="str">
            <v xml:space="preserve">[input: brief description of the project, including: / layihənin qısa təsvirinin daxil edilməsi, o cümlədən:
Description of assets / Aktivlərin təsviri,
</v>
          </cell>
          <cell r="E69" t="str">
            <v>thsd / min USD</v>
          </cell>
          <cell r="Y69">
            <v>0</v>
          </cell>
        </row>
        <row r="70">
          <cell r="B70" t="str">
            <v>Downstream / Emal</v>
          </cell>
          <cell r="C70" t="str">
            <v>[Input of the project name] / [layihənin adının daxil edilməsi]</v>
          </cell>
          <cell r="D70" t="str">
            <v xml:space="preserve">[input: brief description of the project, including: / layihənin qısa təsvirinin daxil edilməsi, o cümlədən:
Description of assets / Aktivlərin təsviri,
</v>
          </cell>
          <cell r="E70" t="str">
            <v>thsd / min USD</v>
          </cell>
          <cell r="Y70">
            <v>0</v>
          </cell>
        </row>
        <row r="71">
          <cell r="B71" t="str">
            <v>Downstream / Emal</v>
          </cell>
          <cell r="C71" t="str">
            <v>[Input of the project name] / [layihənin adının daxil edilməsi]</v>
          </cell>
          <cell r="D71" t="str">
            <v xml:space="preserve">[input: brief description of the project, including: / layihənin qısa təsvirinin daxil edilməsi, o cümlədən:
Description of assets / Aktivlərin təsviri,
</v>
          </cell>
          <cell r="E71" t="str">
            <v>thsd / min USD</v>
          </cell>
          <cell r="Y71">
            <v>0</v>
          </cell>
        </row>
        <row r="72">
          <cell r="B72" t="str">
            <v>Downstream / Emal</v>
          </cell>
          <cell r="C72" t="str">
            <v>[Input of the project name] / [layihənin adının daxil edilməsi]</v>
          </cell>
          <cell r="D72" t="str">
            <v xml:space="preserve">[input: brief description of the project, including: / layihənin qısa təsvirinin daxil edilməsi, o cümlədən:
Description of assets / Aktivlərin təsviri,
</v>
          </cell>
          <cell r="E72" t="str">
            <v>thsd / min USD</v>
          </cell>
          <cell r="Y72">
            <v>0</v>
          </cell>
        </row>
        <row r="73">
          <cell r="B73" t="str">
            <v>Downstream / Emal</v>
          </cell>
          <cell r="C73" t="str">
            <v>[Input of the project name] / [layihənin adının daxil edilməsi]</v>
          </cell>
          <cell r="D73" t="str">
            <v xml:space="preserve">[input: brief description of the project, including: / layihənin qısa təsvirinin daxil edilməsi, o cümlədən:
Description of assets / Aktivlərin təsviri,
</v>
          </cell>
          <cell r="E73" t="str">
            <v>thsd / min USD</v>
          </cell>
          <cell r="Y73">
            <v>0</v>
          </cell>
        </row>
        <row r="74">
          <cell r="B74" t="str">
            <v>Downstream / Emal</v>
          </cell>
          <cell r="C74" t="str">
            <v>[Input of the project name] / [layihənin adının daxil edilməsi]</v>
          </cell>
          <cell r="D74" t="str">
            <v xml:space="preserve">[input: brief description of the project, including: / layihənin qısa təsvirinin daxil edilməsi, o cümlədən:
Description of assets / Aktivlərin təsviri,
</v>
          </cell>
          <cell r="E74" t="str">
            <v>thsd / min USD</v>
          </cell>
          <cell r="Y74">
            <v>0</v>
          </cell>
        </row>
        <row r="75">
          <cell r="B75" t="str">
            <v>Downstream / Emal</v>
          </cell>
          <cell r="C75" t="str">
            <v>[Input of the project name] / [layihənin adının daxil edilməsi]</v>
          </cell>
          <cell r="D75" t="str">
            <v xml:space="preserve">[input: brief description of the project, including: / layihənin qısa təsvirinin daxil edilməsi, o cümlədən:
Description of assets / Aktivlərin təsviri,
</v>
          </cell>
          <cell r="E75" t="str">
            <v>thsd / min USD</v>
          </cell>
          <cell r="Y75">
            <v>0</v>
          </cell>
        </row>
        <row r="76">
          <cell r="B76" t="str">
            <v>Downstream / Emal</v>
          </cell>
          <cell r="C76" t="str">
            <v>[Input of the project name] / [layihənin adının daxil edilməsi]</v>
          </cell>
          <cell r="D76" t="str">
            <v xml:space="preserve">[input: brief description of the project, including: / layihənin qısa təsvirinin daxil edilməsi, o cümlədən:
Description of assets / Aktivlərin təsviri,
</v>
          </cell>
          <cell r="E76" t="str">
            <v>thsd / min USD</v>
          </cell>
          <cell r="Y76">
            <v>0</v>
          </cell>
        </row>
        <row r="77">
          <cell r="B77" t="str">
            <v>Downstream / Emal</v>
          </cell>
          <cell r="C77" t="str">
            <v>[Input of the project name] / [layihənin adının daxil edilməsi]</v>
          </cell>
          <cell r="D77" t="str">
            <v xml:space="preserve">[input: brief description of the project, including: / layihənin qısa təsvirinin daxil edilməsi, o cümlədən:
Description of assets / Aktivlərin təsviri,
</v>
          </cell>
          <cell r="E77" t="str">
            <v>thsd / min USD</v>
          </cell>
          <cell r="Y77">
            <v>0</v>
          </cell>
        </row>
        <row r="78">
          <cell r="B78" t="str">
            <v>Downstream / Emal</v>
          </cell>
          <cell r="C78" t="str">
            <v>[Input of the project name] / [layihənin adının daxil edilməsi]</v>
          </cell>
          <cell r="D78" t="str">
            <v xml:space="preserve">[input: brief description of the project, including: / layihənin qısa təsvirinin daxil edilməsi, o cümlədən:
Description of assets / Aktivlərin təsviri,
</v>
          </cell>
          <cell r="E78" t="str">
            <v>thsd / min USD</v>
          </cell>
          <cell r="Y78">
            <v>0</v>
          </cell>
        </row>
        <row r="79">
          <cell r="B79" t="str">
            <v>Downstream / Emal</v>
          </cell>
          <cell r="C79" t="str">
            <v>[Input of the project name] / [layihənin adının daxil edilməsi]</v>
          </cell>
          <cell r="D79" t="str">
            <v xml:space="preserve">[input: brief description of the project, including: / layihənin qısa təsvirinin daxil edilməsi, o cümlədən:
Description of assets / Aktivlərin təsviri,
</v>
          </cell>
          <cell r="E79" t="str">
            <v>thsd / min USD</v>
          </cell>
          <cell r="Y79">
            <v>0</v>
          </cell>
        </row>
        <row r="80">
          <cell r="B80" t="str">
            <v>Downstream / Emal</v>
          </cell>
          <cell r="C80" t="str">
            <v>[Input of the project name] / [layihənin adının daxil edilməsi]</v>
          </cell>
          <cell r="D80" t="str">
            <v xml:space="preserve">[input: brief description of the project, including: / layihənin qısa təsvirinin daxil edilməsi, o cümlədən:
Description of assets / Aktivlərin təsviri,
</v>
          </cell>
          <cell r="E80" t="str">
            <v>thsd / min USD</v>
          </cell>
          <cell r="Y80">
            <v>0</v>
          </cell>
        </row>
        <row r="81">
          <cell r="B81" t="str">
            <v>Downstream / Emal</v>
          </cell>
          <cell r="C81" t="str">
            <v>[Input of the project name] / [layihənin adının daxil edilməsi]</v>
          </cell>
          <cell r="D81" t="str">
            <v xml:space="preserve">[input: brief description of the project, including: / layihənin qısa təsvirinin daxil edilməsi, o cümlədən:
Description of assets / Aktivlərin təsviri,
</v>
          </cell>
          <cell r="E81" t="str">
            <v>thsd / min USD</v>
          </cell>
          <cell r="Y81">
            <v>0</v>
          </cell>
        </row>
        <row r="82">
          <cell r="B82" t="str">
            <v>Downstream / Emal</v>
          </cell>
          <cell r="C82" t="str">
            <v>[Input of the project name] / [layihənin adının daxil edilməsi]</v>
          </cell>
          <cell r="D82" t="str">
            <v xml:space="preserve">[input: brief description of the project, including: / layihənin qısa təsvirinin daxil edilməsi, o cümlədən:
Description of assets / Aktivlərin təsviri,
</v>
          </cell>
          <cell r="E82" t="str">
            <v>thsd / min USD</v>
          </cell>
          <cell r="Y82">
            <v>0</v>
          </cell>
        </row>
        <row r="83">
          <cell r="B83" t="str">
            <v>Downstream / Emal</v>
          </cell>
          <cell r="C83" t="str">
            <v>[Input of the project name] / [layihənin adının daxil edilməsi]</v>
          </cell>
          <cell r="D83" t="str">
            <v xml:space="preserve">[input: brief description of the project, including: / layihənin qısa təsvirinin daxil edilməsi, o cümlədən:
Description of assets / Aktivlərin təsviri,
</v>
          </cell>
          <cell r="E83" t="str">
            <v>thsd / min USD</v>
          </cell>
          <cell r="Y83">
            <v>0</v>
          </cell>
        </row>
        <row r="84">
          <cell r="B84" t="str">
            <v>Downstream / Emal</v>
          </cell>
          <cell r="C84" t="str">
            <v>[Input of the project name] / [layihənin adının daxil edilməsi]</v>
          </cell>
          <cell r="D84" t="str">
            <v xml:space="preserve">[input: brief description of the project, including: / layihənin qısa təsvirinin daxil edilməsi, o cümlədən:
Description of assets / Aktivlərin təsviri,
</v>
          </cell>
          <cell r="E84" t="str">
            <v>thsd / min USD</v>
          </cell>
          <cell r="Y84">
            <v>0</v>
          </cell>
        </row>
        <row r="85">
          <cell r="B85" t="str">
            <v>Downstream / Emal</v>
          </cell>
          <cell r="C85" t="str">
            <v>[Input of the project name] / [layihənin adının daxil edilməsi]</v>
          </cell>
          <cell r="D85" t="str">
            <v xml:space="preserve">[input: brief description of the project, including: / layihənin qısa təsvirinin daxil edilməsi, o cümlədən:
Description of assets / Aktivlərin təsviri,
</v>
          </cell>
          <cell r="E85" t="str">
            <v>thsd / min USD</v>
          </cell>
          <cell r="Y85">
            <v>0</v>
          </cell>
        </row>
        <row r="86">
          <cell r="B86" t="str">
            <v>Downstream / Emal</v>
          </cell>
          <cell r="C86" t="str">
            <v>[Input of the project name] / [layihənin adının daxil edilməsi]</v>
          </cell>
          <cell r="D86" t="str">
            <v xml:space="preserve">[input: brief description of the project, including: / layihənin qısa təsvirinin daxil edilməsi, o cümlədən:
Description of assets / Aktivlərin təsviri,
</v>
          </cell>
          <cell r="E86" t="str">
            <v>thsd / min USD</v>
          </cell>
          <cell r="Y86">
            <v>0</v>
          </cell>
        </row>
        <row r="87">
          <cell r="B87" t="str">
            <v>Downstream / Emal</v>
          </cell>
          <cell r="C87" t="str">
            <v>[Input of the project name] / [layihənin adının daxil edilməsi]</v>
          </cell>
          <cell r="D87" t="str">
            <v xml:space="preserve">[input: brief description of the project, including: / layihənin qısa təsvirinin daxil edilməsi, o cümlədən:
Description of assets / Aktivlərin təsviri,
</v>
          </cell>
          <cell r="E87" t="str">
            <v>thsd / min USD</v>
          </cell>
          <cell r="Y87">
            <v>0</v>
          </cell>
        </row>
        <row r="88">
          <cell r="B88" t="str">
            <v>Downstream / Emal</v>
          </cell>
          <cell r="C88" t="str">
            <v>[Input of the project name] / [layihənin adının daxil edilməsi]</v>
          </cell>
          <cell r="D88" t="str">
            <v xml:space="preserve">[input: brief description of the project, including: / layihənin qısa təsvirinin daxil edilməsi, o cümlədən:
Description of assets / Aktivlərin təsviri,
</v>
          </cell>
          <cell r="E88" t="str">
            <v>thsd / min USD</v>
          </cell>
          <cell r="Y88">
            <v>0</v>
          </cell>
        </row>
        <row r="89">
          <cell r="B89" t="str">
            <v>Downstream / Emal</v>
          </cell>
          <cell r="C89" t="str">
            <v>[Input of the project name] / [layihənin adının daxil edilməsi]</v>
          </cell>
          <cell r="D89" t="str">
            <v xml:space="preserve">[input: brief description of the project, including: / layihənin qısa təsvirinin daxil edilməsi, o cümlədən:
Description of assets / Aktivlərin təsviri,
</v>
          </cell>
          <cell r="E89" t="str">
            <v>thsd / min USD</v>
          </cell>
          <cell r="Y89">
            <v>0</v>
          </cell>
        </row>
        <row r="90">
          <cell r="B90" t="str">
            <v>Downstream / Emal</v>
          </cell>
          <cell r="C90" t="str">
            <v>[Input of the project name] / [layihənin adının daxil edilməsi]</v>
          </cell>
          <cell r="D90" t="str">
            <v xml:space="preserve">[input: brief description of the project, including: / layihənin qısa təsvirinin daxil edilməsi, o cümlədən:
Description of assets / Aktivlərin təsviri,
</v>
          </cell>
          <cell r="E90" t="str">
            <v>thsd / min USD</v>
          </cell>
          <cell r="Y90">
            <v>0</v>
          </cell>
        </row>
        <row r="91">
          <cell r="B91" t="str">
            <v>Downstream / Emal</v>
          </cell>
          <cell r="C91" t="str">
            <v>[Input of the project name] / [layihənin adının daxil edilməsi]</v>
          </cell>
          <cell r="D91" t="str">
            <v xml:space="preserve">[input: brief description of the project, including: / layihənin qısa təsvirinin daxil edilməsi, o cümlədən:
Description of assets / Aktivlərin təsviri,
</v>
          </cell>
          <cell r="E91" t="str">
            <v>thsd / min USD</v>
          </cell>
          <cell r="Y91">
            <v>0</v>
          </cell>
        </row>
        <row r="92">
          <cell r="B92" t="str">
            <v>Downstream / Emal</v>
          </cell>
          <cell r="C92" t="str">
            <v>[Input of the project name] / [layihənin adının daxil edilməsi]</v>
          </cell>
          <cell r="D92" t="str">
            <v xml:space="preserve">[input: brief description of the project, including: / layihənin qısa təsvirinin daxil edilməsi, o cümlədən:
Description of assets / Aktivlərin təsviri,
</v>
          </cell>
          <cell r="E92" t="str">
            <v>thsd / min USD</v>
          </cell>
          <cell r="Y92">
            <v>0</v>
          </cell>
        </row>
        <row r="93">
          <cell r="B93" t="str">
            <v>Downstream / Emal</v>
          </cell>
          <cell r="C93" t="str">
            <v>[Input of the project name] / [layihənin adının daxil edilməsi]</v>
          </cell>
          <cell r="D93" t="str">
            <v xml:space="preserve">[input: brief description of the project, including: / layihənin qısa təsvirinin daxil edilməsi, o cümlədən:
Description of assets / Aktivlərin təsviri,
</v>
          </cell>
          <cell r="E93" t="str">
            <v>thsd / min USD</v>
          </cell>
          <cell r="Y93">
            <v>0</v>
          </cell>
        </row>
        <row r="94">
          <cell r="B94" t="str">
            <v>Downstream / Emal</v>
          </cell>
          <cell r="C94" t="str">
            <v>[Input of the project name] / [layihənin adının daxil edilməsi]</v>
          </cell>
          <cell r="D94" t="str">
            <v xml:space="preserve">[input: brief description of the project, including: / layihənin qısa təsvirinin daxil edilməsi, o cümlədən:
Description of assets / Aktivlərin təsviri,
</v>
          </cell>
          <cell r="E94" t="str">
            <v>thsd / min USD</v>
          </cell>
          <cell r="Y94">
            <v>0</v>
          </cell>
        </row>
        <row r="95">
          <cell r="B95" t="str">
            <v>Downstream / Emal</v>
          </cell>
          <cell r="C95" t="str">
            <v>[Input of the project name] / [layihənin adının daxil edilməsi]</v>
          </cell>
          <cell r="D95" t="str">
            <v xml:space="preserve">[input: brief description of the project, including: / layihənin qısa təsvirinin daxil edilməsi, o cümlədən:
Description of assets / Aktivlərin təsviri,
</v>
          </cell>
          <cell r="E95" t="str">
            <v>thsd / min USD</v>
          </cell>
          <cell r="Y95">
            <v>0</v>
          </cell>
        </row>
        <row r="96">
          <cell r="B96" t="str">
            <v>Downstream / Emal</v>
          </cell>
          <cell r="C96" t="str">
            <v>[Input of the project name] / [layihənin adının daxil edilməsi]</v>
          </cell>
          <cell r="D96" t="str">
            <v xml:space="preserve">[input: brief description of the project, including: / layihənin qısa təsvirinin daxil edilməsi, o cümlədən:
Description of assets / Aktivlərin təsviri,
</v>
          </cell>
          <cell r="E96" t="str">
            <v>thsd / min USD</v>
          </cell>
          <cell r="Y96">
            <v>0</v>
          </cell>
        </row>
        <row r="97">
          <cell r="B97" t="str">
            <v>Downstream / Emal</v>
          </cell>
          <cell r="C97" t="str">
            <v>[Input of the project name] / [layihənin adının daxil edilməsi]</v>
          </cell>
          <cell r="D97" t="str">
            <v xml:space="preserve">[input: brief description of the project, including: / layihənin qısa təsvirinin daxil edilməsi, o cümlədən:
Description of assets / Aktivlərin təsviri,
</v>
          </cell>
          <cell r="E97" t="str">
            <v>thsd / min USD</v>
          </cell>
          <cell r="Y97">
            <v>0</v>
          </cell>
        </row>
        <row r="98">
          <cell r="B98" t="str">
            <v>Downstream / Emal</v>
          </cell>
          <cell r="C98" t="str">
            <v>[Input of the project name] / [layihənin adının daxil edilməsi]</v>
          </cell>
          <cell r="D98" t="str">
            <v xml:space="preserve">[input: brief description of the project, including: / layihənin qısa təsvirinin daxil edilməsi, o cümlədən:
Description of assets / Aktivlərin təsviri,
</v>
          </cell>
          <cell r="E98" t="str">
            <v>thsd / min USD</v>
          </cell>
          <cell r="Y98">
            <v>0</v>
          </cell>
        </row>
        <row r="99">
          <cell r="B99" t="str">
            <v>Downstream / Emal</v>
          </cell>
          <cell r="C99" t="str">
            <v>Other projects</v>
          </cell>
          <cell r="D99" t="str">
            <v>Digər layihələr</v>
          </cell>
          <cell r="E99" t="str">
            <v>thsd / min USD</v>
          </cell>
          <cell r="Y99">
            <v>0</v>
          </cell>
        </row>
        <row r="100">
          <cell r="B100" t="str">
            <v>Downstream / Emal</v>
          </cell>
          <cell r="C100" t="str">
            <v>Petrochemical projects</v>
          </cell>
          <cell r="D100" t="str">
            <v>Neft-kimya layihələri</v>
          </cell>
          <cell r="E100" t="str">
            <v>thsd / min USD</v>
          </cell>
          <cell r="L100">
            <v>0</v>
          </cell>
          <cell r="Y100">
            <v>1</v>
          </cell>
        </row>
        <row r="101">
          <cell r="B101" t="str">
            <v>Downstream / Emal</v>
          </cell>
          <cell r="C101" t="str">
            <v>[Input of the project name] / [layihənin adının daxil edilməsi]</v>
          </cell>
          <cell r="D101" t="str">
            <v xml:space="preserve">[input: brief description of the project, including: / layihənin qısa təsvirinin daxil edilməsi, o cümlədən:
Description of assets / Aktivlərin təsviri,
</v>
          </cell>
          <cell r="E101" t="str">
            <v>thsd / min USD</v>
          </cell>
          <cell r="Y101">
            <v>0</v>
          </cell>
        </row>
        <row r="102">
          <cell r="B102" t="str">
            <v>Downstream / Emal</v>
          </cell>
          <cell r="C102" t="str">
            <v>[Input of the project name] / [layihənin adının daxil edilməsi]</v>
          </cell>
          <cell r="D102" t="str">
            <v xml:space="preserve">[input: brief description of the project, including: / layihənin qısa təsvirinin daxil edilməsi, o cümlədən:
Description of assets / Aktivlərin təsviri,
</v>
          </cell>
          <cell r="E102" t="str">
            <v>thsd / min USD</v>
          </cell>
          <cell r="Y102">
            <v>0</v>
          </cell>
        </row>
        <row r="103">
          <cell r="B103" t="str">
            <v>Downstream / Emal</v>
          </cell>
          <cell r="C103" t="str">
            <v>[Input of the project name] / [layihənin adının daxil edilməsi]</v>
          </cell>
          <cell r="D103" t="str">
            <v xml:space="preserve">[input: brief description of the project, including: / layihənin qısa təsvirinin daxil edilməsi, o cümlədən:
Description of assets / Aktivlərin təsviri,
</v>
          </cell>
          <cell r="E103" t="str">
            <v>thsd / min USD</v>
          </cell>
          <cell r="Y103">
            <v>0</v>
          </cell>
        </row>
        <row r="104">
          <cell r="B104" t="str">
            <v>Downstream / Emal</v>
          </cell>
          <cell r="C104" t="str">
            <v>[Input of the project name] / [layihənin adının daxil edilməsi]</v>
          </cell>
          <cell r="D104" t="str">
            <v xml:space="preserve">[input: brief description of the project, including: / layihənin qısa təsvirinin daxil edilməsi, o cümlədən:
Description of assets / Aktivlərin təsviri,
</v>
          </cell>
          <cell r="E104" t="str">
            <v>thsd / min USD</v>
          </cell>
          <cell r="Y104">
            <v>0</v>
          </cell>
        </row>
        <row r="105">
          <cell r="B105" t="str">
            <v>Downstream / Emal</v>
          </cell>
          <cell r="C105" t="str">
            <v>[Input of the project name] / [layihənin adının daxil edilməsi]</v>
          </cell>
          <cell r="D105" t="str">
            <v xml:space="preserve">[input: brief description of the project, including: / layihənin qısa təsvirinin daxil edilməsi, o cümlədən:
Description of assets / Aktivlərin təsviri,
</v>
          </cell>
          <cell r="E105" t="str">
            <v>thsd / min USD</v>
          </cell>
          <cell r="Y105">
            <v>0</v>
          </cell>
        </row>
        <row r="106">
          <cell r="B106" t="str">
            <v>Downstream / Emal</v>
          </cell>
          <cell r="C106" t="str">
            <v>[Input of the project name] / [layihənin adının daxil edilməsi]</v>
          </cell>
          <cell r="D106" t="str">
            <v xml:space="preserve">[input: brief description of the project, including: / layihənin qısa təsvirinin daxil edilməsi, o cümlədən:
Description of assets / Aktivlərin təsviri,
</v>
          </cell>
          <cell r="E106" t="str">
            <v>thsd / min USD</v>
          </cell>
          <cell r="Y106">
            <v>0</v>
          </cell>
        </row>
        <row r="107">
          <cell r="B107" t="str">
            <v>Downstream / Emal</v>
          </cell>
          <cell r="C107" t="str">
            <v>[Input of the project name] / [layihənin adının daxil edilməsi]</v>
          </cell>
          <cell r="D107" t="str">
            <v xml:space="preserve">[input: brief description of the project, including: / layihənin qısa təsvirinin daxil edilməsi, o cümlədən:
Description of assets / Aktivlərin təsviri,
</v>
          </cell>
          <cell r="E107" t="str">
            <v>thsd / min USD</v>
          </cell>
          <cell r="Y107">
            <v>0</v>
          </cell>
        </row>
        <row r="108">
          <cell r="B108" t="str">
            <v>Downstream / Emal</v>
          </cell>
          <cell r="C108" t="str">
            <v>[Input of the project name] / [layihənin adının daxil edilməsi]</v>
          </cell>
          <cell r="D108" t="str">
            <v xml:space="preserve">[input: brief description of the project, including: / layihənin qısa təsvirinin daxil edilməsi, o cümlədən:
Description of assets / Aktivlərin təsviri,
</v>
          </cell>
          <cell r="E108" t="str">
            <v>thsd / min USD</v>
          </cell>
          <cell r="Y108">
            <v>0</v>
          </cell>
        </row>
        <row r="109">
          <cell r="B109" t="str">
            <v>Downstream / Emal</v>
          </cell>
          <cell r="C109" t="str">
            <v>Other projects</v>
          </cell>
          <cell r="D109" t="str">
            <v>Digər layihələr</v>
          </cell>
          <cell r="E109" t="str">
            <v>thsd / min USD</v>
          </cell>
          <cell r="Y109">
            <v>0</v>
          </cell>
        </row>
        <row r="110">
          <cell r="B110" t="str">
            <v>Downstream / Emal</v>
          </cell>
          <cell r="C110" t="str">
            <v xml:space="preserve">Gas products projects </v>
          </cell>
          <cell r="D110" t="str">
            <v>Qaz məhsulları layihələri</v>
          </cell>
          <cell r="E110" t="str">
            <v>thsd / min USD</v>
          </cell>
          <cell r="L110">
            <v>0</v>
          </cell>
          <cell r="Y110">
            <v>1</v>
          </cell>
        </row>
        <row r="111">
          <cell r="B111" t="str">
            <v>Downstream / Emal</v>
          </cell>
          <cell r="C111" t="str">
            <v>[Input of the project name] / [layihənin adının daxil edilməsi]</v>
          </cell>
          <cell r="D111" t="str">
            <v xml:space="preserve">[input: brief description of the project, including: / layihənin qısa təsvirinin daxil edilməsi, o cümlədən:
Description of assets / Aktivlərin təsviri,
</v>
          </cell>
          <cell r="E111" t="str">
            <v>thsd / min USD</v>
          </cell>
          <cell r="Y111">
            <v>0</v>
          </cell>
        </row>
        <row r="112">
          <cell r="B112" t="str">
            <v>Downstream / Emal</v>
          </cell>
          <cell r="C112" t="str">
            <v>[Input of the project name] / [layihənin adının daxil edilməsi]</v>
          </cell>
          <cell r="D112" t="str">
            <v xml:space="preserve">[input: brief description of the project, including: / layihənin qısa təsvirinin daxil edilməsi, o cümlədən:
Description of assets / Aktivlərin təsviri,
</v>
          </cell>
          <cell r="E112" t="str">
            <v>thsd / min USD</v>
          </cell>
          <cell r="Y112">
            <v>0</v>
          </cell>
        </row>
        <row r="113">
          <cell r="B113" t="str">
            <v>Downstream / Emal</v>
          </cell>
          <cell r="C113" t="str">
            <v>[Input of the project name] / [layihənin adının daxil edilməsi]</v>
          </cell>
          <cell r="D113" t="str">
            <v xml:space="preserve">[input: brief description of the project, including: / layihənin qısa təsvirinin daxil edilməsi, o cümlədən:
Description of assets / Aktivlərin təsviri,
</v>
          </cell>
          <cell r="E113" t="str">
            <v>thsd / min USD</v>
          </cell>
          <cell r="Y113">
            <v>0</v>
          </cell>
        </row>
        <row r="114">
          <cell r="B114" t="str">
            <v>Downstream / Emal</v>
          </cell>
          <cell r="C114" t="str">
            <v>[Input of the project name] / [layihənin adının daxil edilməsi]</v>
          </cell>
          <cell r="D114" t="str">
            <v xml:space="preserve">[input: brief description of the project, including: / layihənin qısa təsvirinin daxil edilməsi, o cümlədən:
Description of assets / Aktivlərin təsviri,
</v>
          </cell>
          <cell r="E114" t="str">
            <v>thsd / min USD</v>
          </cell>
          <cell r="Y114">
            <v>0</v>
          </cell>
        </row>
        <row r="115">
          <cell r="B115" t="str">
            <v>Downstream / Emal</v>
          </cell>
          <cell r="C115" t="str">
            <v>[Input of the project name] / [layihənin adının daxil edilməsi]</v>
          </cell>
          <cell r="D115" t="str">
            <v xml:space="preserve">[input: brief description of the project, including: / layihənin qısa təsvirinin daxil edilməsi, o cümlədən:
Description of assets / Aktivlərin təsviri,
</v>
          </cell>
          <cell r="E115" t="str">
            <v>thsd / min USD</v>
          </cell>
          <cell r="Y115">
            <v>0</v>
          </cell>
        </row>
        <row r="116">
          <cell r="B116" t="str">
            <v>Downstream / Emal</v>
          </cell>
          <cell r="C116" t="str">
            <v>[Input of the project name] / [layihənin adının daxil edilməsi]</v>
          </cell>
          <cell r="D116" t="str">
            <v xml:space="preserve">[input: brief description of the project, including: / layihənin qısa təsvirinin daxil edilməsi, o cümlədən:
Description of assets / Aktivlərin təsviri,
</v>
          </cell>
          <cell r="E116" t="str">
            <v>thsd / min USD</v>
          </cell>
          <cell r="Y116">
            <v>0</v>
          </cell>
        </row>
        <row r="117">
          <cell r="B117" t="str">
            <v>Downstream / Emal</v>
          </cell>
          <cell r="C117" t="str">
            <v>[Input of the project name] / [layihənin adının daxil edilməsi]</v>
          </cell>
          <cell r="D117" t="str">
            <v xml:space="preserve">[input: brief description of the project, including: / layihənin qısa təsvirinin daxil edilməsi, o cümlədən:
Description of assets / Aktivlərin təsviri,
</v>
          </cell>
          <cell r="E117" t="str">
            <v>thsd / min USD</v>
          </cell>
          <cell r="Y117">
            <v>0</v>
          </cell>
        </row>
        <row r="118">
          <cell r="B118" t="str">
            <v>Downstream / Emal</v>
          </cell>
          <cell r="C118" t="str">
            <v>[Input of the project name] / [layihənin adının daxil edilməsi]</v>
          </cell>
          <cell r="D118" t="str">
            <v xml:space="preserve">[input: brief description of the project, including: / layihənin qısa təsvirinin daxil edilməsi, o cümlədən:
Description of assets / Aktivlərin təsviri,
</v>
          </cell>
          <cell r="E118" t="str">
            <v>thsd / min USD</v>
          </cell>
          <cell r="Y118">
            <v>0</v>
          </cell>
        </row>
        <row r="119">
          <cell r="B119" t="str">
            <v>Downstream / Emal</v>
          </cell>
          <cell r="C119" t="str">
            <v>[Input of the project name] / [layihənin adının daxil edilməsi]</v>
          </cell>
          <cell r="D119" t="str">
            <v xml:space="preserve">[input: brief description of the project, including: / layihənin qısa təsvirinin daxil edilməsi, o cümlədən:
Description of assets / Aktivlərin təsviri,
</v>
          </cell>
          <cell r="E119" t="str">
            <v>thsd / min USD</v>
          </cell>
          <cell r="Y119">
            <v>0</v>
          </cell>
        </row>
        <row r="120">
          <cell r="B120" t="str">
            <v>Downstream / Emal</v>
          </cell>
          <cell r="C120" t="str">
            <v>[Input of the project name] / [layihənin adının daxil edilməsi]</v>
          </cell>
          <cell r="D120" t="str">
            <v xml:space="preserve">[input: brief description of the project, including: / layihənin qısa təsvirinin daxil edilməsi, o cümlədən:
Description of assets / Aktivlərin təsviri,
</v>
          </cell>
          <cell r="E120" t="str">
            <v>thsd / min USD</v>
          </cell>
          <cell r="Y120">
            <v>0</v>
          </cell>
        </row>
        <row r="121">
          <cell r="B121" t="str">
            <v>Downstream / Emal</v>
          </cell>
          <cell r="C121" t="str">
            <v>[Input of the project name] / [layihənin adının daxil edilməsi]</v>
          </cell>
          <cell r="D121" t="str">
            <v xml:space="preserve">[input: brief description of the project, including: / layihənin qısa təsvirinin daxil edilməsi, o cümlədən:
Description of assets / Aktivlərin təsviri,
</v>
          </cell>
          <cell r="E121" t="str">
            <v>thsd / min USD</v>
          </cell>
          <cell r="Y121">
            <v>0</v>
          </cell>
        </row>
        <row r="122">
          <cell r="B122" t="str">
            <v>Downstream / Emal</v>
          </cell>
          <cell r="C122" t="str">
            <v>[Input of the project name] / [layihənin adının daxil edilməsi]</v>
          </cell>
          <cell r="D122" t="str">
            <v xml:space="preserve">[input: brief description of the project, including: / layihənin qısa təsvirinin daxil edilməsi, o cümlədən:
Description of assets / Aktivlərin təsviri,
</v>
          </cell>
          <cell r="E122" t="str">
            <v>thsd / min USD</v>
          </cell>
          <cell r="Y122">
            <v>0</v>
          </cell>
        </row>
        <row r="123">
          <cell r="B123" t="str">
            <v>Downstream / Emal</v>
          </cell>
          <cell r="C123" t="str">
            <v>[Input of the project name] / [layihənin adının daxil edilməsi]</v>
          </cell>
          <cell r="D123" t="str">
            <v xml:space="preserve">[input: brief description of the project, including: / layihənin qısa təsvirinin daxil edilməsi, o cümlədən:
Description of assets / Aktivlərin təsviri,
</v>
          </cell>
          <cell r="E123" t="str">
            <v>thsd / min USD</v>
          </cell>
          <cell r="Y123">
            <v>0</v>
          </cell>
        </row>
        <row r="124">
          <cell r="B124" t="str">
            <v>Downstream / Emal</v>
          </cell>
          <cell r="C124" t="str">
            <v>[Input of the project name] / [layihənin adının daxil edilməsi]</v>
          </cell>
          <cell r="D124" t="str">
            <v xml:space="preserve">[input: brief description of the project, including: / layihənin qısa təsvirinin daxil edilməsi, o cümlədən:
Description of assets / Aktivlərin təsviri,
</v>
          </cell>
          <cell r="E124" t="str">
            <v>thsd / min USD</v>
          </cell>
          <cell r="Y124">
            <v>0</v>
          </cell>
        </row>
        <row r="125">
          <cell r="B125" t="str">
            <v>Downstream / Emal</v>
          </cell>
          <cell r="C125" t="str">
            <v>[Input of the project name] / [layihənin adının daxil edilməsi]</v>
          </cell>
          <cell r="D125" t="str">
            <v xml:space="preserve">[input: brief description of the project, including: / layihənin qısa təsvirinin daxil edilməsi, o cümlədən:
Description of assets / Aktivlərin təsviri,
</v>
          </cell>
          <cell r="E125" t="str">
            <v>thsd / min USD</v>
          </cell>
          <cell r="Y125">
            <v>0</v>
          </cell>
        </row>
        <row r="126">
          <cell r="B126" t="str">
            <v>Downstream / Emal</v>
          </cell>
          <cell r="C126" t="str">
            <v>[Input of the project name] / [layihənin adının daxil edilməsi]</v>
          </cell>
          <cell r="D126" t="str">
            <v xml:space="preserve">[input: brief description of the project, including: / layihənin qısa təsvirinin daxil edilməsi, o cümlədən:
Description of assets / Aktivlərin təsviri,
</v>
          </cell>
          <cell r="E126" t="str">
            <v>thsd / min USD</v>
          </cell>
          <cell r="Y126">
            <v>0</v>
          </cell>
        </row>
        <row r="127">
          <cell r="B127" t="str">
            <v>Downstream / Emal</v>
          </cell>
          <cell r="C127" t="str">
            <v>[Input of the project name] / [layihənin adının daxil edilməsi]</v>
          </cell>
          <cell r="D127" t="str">
            <v xml:space="preserve">[input: brief description of the project, including: / layihənin qısa təsvirinin daxil edilməsi, o cümlədən:
Description of assets / Aktivlərin təsviri,
</v>
          </cell>
          <cell r="E127" t="str">
            <v>thsd / min USD</v>
          </cell>
          <cell r="Y127">
            <v>0</v>
          </cell>
        </row>
        <row r="128">
          <cell r="B128" t="str">
            <v>Downstream / Emal</v>
          </cell>
          <cell r="C128" t="str">
            <v>[Input of the project name] / [layihənin adının daxil edilməsi]</v>
          </cell>
          <cell r="D128" t="str">
            <v xml:space="preserve">[input: brief description of the project, including: / layihənin qısa təsvirinin daxil edilməsi, o cümlədən:
Description of assets / Aktivlərin təsviri,
</v>
          </cell>
          <cell r="E128" t="str">
            <v>thsd / min USD</v>
          </cell>
          <cell r="Y128">
            <v>0</v>
          </cell>
        </row>
        <row r="129">
          <cell r="B129" t="str">
            <v>Downstream / Emal</v>
          </cell>
          <cell r="C129" t="str">
            <v>[Input of the project name] / [layihənin adının daxil edilməsi]</v>
          </cell>
          <cell r="D129" t="str">
            <v xml:space="preserve">[input: brief description of the project, including: / layihənin qısa təsvirinin daxil edilməsi, o cümlədən:
Description of assets / Aktivlərin təsviri,
</v>
          </cell>
          <cell r="E129" t="str">
            <v>thsd / min USD</v>
          </cell>
          <cell r="Y129">
            <v>0</v>
          </cell>
        </row>
        <row r="130">
          <cell r="B130" t="str">
            <v>Downstream / Emal</v>
          </cell>
          <cell r="C130" t="str">
            <v>[Input of the project name] / [layihənin adının daxil edilməsi]</v>
          </cell>
          <cell r="D130" t="str">
            <v xml:space="preserve">[input: brief description of the project, including: / layihənin qısa təsvirinin daxil edilməsi, o cümlədən:
Description of assets / Aktivlərin təsviri,
</v>
          </cell>
          <cell r="E130" t="str">
            <v>thsd / min USD</v>
          </cell>
          <cell r="Y130">
            <v>0</v>
          </cell>
        </row>
        <row r="131">
          <cell r="B131" t="str">
            <v>Downstream / Emal</v>
          </cell>
          <cell r="C131" t="str">
            <v>[Input of the project name] / [layihənin adının daxil edilməsi]</v>
          </cell>
          <cell r="D131" t="str">
            <v xml:space="preserve">[input: brief description of the project, including: / layihənin qısa təsvirinin daxil edilməsi, o cümlədən:
Description of assets / Aktivlərin təsviri,
</v>
          </cell>
          <cell r="E131" t="str">
            <v>thsd / min USD</v>
          </cell>
          <cell r="Y131">
            <v>0</v>
          </cell>
        </row>
        <row r="132">
          <cell r="B132" t="str">
            <v>Downstream / Emal</v>
          </cell>
          <cell r="C132" t="str">
            <v>[Input of the project name] / [layihənin adının daxil edilməsi]</v>
          </cell>
          <cell r="D132" t="str">
            <v xml:space="preserve">[input: brief description of the project, including: / layihənin qısa təsvirinin daxil edilməsi, o cümlədən:
Description of assets / Aktivlərin təsviri,
</v>
          </cell>
          <cell r="E132" t="str">
            <v>thsd / min USD</v>
          </cell>
          <cell r="Y132">
            <v>0</v>
          </cell>
        </row>
        <row r="133">
          <cell r="B133" t="str">
            <v>Downstream / Emal</v>
          </cell>
          <cell r="C133" t="str">
            <v>[Input of the project name] / [layihənin adının daxil edilməsi]</v>
          </cell>
          <cell r="D133" t="str">
            <v xml:space="preserve">[input: brief description of the project, including: / layihənin qısa təsvirinin daxil edilməsi, o cümlədən:
Description of assets / Aktivlərin təsviri,
</v>
          </cell>
          <cell r="E133" t="str">
            <v>thsd / min USD</v>
          </cell>
          <cell r="Y133">
            <v>0</v>
          </cell>
        </row>
        <row r="134">
          <cell r="B134" t="str">
            <v>Downstream / Emal</v>
          </cell>
          <cell r="C134" t="str">
            <v>[Input of the project name] / [layihənin adının daxil edilməsi]</v>
          </cell>
          <cell r="D134" t="str">
            <v xml:space="preserve">[input: brief description of the project, including: / layihənin qısa təsvirinin daxil edilməsi, o cümlədən:
Description of assets / Aktivlərin təsviri,
</v>
          </cell>
          <cell r="E134" t="str">
            <v>thsd / min USD</v>
          </cell>
          <cell r="Y134">
            <v>0</v>
          </cell>
        </row>
        <row r="135">
          <cell r="B135" t="str">
            <v>Downstream / Emal</v>
          </cell>
          <cell r="C135" t="str">
            <v>[Input of the project name] / [layihənin adının daxil edilməsi]</v>
          </cell>
          <cell r="D135" t="str">
            <v xml:space="preserve">[input: brief description of the project, including: / layihənin qısa təsvirinin daxil edilməsi, o cümlədən:
Description of assets / Aktivlərin təsviri,
</v>
          </cell>
          <cell r="E135" t="str">
            <v>thsd / min USD</v>
          </cell>
          <cell r="Y135">
            <v>0</v>
          </cell>
        </row>
        <row r="136">
          <cell r="B136" t="str">
            <v>Downstream / Emal</v>
          </cell>
          <cell r="C136" t="str">
            <v>[Input of the project name] / [layihənin adının daxil edilməsi]</v>
          </cell>
          <cell r="D136" t="str">
            <v xml:space="preserve">[input: brief description of the project, including: / layihənin qısa təsvirinin daxil edilməsi, o cümlədən:
Description of assets / Aktivlərin təsviri,
</v>
          </cell>
          <cell r="E136" t="str">
            <v>thsd / min USD</v>
          </cell>
          <cell r="Y136">
            <v>0</v>
          </cell>
        </row>
        <row r="137">
          <cell r="B137" t="str">
            <v>Downstream / Emal</v>
          </cell>
          <cell r="C137" t="str">
            <v>[Input of the project name] / [layihənin adının daxil edilməsi]</v>
          </cell>
          <cell r="D137" t="str">
            <v xml:space="preserve">[input: brief description of the project, including: / layihənin qısa təsvirinin daxil edilməsi, o cümlədən:
Description of assets / Aktivlərin təsviri,
</v>
          </cell>
          <cell r="E137" t="str">
            <v>thsd / min USD</v>
          </cell>
          <cell r="Y137">
            <v>0</v>
          </cell>
        </row>
        <row r="138">
          <cell r="B138" t="str">
            <v>Downstream / Emal</v>
          </cell>
          <cell r="C138" t="str">
            <v>[Input of the project name] / [layihənin adının daxil edilməsi]</v>
          </cell>
          <cell r="D138" t="str">
            <v xml:space="preserve">[input: brief description of the project, including: / layihənin qısa təsvirinin daxil edilməsi, o cümlədən:
Description of assets / Aktivlərin təsviri,
</v>
          </cell>
          <cell r="E138" t="str">
            <v>thsd / min USD</v>
          </cell>
          <cell r="Y138">
            <v>0</v>
          </cell>
        </row>
        <row r="139">
          <cell r="B139" t="str">
            <v>Downstream / Emal</v>
          </cell>
          <cell r="C139" t="str">
            <v>[Input of the project name] / [layihənin adının daxil edilməsi]</v>
          </cell>
          <cell r="D139" t="str">
            <v xml:space="preserve">[input: brief description of the project, including: / layihənin qısa təsvirinin daxil edilməsi, o cümlədən:
Description of assets / Aktivlərin təsviri,
</v>
          </cell>
          <cell r="E139" t="str">
            <v>thsd / min USD</v>
          </cell>
          <cell r="Y139">
            <v>0</v>
          </cell>
        </row>
        <row r="140">
          <cell r="B140" t="str">
            <v>Downstream / Emal</v>
          </cell>
          <cell r="C140" t="str">
            <v>[Input of the project name] / [layihənin adının daxil edilməsi]</v>
          </cell>
          <cell r="D140" t="str">
            <v xml:space="preserve">[input: brief description of the project, including: / layihənin qısa təsvirinin daxil edilməsi, o cümlədən:
Description of assets / Aktivlərin təsviri,
</v>
          </cell>
          <cell r="E140" t="str">
            <v>thsd / min USD</v>
          </cell>
          <cell r="Y140">
            <v>0</v>
          </cell>
        </row>
        <row r="141">
          <cell r="B141" t="str">
            <v>Downstream / Emal</v>
          </cell>
          <cell r="C141" t="str">
            <v>Other projects</v>
          </cell>
          <cell r="D141" t="str">
            <v>Digər layihələr</v>
          </cell>
          <cell r="E141" t="str">
            <v>thsd / min USD</v>
          </cell>
          <cell r="Y141">
            <v>0</v>
          </cell>
        </row>
        <row r="142">
          <cell r="B142" t="str">
            <v>Downstream / Emal</v>
          </cell>
          <cell r="C142" t="str">
            <v xml:space="preserve">Other type of projects </v>
          </cell>
          <cell r="D142" t="str">
            <v>Digər növ layihələr</v>
          </cell>
          <cell r="E142" t="str">
            <v>thsd / min USD</v>
          </cell>
          <cell r="L142">
            <v>0</v>
          </cell>
          <cell r="Y142">
            <v>1</v>
          </cell>
        </row>
        <row r="143">
          <cell r="B143" t="str">
            <v>Downstream / Emal</v>
          </cell>
          <cell r="C143" t="str">
            <v>[Input of the project name] / [layihənin adının daxil edilməsi]</v>
          </cell>
          <cell r="D143" t="str">
            <v xml:space="preserve">[input: brief description of the project, including: / layihənin qısa təsvirinin daxil edilməsi, o cümlədən:
Description of assets / Aktivlərin təsviri,
</v>
          </cell>
          <cell r="E143" t="str">
            <v>thsd / min USD</v>
          </cell>
          <cell r="Y143">
            <v>0</v>
          </cell>
        </row>
        <row r="144">
          <cell r="B144" t="str">
            <v>Downstream / Emal</v>
          </cell>
          <cell r="C144" t="str">
            <v>[Input of the project name] / [layihənin adının daxil edilməsi]</v>
          </cell>
          <cell r="D144" t="str">
            <v xml:space="preserve">[input: brief description of the project, including: / layihənin qısa təsvirinin daxil edilməsi, o cümlədən:
Description of assets / Aktivlərin təsviri,
</v>
          </cell>
          <cell r="E144" t="str">
            <v>thsd / min USD</v>
          </cell>
          <cell r="Y144">
            <v>0</v>
          </cell>
        </row>
        <row r="145">
          <cell r="B145" t="str">
            <v>Downstream / Emal</v>
          </cell>
          <cell r="C145" t="str">
            <v>[Input of the project name] / [layihənin adının daxil edilməsi]</v>
          </cell>
          <cell r="D145" t="str">
            <v xml:space="preserve">[input: brief description of the project, including: / layihənin qısa təsvirinin daxil edilməsi, o cümlədən:
Description of assets / Aktivlərin təsviri,
</v>
          </cell>
          <cell r="E145" t="str">
            <v>thsd / min USD</v>
          </cell>
          <cell r="Y145">
            <v>0</v>
          </cell>
        </row>
        <row r="146">
          <cell r="B146" t="str">
            <v>Downstream / Emal</v>
          </cell>
          <cell r="C146" t="str">
            <v>[Input of the project name] / [layihənin adının daxil edilməsi]</v>
          </cell>
          <cell r="D146" t="str">
            <v xml:space="preserve">[input: brief description of the project, including: / layihənin qısa təsvirinin daxil edilməsi, o cümlədən:
Description of assets / Aktivlərin təsviri,
</v>
          </cell>
          <cell r="E146" t="str">
            <v>thsd / min USD</v>
          </cell>
          <cell r="Y146">
            <v>0</v>
          </cell>
        </row>
        <row r="147">
          <cell r="B147" t="str">
            <v>Downstream / Emal</v>
          </cell>
          <cell r="C147" t="str">
            <v>[Input of the project name] / [layihənin adının daxil edilməsi]</v>
          </cell>
          <cell r="D147" t="str">
            <v xml:space="preserve">[input: brief description of the project, including: / layihənin qısa təsvirinin daxil edilməsi, o cümlədən:
Description of assets / Aktivlərin təsviri,
</v>
          </cell>
          <cell r="E147" t="str">
            <v>thsd / min USD</v>
          </cell>
          <cell r="Y147">
            <v>0</v>
          </cell>
        </row>
        <row r="148">
          <cell r="B148" t="str">
            <v>Downstream / Emal</v>
          </cell>
          <cell r="C148" t="str">
            <v>[Input of the project name] / [layihənin adının daxil edilməsi]</v>
          </cell>
          <cell r="D148" t="str">
            <v xml:space="preserve">[input: brief description of the project, including: / layihənin qısa təsvirinin daxil edilməsi, o cümlədən:
Description of assets / Aktivlərin təsviri,
</v>
          </cell>
          <cell r="E148" t="str">
            <v>thsd / min USD</v>
          </cell>
          <cell r="Y148">
            <v>0</v>
          </cell>
        </row>
        <row r="149">
          <cell r="B149" t="str">
            <v>Downstream / Emal</v>
          </cell>
          <cell r="C149" t="str">
            <v>[Input of the project name] / [layihənin adının daxil edilməsi]</v>
          </cell>
          <cell r="D149" t="str">
            <v xml:space="preserve">[input: brief description of the project, including: / layihənin qısa təsvirinin daxil edilməsi, o cümlədən:
Description of assets / Aktivlərin təsviri,
</v>
          </cell>
          <cell r="E149" t="str">
            <v>thsd / min USD</v>
          </cell>
          <cell r="Y149">
            <v>0</v>
          </cell>
        </row>
        <row r="150">
          <cell r="B150" t="str">
            <v>Downstream / Emal</v>
          </cell>
          <cell r="C150" t="str">
            <v>[Input of the project name] / [layihənin adının daxil edilməsi]</v>
          </cell>
          <cell r="D150" t="str">
            <v xml:space="preserve">[input: brief description of the project, including: / layihənin qısa təsvirinin daxil edilməsi, o cümlədən:
Description of assets / Aktivlərin təsviri,
</v>
          </cell>
          <cell r="E150" t="str">
            <v>thsd / min USD</v>
          </cell>
          <cell r="Y150">
            <v>0</v>
          </cell>
        </row>
        <row r="151">
          <cell r="B151" t="str">
            <v>Downstream / Emal</v>
          </cell>
          <cell r="C151" t="str">
            <v>[Input of the project name] / [layihənin adının daxil edilməsi]</v>
          </cell>
          <cell r="D151" t="str">
            <v xml:space="preserve">[input: brief description of the project, including: / layihənin qısa təsvirinin daxil edilməsi, o cümlədən:
Description of assets / Aktivlərin təsviri,
</v>
          </cell>
          <cell r="E151" t="str">
            <v>thsd / min USD</v>
          </cell>
          <cell r="Y151">
            <v>0</v>
          </cell>
        </row>
        <row r="152">
          <cell r="B152" t="str">
            <v>Downstream / Emal</v>
          </cell>
          <cell r="C152" t="str">
            <v>[Input of the project name] / [layihənin adının daxil edilməsi]</v>
          </cell>
          <cell r="D152" t="str">
            <v xml:space="preserve">[input: brief description of the project, including: / layihənin qısa təsvirinin daxil edilməsi, o cümlədən:
Description of assets / Aktivlərin təsviri,
</v>
          </cell>
          <cell r="E152" t="str">
            <v>thsd / min USD</v>
          </cell>
          <cell r="Y152">
            <v>0</v>
          </cell>
        </row>
        <row r="153">
          <cell r="B153" t="str">
            <v>Downstream / Emal</v>
          </cell>
          <cell r="C153" t="str">
            <v>[Input of the project name] / [layihənin adının daxil edilməsi]</v>
          </cell>
          <cell r="D153" t="str">
            <v xml:space="preserve">[input: brief description of the project, including: / layihənin qısa təsvirinin daxil edilməsi, o cümlədən:
Description of assets / Aktivlərin təsviri,
</v>
          </cell>
          <cell r="E153" t="str">
            <v>thsd / min USD</v>
          </cell>
          <cell r="Y153">
            <v>0</v>
          </cell>
        </row>
        <row r="154">
          <cell r="B154" t="str">
            <v>Downstream / Emal</v>
          </cell>
          <cell r="C154" t="str">
            <v>[Input of the project name] / [layihənin adının daxil edilməsi]</v>
          </cell>
          <cell r="D154" t="str">
            <v xml:space="preserve">[input: brief description of the project, including: / layihənin qısa təsvirinin daxil edilməsi, o cümlədən:
Description of assets / Aktivlərin təsviri,
</v>
          </cell>
          <cell r="E154" t="str">
            <v>thsd / min USD</v>
          </cell>
          <cell r="Y154">
            <v>0</v>
          </cell>
        </row>
        <row r="155">
          <cell r="B155" t="str">
            <v>Downstream / Emal</v>
          </cell>
          <cell r="C155" t="str">
            <v>[Input of the project name] / [layihənin adının daxil edilməsi]</v>
          </cell>
          <cell r="D155" t="str">
            <v xml:space="preserve">[input: brief description of the project, including: / layihənin qısa təsvirinin daxil edilməsi, o cümlədən:
Description of assets / Aktivlərin təsviri,
</v>
          </cell>
          <cell r="E155" t="str">
            <v>thsd / min USD</v>
          </cell>
          <cell r="Y155">
            <v>0</v>
          </cell>
        </row>
        <row r="156">
          <cell r="B156" t="str">
            <v>Downstream / Emal</v>
          </cell>
          <cell r="C156" t="str">
            <v>[Input of the project name] / [layihənin adının daxil edilməsi]</v>
          </cell>
          <cell r="D156" t="str">
            <v xml:space="preserve">[input: brief description of the project, including: / layihənin qısa təsvirinin daxil edilməsi, o cümlədən:
Description of assets / Aktivlərin təsviri,
</v>
          </cell>
          <cell r="E156" t="str">
            <v>thsd / min USD</v>
          </cell>
          <cell r="Y156">
            <v>0</v>
          </cell>
        </row>
        <row r="157">
          <cell r="B157" t="str">
            <v>Downstream / Emal</v>
          </cell>
          <cell r="C157" t="str">
            <v>[Input of the project name] / [layihənin adının daxil edilməsi]</v>
          </cell>
          <cell r="D157" t="str">
            <v xml:space="preserve">[input: brief description of the project, including: / layihənin qısa təsvirinin daxil edilməsi, o cümlədən:
Description of assets / Aktivlərin təsviri,
</v>
          </cell>
          <cell r="E157" t="str">
            <v>thsd / min USD</v>
          </cell>
          <cell r="Y157">
            <v>0</v>
          </cell>
        </row>
        <row r="158">
          <cell r="B158" t="str">
            <v>Downstream / Emal</v>
          </cell>
          <cell r="C158" t="str">
            <v>[Input of the project name] / [layihənin adının daxil edilməsi]</v>
          </cell>
          <cell r="D158" t="str">
            <v xml:space="preserve">[input: brief description of the project, including: / layihənin qısa təsvirinin daxil edilməsi, o cümlədən:
Description of assets / Aktivlərin təsviri,
</v>
          </cell>
          <cell r="E158" t="str">
            <v>thsd / min USD</v>
          </cell>
          <cell r="Y158">
            <v>0</v>
          </cell>
        </row>
        <row r="159">
          <cell r="B159" t="str">
            <v>Downstream / Emal</v>
          </cell>
          <cell r="C159" t="str">
            <v>[Input of the project name] / [layihənin adının daxil edilməsi]</v>
          </cell>
          <cell r="D159" t="str">
            <v xml:space="preserve">[input: brief description of the project, including: / layihənin qısa təsvirinin daxil edilməsi, o cümlədən:
Description of assets / Aktivlərin təsviri,
</v>
          </cell>
          <cell r="E159" t="str">
            <v>thsd / min USD</v>
          </cell>
          <cell r="Y159">
            <v>0</v>
          </cell>
        </row>
        <row r="160">
          <cell r="B160" t="str">
            <v>Downstream / Emal</v>
          </cell>
          <cell r="C160" t="str">
            <v>[Input of the project name] / [layihənin adının daxil edilməsi]</v>
          </cell>
          <cell r="D160" t="str">
            <v xml:space="preserve">[input: brief description of the project, including: / layihənin qısa təsvirinin daxil edilməsi, o cümlədən:
Description of assets / Aktivlərin təsviri,
</v>
          </cell>
          <cell r="E160" t="str">
            <v>thsd / min USD</v>
          </cell>
          <cell r="Y160">
            <v>0</v>
          </cell>
        </row>
        <row r="161">
          <cell r="B161" t="str">
            <v>Downstream / Emal</v>
          </cell>
          <cell r="C161" t="str">
            <v>[Input of the project name] / [layihənin adının daxil edilməsi]</v>
          </cell>
          <cell r="D161" t="str">
            <v xml:space="preserve">[input: brief description of the project, including: / layihənin qısa təsvirinin daxil edilməsi, o cümlədən:
Description of assets / Aktivlərin təsviri,
</v>
          </cell>
          <cell r="E161" t="str">
            <v>thsd / min USD</v>
          </cell>
          <cell r="Y161">
            <v>0</v>
          </cell>
        </row>
        <row r="162">
          <cell r="B162" t="str">
            <v>Downstream / Emal</v>
          </cell>
          <cell r="C162" t="str">
            <v>[Input of the project name] / [layihənin adının daxil edilməsi]</v>
          </cell>
          <cell r="D162" t="str">
            <v xml:space="preserve">[input: brief description of the project, including: / layihənin qısa təsvirinin daxil edilməsi, o cümlədən:
Description of assets / Aktivlərin təsviri,
</v>
          </cell>
          <cell r="E162" t="str">
            <v>thsd / min USD</v>
          </cell>
          <cell r="Y162">
            <v>0</v>
          </cell>
        </row>
        <row r="163">
          <cell r="B163" t="str">
            <v>Downstream / Emal</v>
          </cell>
          <cell r="C163" t="str">
            <v>[Input of the project name] / [layihənin adının daxil edilməsi]</v>
          </cell>
          <cell r="D163" t="str">
            <v xml:space="preserve">[input: brief description of the project, including: / layihənin qısa təsvirinin daxil edilməsi, o cümlədən:
Description of assets / Aktivlərin təsviri,
</v>
          </cell>
          <cell r="E163" t="str">
            <v>thsd / min USD</v>
          </cell>
          <cell r="Y163">
            <v>0</v>
          </cell>
        </row>
        <row r="164">
          <cell r="B164" t="str">
            <v>Downstream / Emal</v>
          </cell>
          <cell r="C164" t="str">
            <v>[Input of the project name] / [layihənin adının daxil edilməsi]</v>
          </cell>
          <cell r="D164" t="str">
            <v xml:space="preserve">[input: brief description of the project, including: / layihənin qısa təsvirinin daxil edilməsi, o cümlədən:
Description of assets / Aktivlərin təsviri,
</v>
          </cell>
          <cell r="E164" t="str">
            <v>thsd / min USD</v>
          </cell>
          <cell r="Y164">
            <v>0</v>
          </cell>
        </row>
        <row r="165">
          <cell r="B165" t="str">
            <v>Downstream / Emal</v>
          </cell>
          <cell r="C165" t="str">
            <v>[Input of the project name] / [layihənin adının daxil edilməsi]</v>
          </cell>
          <cell r="D165" t="str">
            <v xml:space="preserve">[input: brief description of the project, including: / layihənin qısa təsvirinin daxil edilməsi, o cümlədən:
Description of assets / Aktivlərin təsviri,
</v>
          </cell>
          <cell r="E165" t="str">
            <v>thsd / min USD</v>
          </cell>
          <cell r="Y165">
            <v>0</v>
          </cell>
        </row>
        <row r="166">
          <cell r="B166" t="str">
            <v>Downstream / Emal</v>
          </cell>
          <cell r="C166" t="str">
            <v>[Input of the project name] / [layihənin adının daxil edilməsi]</v>
          </cell>
          <cell r="D166" t="str">
            <v xml:space="preserve">[input: brief description of the project, including: / layihənin qısa təsvirinin daxil edilməsi, o cümlədən:
Description of assets / Aktivlərin təsviri,
</v>
          </cell>
          <cell r="E166" t="str">
            <v>thsd / min USD</v>
          </cell>
          <cell r="Y166">
            <v>0</v>
          </cell>
        </row>
        <row r="167">
          <cell r="B167" t="str">
            <v>Downstream / Emal</v>
          </cell>
          <cell r="C167" t="str">
            <v>[Input of the project name] / [layihənin adının daxil edilməsi]</v>
          </cell>
          <cell r="D167" t="str">
            <v xml:space="preserve">[input: brief description of the project, including: / layihənin qısa təsvirinin daxil edilməsi, o cümlədən:
Description of assets / Aktivlərin təsviri,
</v>
          </cell>
          <cell r="E167" t="str">
            <v>thsd / min USD</v>
          </cell>
          <cell r="Y167">
            <v>0</v>
          </cell>
        </row>
        <row r="168">
          <cell r="B168" t="str">
            <v>Downstream / Emal</v>
          </cell>
          <cell r="C168" t="str">
            <v>[Input of the project name] / [layihənin adının daxil edilməsi]</v>
          </cell>
          <cell r="D168" t="str">
            <v xml:space="preserve">[input: brief description of the project, including: / layihənin qısa təsvirinin daxil edilməsi, o cümlədən:
Description of assets / Aktivlərin təsviri,
</v>
          </cell>
          <cell r="E168" t="str">
            <v>thsd / min USD</v>
          </cell>
          <cell r="Y168">
            <v>0</v>
          </cell>
        </row>
        <row r="169">
          <cell r="B169" t="str">
            <v>Downstream / Emal</v>
          </cell>
          <cell r="C169" t="str">
            <v>[Input of the project name] / [layihənin adının daxil edilməsi]</v>
          </cell>
          <cell r="D169" t="str">
            <v xml:space="preserve">[input: brief description of the project, including: / layihənin qısa təsvirinin daxil edilməsi, o cümlədən:
Description of assets / Aktivlərin təsviri,
</v>
          </cell>
          <cell r="E169" t="str">
            <v>thsd / min USD</v>
          </cell>
          <cell r="Y169">
            <v>0</v>
          </cell>
        </row>
        <row r="170">
          <cell r="B170" t="str">
            <v>Downstream / Emal</v>
          </cell>
          <cell r="C170" t="str">
            <v>[Input of the project name] / [layihənin adının daxil edilməsi]</v>
          </cell>
          <cell r="D170" t="str">
            <v xml:space="preserve">[input: brief description of the project, including: / layihənin qısa təsvirinin daxil edilməsi, o cümlədən:
Description of assets / Aktivlərin təsviri,
</v>
          </cell>
          <cell r="E170" t="str">
            <v>thsd / min USD</v>
          </cell>
          <cell r="Y170">
            <v>0</v>
          </cell>
        </row>
        <row r="171">
          <cell r="B171" t="str">
            <v>Downstream / Emal</v>
          </cell>
          <cell r="C171" t="str">
            <v>[Input of the project name] / [layihənin adının daxil edilməsi]</v>
          </cell>
          <cell r="D171" t="str">
            <v xml:space="preserve">[input: brief description of the project, including: / layihənin qısa təsvirinin daxil edilməsi, o cümlədən:
Description of assets / Aktivlərin təsviri,
</v>
          </cell>
          <cell r="E171" t="str">
            <v>thsd / min USD</v>
          </cell>
          <cell r="Y171">
            <v>0</v>
          </cell>
        </row>
        <row r="172">
          <cell r="B172" t="str">
            <v>Downstream / Emal</v>
          </cell>
          <cell r="C172" t="str">
            <v>[Input of the project name] / [layihənin adının daxil edilməsi]</v>
          </cell>
          <cell r="D172" t="str">
            <v xml:space="preserve">[input: brief description of the project, including: / layihənin qısa təsvirinin daxil edilməsi, o cümlədən:
Description of assets / Aktivlərin təsviri,
</v>
          </cell>
          <cell r="E172" t="str">
            <v>thsd / min USD</v>
          </cell>
          <cell r="Y172">
            <v>0</v>
          </cell>
        </row>
        <row r="173">
          <cell r="B173" t="str">
            <v>Downstream / Emal</v>
          </cell>
          <cell r="C173" t="str">
            <v>Other projects</v>
          </cell>
          <cell r="D173" t="str">
            <v>Digər layihələr</v>
          </cell>
          <cell r="E173" t="str">
            <v>thsd / min USD</v>
          </cell>
          <cell r="Y173">
            <v>0</v>
          </cell>
        </row>
        <row r="174">
          <cell r="B174" t="str">
            <v>Midstream / Nəql</v>
          </cell>
          <cell r="C174" t="str">
            <v>Total</v>
          </cell>
          <cell r="D174" t="str">
            <v>Cəmi</v>
          </cell>
          <cell r="E174" t="str">
            <v>thsd / min USD</v>
          </cell>
          <cell r="L174">
            <v>0</v>
          </cell>
          <cell r="Y174">
            <v>2</v>
          </cell>
        </row>
        <row r="175">
          <cell r="B175" t="str">
            <v>Midstream / Nəql</v>
          </cell>
          <cell r="C175" t="str">
            <v>Projects of replacement or new pipeline (for oil)</v>
          </cell>
          <cell r="D175" t="str">
            <v>Neft boru kəmərlərinin dəyişdirilməsi və yeni boru kəmərləri üzrə layihələr</v>
          </cell>
          <cell r="E175" t="str">
            <v>thsd / min USD</v>
          </cell>
          <cell r="L175">
            <v>0</v>
          </cell>
          <cell r="Y175">
            <v>1</v>
          </cell>
        </row>
        <row r="176">
          <cell r="B176" t="str">
            <v>Midstream / Nəql</v>
          </cell>
          <cell r="C176" t="str">
            <v>[Input of the project name] / [layihənin adının daxil edilməsi]</v>
          </cell>
          <cell r="D176" t="str">
            <v xml:space="preserve">[input: brief description of the project, including: / layihənin qısa təsvirinin daxil edilməsi, o cümlədən:
Description of assets / Aktivlərin təsviri,
</v>
          </cell>
          <cell r="E176" t="str">
            <v>thsd / min USD</v>
          </cell>
          <cell r="Y176">
            <v>0</v>
          </cell>
        </row>
        <row r="177">
          <cell r="B177" t="str">
            <v>Midstream / Nəql</v>
          </cell>
          <cell r="C177" t="str">
            <v>[Input of the project name] / [layihənin adının daxil edilməsi]</v>
          </cell>
          <cell r="D177" t="str">
            <v xml:space="preserve">[input: brief description of the project, including: / layihənin qısa təsvirinin daxil edilməsi, o cümlədən:
Description of assets / Aktivlərin təsviri,
</v>
          </cell>
          <cell r="E177" t="str">
            <v>thsd / min USD</v>
          </cell>
          <cell r="Y177">
            <v>0</v>
          </cell>
        </row>
        <row r="178">
          <cell r="B178" t="str">
            <v>Midstream / Nəql</v>
          </cell>
          <cell r="C178" t="str">
            <v>[Input of the project name] / [layihənin adının daxil edilməsi]</v>
          </cell>
          <cell r="D178" t="str">
            <v xml:space="preserve">[input: brief description of the project, including: / layihənin qısa təsvirinin daxil edilməsi, o cümlədən:
Description of assets / Aktivlərin təsviri,
</v>
          </cell>
          <cell r="E178" t="str">
            <v>thsd / min USD</v>
          </cell>
          <cell r="Y178">
            <v>0</v>
          </cell>
        </row>
        <row r="179">
          <cell r="B179" t="str">
            <v>Midstream / Nəql</v>
          </cell>
          <cell r="C179" t="str">
            <v>[Input of the project name] / [layihənin adının daxil edilməsi]</v>
          </cell>
          <cell r="D179" t="str">
            <v xml:space="preserve">[input: brief description of the project, including: / layihənin qısa təsvirinin daxil edilməsi, o cümlədən:
Description of assets / Aktivlərin təsviri,
</v>
          </cell>
          <cell r="E179" t="str">
            <v>thsd / min USD</v>
          </cell>
          <cell r="Y179">
            <v>0</v>
          </cell>
        </row>
        <row r="180">
          <cell r="B180" t="str">
            <v>Midstream / Nəql</v>
          </cell>
          <cell r="C180" t="str">
            <v>[Input of the project name] / [layihənin adının daxil edilməsi]</v>
          </cell>
          <cell r="D180" t="str">
            <v xml:space="preserve">[input: brief description of the project, including: / layihənin qısa təsvirinin daxil edilməsi, o cümlədən:
Description of assets / Aktivlərin təsviri,
</v>
          </cell>
          <cell r="E180" t="str">
            <v>thsd / min USD</v>
          </cell>
          <cell r="Y180">
            <v>0</v>
          </cell>
        </row>
        <row r="181">
          <cell r="B181" t="str">
            <v>Midstream / Nəql</v>
          </cell>
          <cell r="C181" t="str">
            <v>[Input of the project name] / [layihənin adının daxil edilməsi]</v>
          </cell>
          <cell r="D181" t="str">
            <v xml:space="preserve">[input: brief description of the project, including: / layihənin qısa təsvirinin daxil edilməsi, o cümlədən:
Description of assets / Aktivlərin təsviri,
</v>
          </cell>
          <cell r="E181" t="str">
            <v>thsd / min USD</v>
          </cell>
          <cell r="Y181">
            <v>0</v>
          </cell>
        </row>
        <row r="182">
          <cell r="B182" t="str">
            <v>Midstream / Nəql</v>
          </cell>
          <cell r="C182" t="str">
            <v>[Input of the project name] / [layihənin adının daxil edilməsi]</v>
          </cell>
          <cell r="D182" t="str">
            <v xml:space="preserve">[input: brief description of the project, including: / layihənin qısa təsvirinin daxil edilməsi, o cümlədən:
Description of assets / Aktivlərin təsviri,
</v>
          </cell>
          <cell r="E182" t="str">
            <v>thsd / min USD</v>
          </cell>
          <cell r="Y182">
            <v>0</v>
          </cell>
        </row>
        <row r="183">
          <cell r="B183" t="str">
            <v>Midstream / Nəql</v>
          </cell>
          <cell r="C183" t="str">
            <v>[Input of the project name] / [layihənin adının daxil edilməsi]</v>
          </cell>
          <cell r="D183" t="str">
            <v xml:space="preserve">[input: brief description of the project, including: / layihənin qısa təsvirinin daxil edilməsi, o cümlədən:
Description of assets / Aktivlərin təsviri,
</v>
          </cell>
          <cell r="E183" t="str">
            <v>thsd / min USD</v>
          </cell>
          <cell r="Y183">
            <v>0</v>
          </cell>
        </row>
        <row r="184">
          <cell r="B184" t="str">
            <v>Midstream / Nəql</v>
          </cell>
          <cell r="C184" t="str">
            <v>[Input of the project name] / [layihənin adının daxil edilməsi]</v>
          </cell>
          <cell r="D184" t="str">
            <v xml:space="preserve">[input: brief description of the project, including: / layihənin qısa təsvirinin daxil edilməsi, o cümlədən:
Description of assets / Aktivlərin təsviri,
</v>
          </cell>
          <cell r="E184" t="str">
            <v>thsd / min USD</v>
          </cell>
          <cell r="Y184">
            <v>0</v>
          </cell>
        </row>
        <row r="185">
          <cell r="B185" t="str">
            <v>Midstream / Nəql</v>
          </cell>
          <cell r="C185" t="str">
            <v>[Input of the project name] / [layihənin adının daxil edilməsi]</v>
          </cell>
          <cell r="D185" t="str">
            <v xml:space="preserve">[input: brief description of the project, including: / layihənin qısa təsvirinin daxil edilməsi, o cümlədən:
Description of assets / Aktivlərin təsviri,
</v>
          </cell>
          <cell r="E185" t="str">
            <v>thsd / min USD</v>
          </cell>
          <cell r="Y185">
            <v>0</v>
          </cell>
        </row>
        <row r="186">
          <cell r="B186" t="str">
            <v>Midstream / Nəql</v>
          </cell>
          <cell r="C186" t="str">
            <v>Other projects</v>
          </cell>
          <cell r="D186" t="str">
            <v>Digər layihələr</v>
          </cell>
          <cell r="E186" t="str">
            <v>thsd / min USD</v>
          </cell>
          <cell r="Y186">
            <v>0</v>
          </cell>
        </row>
        <row r="187">
          <cell r="B187" t="str">
            <v>Midstream / Nəql</v>
          </cell>
          <cell r="C187" t="str">
            <v>Projects of replacement or new pipeline (for gas)</v>
          </cell>
          <cell r="D187" t="str">
            <v>Qaz boru kəmərlərinin dəyişdirilməsi və yeni boru kəmərləri üzrə layihələr</v>
          </cell>
          <cell r="E187" t="str">
            <v>thsd / min USD</v>
          </cell>
          <cell r="L187">
            <v>0</v>
          </cell>
          <cell r="Y187">
            <v>1</v>
          </cell>
        </row>
        <row r="188">
          <cell r="B188" t="str">
            <v>Midstream / Nəql</v>
          </cell>
          <cell r="C188" t="str">
            <v>[Input of the project name] / [layihənin adının daxil edilməsi]</v>
          </cell>
          <cell r="D188" t="str">
            <v xml:space="preserve">[input: brief description of the project, including: / layihənin qısa təsvirinin daxil edilməsi, o cümlədən:
Description of assets / Aktivlərin təsviri,
</v>
          </cell>
          <cell r="E188" t="str">
            <v>thsd / min USD</v>
          </cell>
          <cell r="Y188">
            <v>0</v>
          </cell>
        </row>
        <row r="189">
          <cell r="B189" t="str">
            <v>Midstream / Nəql</v>
          </cell>
          <cell r="C189" t="str">
            <v>[Input of the project name] / [layihənin adının daxil edilməsi]</v>
          </cell>
          <cell r="D189" t="str">
            <v xml:space="preserve">[input: brief description of the project, including: / layihənin qısa təsvirinin daxil edilməsi, o cümlədən:
Description of assets / Aktivlərin təsviri,
</v>
          </cell>
          <cell r="E189" t="str">
            <v>thsd / min USD</v>
          </cell>
          <cell r="Y189">
            <v>0</v>
          </cell>
        </row>
        <row r="190">
          <cell r="B190" t="str">
            <v>Midstream / Nəql</v>
          </cell>
          <cell r="C190" t="str">
            <v>[Input of the project name] / [layihənin adının daxil edilməsi]</v>
          </cell>
          <cell r="D190" t="str">
            <v xml:space="preserve">[input: brief description of the project, including: / layihənin qısa təsvirinin daxil edilməsi, o cümlədən:
Description of assets / Aktivlərin təsviri,
</v>
          </cell>
          <cell r="E190" t="str">
            <v>thsd / min USD</v>
          </cell>
          <cell r="Y190">
            <v>0</v>
          </cell>
        </row>
        <row r="191">
          <cell r="B191" t="str">
            <v>Midstream / Nəql</v>
          </cell>
          <cell r="C191" t="str">
            <v>[Input of the project name] / [layihənin adının daxil edilməsi]</v>
          </cell>
          <cell r="D191" t="str">
            <v xml:space="preserve">[input: brief description of the project, including: / layihənin qısa təsvirinin daxil edilməsi, o cümlədən:
Description of assets / Aktivlərin təsviri,
</v>
          </cell>
          <cell r="E191" t="str">
            <v>thsd / min USD</v>
          </cell>
          <cell r="Y191">
            <v>0</v>
          </cell>
        </row>
        <row r="192">
          <cell r="B192" t="str">
            <v>Midstream / Nəql</v>
          </cell>
          <cell r="C192" t="str">
            <v>[Input of the project name] / [layihənin adının daxil edilməsi]</v>
          </cell>
          <cell r="D192" t="str">
            <v xml:space="preserve">[input: brief description of the project, including: / layihənin qısa təsvirinin daxil edilməsi, o cümlədən:
Description of assets / Aktivlərin təsviri,
</v>
          </cell>
          <cell r="E192" t="str">
            <v>thsd / min USD</v>
          </cell>
          <cell r="Y192">
            <v>0</v>
          </cell>
        </row>
        <row r="193">
          <cell r="B193" t="str">
            <v>Midstream / Nəql</v>
          </cell>
          <cell r="C193" t="str">
            <v>[Input of the project name] / [layihənin adının daxil edilməsi]</v>
          </cell>
          <cell r="D193" t="str">
            <v xml:space="preserve">[input: brief description of the project, including: / layihənin qısa təsvirinin daxil edilməsi, o cümlədən:
Description of assets / Aktivlərin təsviri,
</v>
          </cell>
          <cell r="E193" t="str">
            <v>thsd / min USD</v>
          </cell>
          <cell r="Y193">
            <v>0</v>
          </cell>
        </row>
        <row r="194">
          <cell r="B194" t="str">
            <v>Midstream / Nəql</v>
          </cell>
          <cell r="C194" t="str">
            <v>[Input of the project name] / [layihənin adının daxil edilməsi]</v>
          </cell>
          <cell r="D194" t="str">
            <v xml:space="preserve">[input: brief description of the project, including: / layihənin qısa təsvirinin daxil edilməsi, o cümlədən:
Description of assets / Aktivlərin təsviri,
</v>
          </cell>
          <cell r="E194" t="str">
            <v>thsd / min USD</v>
          </cell>
          <cell r="Y194">
            <v>0</v>
          </cell>
        </row>
        <row r="195">
          <cell r="B195" t="str">
            <v>Midstream / Nəql</v>
          </cell>
          <cell r="C195" t="str">
            <v>[Input of the project name] / [layihənin adının daxil edilməsi]</v>
          </cell>
          <cell r="D195" t="str">
            <v xml:space="preserve">[input: brief description of the project, including: / layihənin qısa təsvirinin daxil edilməsi, o cümlədən:
Description of assets / Aktivlərin təsviri,
</v>
          </cell>
          <cell r="E195" t="str">
            <v>thsd / min USD</v>
          </cell>
          <cell r="Y195">
            <v>0</v>
          </cell>
        </row>
        <row r="196">
          <cell r="B196" t="str">
            <v>Midstream / Nəql</v>
          </cell>
          <cell r="C196" t="str">
            <v>[Input of the project name] / [layihənin adının daxil edilməsi]</v>
          </cell>
          <cell r="D196" t="str">
            <v xml:space="preserve">[input: brief description of the project, including: / layihənin qısa təsvirinin daxil edilməsi, o cümlədən:
Description of assets / Aktivlərin təsviri,
</v>
          </cell>
          <cell r="E196" t="str">
            <v>thsd / min USD</v>
          </cell>
          <cell r="Y196">
            <v>0</v>
          </cell>
        </row>
        <row r="197">
          <cell r="B197" t="str">
            <v>Midstream / Nəql</v>
          </cell>
          <cell r="C197" t="str">
            <v>[Input of the project name] / [layihənin adının daxil edilməsi]</v>
          </cell>
          <cell r="D197" t="str">
            <v xml:space="preserve">[input: brief description of the project, including: / layihənin qısa təsvirinin daxil edilməsi, o cümlədən:
Description of assets / Aktivlərin təsviri,
</v>
          </cell>
          <cell r="E197" t="str">
            <v>thsd / min USD</v>
          </cell>
          <cell r="Y197">
            <v>0</v>
          </cell>
        </row>
        <row r="198">
          <cell r="B198" t="str">
            <v>Midstream / Nəql</v>
          </cell>
          <cell r="C198" t="str">
            <v>Other projects</v>
          </cell>
          <cell r="D198" t="str">
            <v>Digər layihələr</v>
          </cell>
          <cell r="E198" t="str">
            <v>thsd / min USD</v>
          </cell>
          <cell r="Y198">
            <v>0</v>
          </cell>
        </row>
        <row r="199">
          <cell r="B199" t="str">
            <v>Midstream / Nəql</v>
          </cell>
          <cell r="C199" t="str">
            <v>Other type of projects</v>
          </cell>
          <cell r="D199" t="str">
            <v>Digər növ layihələr</v>
          </cell>
          <cell r="E199" t="str">
            <v>thsd / min USD</v>
          </cell>
          <cell r="L199">
            <v>0</v>
          </cell>
          <cell r="Y199">
            <v>1</v>
          </cell>
        </row>
        <row r="200">
          <cell r="B200" t="str">
            <v>Midstream / Nəql</v>
          </cell>
          <cell r="C200" t="str">
            <v>[Input of the project name] / [layihənin adının daxil edilməsi]</v>
          </cell>
          <cell r="D200" t="str">
            <v xml:space="preserve">[input: brief description of the project, including: / layihənin qısa təsvirinin daxil edilməsi, o cümlədən:
Description of assets / Aktivlərin təsviri,
</v>
          </cell>
          <cell r="E200" t="str">
            <v>thsd / min USD</v>
          </cell>
          <cell r="Y200">
            <v>0</v>
          </cell>
        </row>
        <row r="201">
          <cell r="B201" t="str">
            <v>Midstream / Nəql</v>
          </cell>
          <cell r="C201" t="str">
            <v>[Input of the project name] / [layihənin adının daxil edilməsi]</v>
          </cell>
          <cell r="D201" t="str">
            <v xml:space="preserve">[input: brief description of the project, including: / layihənin qısa təsvirinin daxil edilməsi, o cümlədən:
Description of assets / Aktivlərin təsviri,
</v>
          </cell>
          <cell r="E201" t="str">
            <v>thsd / min USD</v>
          </cell>
          <cell r="Y201">
            <v>0</v>
          </cell>
        </row>
        <row r="202">
          <cell r="B202" t="str">
            <v>Midstream / Nəql</v>
          </cell>
          <cell r="C202" t="str">
            <v>[Input of the project name] / [layihənin adının daxil edilməsi]</v>
          </cell>
          <cell r="D202" t="str">
            <v xml:space="preserve">[input: brief description of the project, including: / layihənin qısa təsvirinin daxil edilməsi, o cümlədən:
Description of assets / Aktivlərin təsviri,
</v>
          </cell>
          <cell r="E202" t="str">
            <v>thsd / min USD</v>
          </cell>
          <cell r="Y202">
            <v>0</v>
          </cell>
        </row>
        <row r="203">
          <cell r="B203" t="str">
            <v>Midstream / Nəql</v>
          </cell>
          <cell r="C203" t="str">
            <v>[Input of the project name] / [layihənin adının daxil edilməsi]</v>
          </cell>
          <cell r="D203" t="str">
            <v xml:space="preserve">[input: brief description of the project, including: / layihənin qısa təsvirinin daxil edilməsi, o cümlədən:
Description of assets / Aktivlərin təsviri,
</v>
          </cell>
          <cell r="E203" t="str">
            <v>thsd / min USD</v>
          </cell>
          <cell r="Y203">
            <v>0</v>
          </cell>
        </row>
        <row r="204">
          <cell r="B204" t="str">
            <v>Midstream / Nəql</v>
          </cell>
          <cell r="C204" t="str">
            <v>[Input of the project name] / [layihənin adının daxil edilməsi]</v>
          </cell>
          <cell r="D204" t="str">
            <v xml:space="preserve">[input: brief description of the project, including: / layihənin qısa təsvirinin daxil edilməsi, o cümlədən:
Description of assets / Aktivlərin təsviri,
</v>
          </cell>
          <cell r="E204" t="str">
            <v>thsd / min USD</v>
          </cell>
          <cell r="Y204">
            <v>0</v>
          </cell>
        </row>
        <row r="205">
          <cell r="B205" t="str">
            <v>Midstream / Nəql</v>
          </cell>
          <cell r="C205" t="str">
            <v>[Input of the project name] / [layihənin adının daxil edilməsi]</v>
          </cell>
          <cell r="D205" t="str">
            <v xml:space="preserve">[input: brief description of the project, including: / layihənin qısa təsvirinin daxil edilməsi, o cümlədən:
Description of assets / Aktivlərin təsviri,
</v>
          </cell>
          <cell r="E205" t="str">
            <v>thsd / min USD</v>
          </cell>
          <cell r="Y205">
            <v>0</v>
          </cell>
        </row>
        <row r="206">
          <cell r="B206" t="str">
            <v>Midstream / Nəql</v>
          </cell>
          <cell r="C206" t="str">
            <v>[Input of the project name] / [layihənin adının daxil edilməsi]</v>
          </cell>
          <cell r="D206" t="str">
            <v xml:space="preserve">[input: brief description of the project, including: / layihənin qısa təsvirinin daxil edilməsi, o cümlədən:
Description of assets / Aktivlərin təsviri,
</v>
          </cell>
          <cell r="E206" t="str">
            <v>thsd / min USD</v>
          </cell>
          <cell r="Y206">
            <v>0</v>
          </cell>
        </row>
        <row r="207">
          <cell r="B207" t="str">
            <v>Midstream / Nəql</v>
          </cell>
          <cell r="C207" t="str">
            <v>[Input of the project name] / [layihənin adının daxil edilməsi]</v>
          </cell>
          <cell r="D207" t="str">
            <v xml:space="preserve">[input: brief description of the project, including: / layihənin qısa təsvirinin daxil edilməsi, o cümlədən:
Description of assets / Aktivlərin təsviri,
</v>
          </cell>
          <cell r="E207" t="str">
            <v>thsd / min USD</v>
          </cell>
          <cell r="Y207">
            <v>0</v>
          </cell>
        </row>
        <row r="208">
          <cell r="B208" t="str">
            <v>Midstream / Nəql</v>
          </cell>
          <cell r="C208" t="str">
            <v>[Input of the project name] / [layihənin adının daxil edilməsi]</v>
          </cell>
          <cell r="D208" t="str">
            <v xml:space="preserve">[input: brief description of the project, including: / layihənin qısa təsvirinin daxil edilməsi, o cümlədən:
Description of assets / Aktivlərin təsviri,
</v>
          </cell>
          <cell r="E208" t="str">
            <v>thsd / min USD</v>
          </cell>
          <cell r="Y208">
            <v>0</v>
          </cell>
        </row>
        <row r="209">
          <cell r="B209" t="str">
            <v>Midstream / Nəql</v>
          </cell>
          <cell r="C209" t="str">
            <v>[Input of the project name] / [layihənin adının daxil edilməsi]</v>
          </cell>
          <cell r="D209" t="str">
            <v xml:space="preserve">[input: brief description of the project, including: / layihənin qısa təsvirinin daxil edilməsi, o cümlədən:
Description of assets / Aktivlərin təsviri,
</v>
          </cell>
          <cell r="E209" t="str">
            <v>thsd / min USD</v>
          </cell>
          <cell r="Y209">
            <v>0</v>
          </cell>
        </row>
        <row r="210">
          <cell r="B210" t="str">
            <v>Midstream / Nəql</v>
          </cell>
          <cell r="C210" t="str">
            <v>Other projects</v>
          </cell>
          <cell r="D210" t="str">
            <v>Digər layihələr</v>
          </cell>
          <cell r="E210" t="str">
            <v>thsd / min USD</v>
          </cell>
          <cell r="Y210">
            <v>0</v>
          </cell>
        </row>
        <row r="211">
          <cell r="B211" t="str">
            <v>Gas distribution / Qazın paylanması</v>
          </cell>
          <cell r="C211" t="str">
            <v>Total</v>
          </cell>
          <cell r="D211" t="str">
            <v>Cəmi</v>
          </cell>
          <cell r="E211" t="str">
            <v>thsd / min USD</v>
          </cell>
          <cell r="L211">
            <v>29458.823529411758</v>
          </cell>
          <cell r="Y211">
            <v>2</v>
          </cell>
        </row>
        <row r="212">
          <cell r="B212" t="str">
            <v>Gas distribution / Qazın paylanması</v>
          </cell>
          <cell r="C212" t="str">
            <v>Modernization/construction projects</v>
          </cell>
          <cell r="D212" t="str">
            <v>Modernləşdirmə/tikinti layihələri</v>
          </cell>
          <cell r="E212" t="str">
            <v>thsd / min USD</v>
          </cell>
          <cell r="L212">
            <v>22263.00857535996</v>
          </cell>
          <cell r="Y212">
            <v>1</v>
          </cell>
        </row>
        <row r="213">
          <cell r="B213" t="str">
            <v>Gas distribution / Qazın paylanması</v>
          </cell>
          <cell r="C213" t="str">
            <v>[Input of the project name] / [layihənin adının daxil edilməsi]</v>
          </cell>
          <cell r="D213" t="str">
            <v xml:space="preserve">[input: brief description of the project, including: / layihənin qısa təsvirinin daxil edilməsi, o cümlədən:
Description of assets / Aktivlərin təsviri,
</v>
          </cell>
          <cell r="E213" t="str">
            <v>thsd / min USD</v>
          </cell>
          <cell r="L213">
            <v>22263.00857535996</v>
          </cell>
          <cell r="Y213">
            <v>0</v>
          </cell>
        </row>
        <row r="214">
          <cell r="B214" t="str">
            <v>Gas distribution / Qazın paylanması</v>
          </cell>
          <cell r="C214" t="str">
            <v>[Input of the project name] / [layihənin adının daxil edilməsi]</v>
          </cell>
          <cell r="D214" t="str">
            <v xml:space="preserve">[input: brief description of the project, including: / layihənin qısa təsvirinin daxil edilməsi, o cümlədən:
Description of assets / Aktivlərin təsviri,
</v>
          </cell>
          <cell r="E214" t="str">
            <v>thsd / min USD</v>
          </cell>
          <cell r="Y214">
            <v>0</v>
          </cell>
        </row>
        <row r="215">
          <cell r="B215" t="str">
            <v>Gas distribution / Qazın paylanması</v>
          </cell>
          <cell r="C215" t="str">
            <v>[Input of the project name] / [layihənin adının daxil edilməsi]</v>
          </cell>
          <cell r="D215" t="str">
            <v xml:space="preserve">[input: brief description of the project, including: / layihənin qısa təsvirinin daxil edilməsi, o cümlədən:
Description of assets / Aktivlərin təsviri,
</v>
          </cell>
          <cell r="E215" t="str">
            <v>thsd / min USD</v>
          </cell>
          <cell r="Y215">
            <v>0</v>
          </cell>
        </row>
        <row r="216">
          <cell r="B216" t="str">
            <v>Gas distribution / Qazın paylanması</v>
          </cell>
          <cell r="C216" t="str">
            <v>[Input of the project name] / [layihənin adının daxil edilməsi]</v>
          </cell>
          <cell r="D216" t="str">
            <v xml:space="preserve">[input: brief description of the project, including: / layihənin qısa təsvirinin daxil edilməsi, o cümlədən:
Description of assets / Aktivlərin təsviri,
</v>
          </cell>
          <cell r="E216" t="str">
            <v>thsd / min USD</v>
          </cell>
          <cell r="Y216">
            <v>0</v>
          </cell>
        </row>
        <row r="217">
          <cell r="B217" t="str">
            <v>Gas distribution / Qazın paylanması</v>
          </cell>
          <cell r="C217" t="str">
            <v>[Input of the project name] / [layihənin adının daxil edilməsi]</v>
          </cell>
          <cell r="D217" t="str">
            <v xml:space="preserve">[input: brief description of the project, including: / layihənin qısa təsvirinin daxil edilməsi, o cümlədən:
Description of assets / Aktivlərin təsviri,
</v>
          </cell>
          <cell r="E217" t="str">
            <v>thsd / min USD</v>
          </cell>
          <cell r="Y217">
            <v>0</v>
          </cell>
        </row>
        <row r="218">
          <cell r="B218" t="str">
            <v>Gas distribution / Qazın paylanması</v>
          </cell>
          <cell r="C218" t="str">
            <v>[Input of the project name] / [layihənin adının daxil edilməsi]</v>
          </cell>
          <cell r="D218" t="str">
            <v xml:space="preserve">[input: brief description of the project, including: / layihənin qısa təsvirinin daxil edilməsi, o cümlədən:
Description of assets / Aktivlərin təsviri,
</v>
          </cell>
          <cell r="E218" t="str">
            <v>thsd / min USD</v>
          </cell>
          <cell r="Y218">
            <v>0</v>
          </cell>
        </row>
        <row r="219">
          <cell r="B219" t="str">
            <v>Gas distribution / Qazın paylanması</v>
          </cell>
          <cell r="C219" t="str">
            <v>[Input of the project name] / [layihənin adının daxil edilməsi]</v>
          </cell>
          <cell r="D219" t="str">
            <v xml:space="preserve">[input: brief description of the project, including: / layihənin qısa təsvirinin daxil edilməsi, o cümlədən:
Description of assets / Aktivlərin təsviri,
</v>
          </cell>
          <cell r="E219" t="str">
            <v>thsd / min USD</v>
          </cell>
          <cell r="Y219">
            <v>0</v>
          </cell>
        </row>
        <row r="220">
          <cell r="B220" t="str">
            <v>Gas distribution / Qazın paylanması</v>
          </cell>
          <cell r="C220" t="str">
            <v>[Input of the project name] / [layihənin adının daxil edilməsi]</v>
          </cell>
          <cell r="D220" t="str">
            <v xml:space="preserve">[input: brief description of the project, including: / layihənin qısa təsvirinin daxil edilməsi, o cümlədən:
Description of assets / Aktivlərin təsviri,
</v>
          </cell>
          <cell r="E220" t="str">
            <v>thsd / min USD</v>
          </cell>
          <cell r="Y220">
            <v>0</v>
          </cell>
        </row>
        <row r="221">
          <cell r="B221" t="str">
            <v>Gas distribution / Qazın paylanması</v>
          </cell>
          <cell r="C221" t="str">
            <v>[Input of the project name] / [layihənin adının daxil edilməsi]</v>
          </cell>
          <cell r="D221" t="str">
            <v xml:space="preserve">[input: brief description of the project, including: / layihənin qısa təsvirinin daxil edilməsi, o cümlədən:
Description of assets / Aktivlərin təsviri,
</v>
          </cell>
          <cell r="E221" t="str">
            <v>thsd / min USD</v>
          </cell>
          <cell r="Y221">
            <v>0</v>
          </cell>
        </row>
        <row r="222">
          <cell r="B222" t="str">
            <v>Gas distribution / Qazın paylanması</v>
          </cell>
          <cell r="C222" t="str">
            <v>[Input of the project name] / [layihənin adının daxil edilməsi]</v>
          </cell>
          <cell r="D222" t="str">
            <v xml:space="preserve">[input: brief description of the project, including: / layihənin qısa təsvirinin daxil edilməsi, o cümlədən:
Description of assets / Aktivlərin təsviri,
</v>
          </cell>
          <cell r="E222" t="str">
            <v>thsd / min USD</v>
          </cell>
          <cell r="Y222">
            <v>0</v>
          </cell>
        </row>
        <row r="223">
          <cell r="B223" t="str">
            <v>Gas distribution / Qazın paylanması</v>
          </cell>
          <cell r="C223" t="str">
            <v>Other projects</v>
          </cell>
          <cell r="D223" t="str">
            <v>Digər layihələr</v>
          </cell>
          <cell r="E223" t="str">
            <v>thsd / min USD</v>
          </cell>
          <cell r="Y223">
            <v>0</v>
          </cell>
        </row>
        <row r="224">
          <cell r="B224" t="str">
            <v>Gas distribution / Qazın paylanması</v>
          </cell>
          <cell r="C224" t="str">
            <v>Other type of projects</v>
          </cell>
          <cell r="D224" t="str">
            <v>Digər növ layihələr</v>
          </cell>
          <cell r="E224" t="str">
            <v>thsd / min USD</v>
          </cell>
          <cell r="L224">
            <v>7195.8149540517998</v>
          </cell>
          <cell r="Y224">
            <v>1</v>
          </cell>
        </row>
        <row r="225">
          <cell r="B225" t="str">
            <v>Gas distribution / Qazın paylanması</v>
          </cell>
          <cell r="C225" t="str">
            <v>[Input of the project name] / [layihənin adının daxil edilməsi]</v>
          </cell>
          <cell r="D225" t="str">
            <v xml:space="preserve">[input: brief description of the project, including: / layihənin qısa təsvirinin daxil edilməsi, o cümlədən:
Description of assets / Aktivlərin təsviri,
</v>
          </cell>
          <cell r="E225" t="str">
            <v>thsd / min USD</v>
          </cell>
          <cell r="L225">
            <v>7195.8149540517998</v>
          </cell>
          <cell r="Y225">
            <v>0</v>
          </cell>
        </row>
        <row r="226">
          <cell r="B226" t="str">
            <v>Gas distribution / Qazın paylanması</v>
          </cell>
          <cell r="C226" t="str">
            <v>[Input of the project name] / [layihənin adının daxil edilməsi]</v>
          </cell>
          <cell r="D226" t="str">
            <v xml:space="preserve">[input: brief description of the project, including: / layihənin qısa təsvirinin daxil edilməsi, o cümlədən:
Description of assets / Aktivlərin təsviri,
</v>
          </cell>
          <cell r="E226" t="str">
            <v>thsd / min USD</v>
          </cell>
          <cell r="Y226">
            <v>0</v>
          </cell>
        </row>
        <row r="227">
          <cell r="B227" t="str">
            <v>Gas distribution / Qazın paylanması</v>
          </cell>
          <cell r="C227" t="str">
            <v>[Input of the project name] / [layihənin adının daxil edilməsi]</v>
          </cell>
          <cell r="D227" t="str">
            <v xml:space="preserve">[input: brief description of the project, including: / layihənin qısa təsvirinin daxil edilməsi, o cümlədən:
Description of assets / Aktivlərin təsviri,
</v>
          </cell>
          <cell r="E227" t="str">
            <v>thsd / min USD</v>
          </cell>
          <cell r="Y227">
            <v>0</v>
          </cell>
        </row>
        <row r="228">
          <cell r="B228" t="str">
            <v>Gas distribution / Qazın paylanması</v>
          </cell>
          <cell r="C228" t="str">
            <v>[Input of the project name] / [layihənin adının daxil edilməsi]</v>
          </cell>
          <cell r="D228" t="str">
            <v xml:space="preserve">[input: brief description of the project, including: / layihənin qısa təsvirinin daxil edilməsi, o cümlədən:
Description of assets / Aktivlərin təsviri,
</v>
          </cell>
          <cell r="E228" t="str">
            <v>thsd / min USD</v>
          </cell>
          <cell r="Y228">
            <v>0</v>
          </cell>
        </row>
        <row r="229">
          <cell r="B229" t="str">
            <v>Gas distribution / Qazın paylanması</v>
          </cell>
          <cell r="C229" t="str">
            <v>[Input of the project name] / [layihənin adının daxil edilməsi]</v>
          </cell>
          <cell r="D229" t="str">
            <v xml:space="preserve">[input: brief description of the project, including: / layihənin qısa təsvirinin daxil edilməsi, o cümlədən:
Description of assets / Aktivlərin təsviri,
</v>
          </cell>
          <cell r="E229" t="str">
            <v>thsd / min USD</v>
          </cell>
          <cell r="Y229">
            <v>0</v>
          </cell>
        </row>
        <row r="230">
          <cell r="B230" t="str">
            <v>Gas distribution / Qazın paylanması</v>
          </cell>
          <cell r="C230" t="str">
            <v>[Input of the project name] / [layihənin adının daxil edilməsi]</v>
          </cell>
          <cell r="D230" t="str">
            <v xml:space="preserve">[input: brief description of the project, including: / layihənin qısa təsvirinin daxil edilməsi, o cümlədən:
Description of assets / Aktivlərin təsviri,
</v>
          </cell>
          <cell r="E230" t="str">
            <v>thsd / min USD</v>
          </cell>
          <cell r="Y230">
            <v>0</v>
          </cell>
        </row>
        <row r="231">
          <cell r="B231" t="str">
            <v>Gas distribution / Qazın paylanması</v>
          </cell>
          <cell r="C231" t="str">
            <v>[Input of the project name] / [layihənin adının daxil edilməsi]</v>
          </cell>
          <cell r="D231" t="str">
            <v xml:space="preserve">[input: brief description of the project, including: / layihənin qısa təsvirinin daxil edilməsi, o cümlədən:
Description of assets / Aktivlərin təsviri,
</v>
          </cell>
          <cell r="E231" t="str">
            <v>thsd / min USD</v>
          </cell>
          <cell r="Y231">
            <v>0</v>
          </cell>
        </row>
        <row r="232">
          <cell r="B232" t="str">
            <v>Gas distribution / Qazın paylanması</v>
          </cell>
          <cell r="C232" t="str">
            <v>[Input of the project name] / [layihənin adının daxil edilməsi]</v>
          </cell>
          <cell r="D232" t="str">
            <v xml:space="preserve">[input: brief description of the project, including: / layihənin qısa təsvirinin daxil edilməsi, o cümlədən:
Description of assets / Aktivlərin təsviri,
</v>
          </cell>
          <cell r="E232" t="str">
            <v>thsd / min USD</v>
          </cell>
          <cell r="Y232">
            <v>0</v>
          </cell>
        </row>
        <row r="233">
          <cell r="B233" t="str">
            <v>Gas distribution / Qazın paylanması</v>
          </cell>
          <cell r="C233" t="str">
            <v>[Input of the project name] / [layihənin adının daxil edilməsi]</v>
          </cell>
          <cell r="D233" t="str">
            <v xml:space="preserve">[input: brief description of the project, including: / layihənin qısa təsvirinin daxil edilməsi, o cümlədən:
Description of assets / Aktivlərin təsviri,
</v>
          </cell>
          <cell r="E233" t="str">
            <v>thsd / min USD</v>
          </cell>
          <cell r="Y233">
            <v>0</v>
          </cell>
        </row>
        <row r="234">
          <cell r="B234" t="str">
            <v>Gas distribution / Qazın paylanması</v>
          </cell>
          <cell r="C234" t="str">
            <v>[Input of the project name] / [layihənin adının daxil edilməsi]</v>
          </cell>
          <cell r="D234" t="str">
            <v xml:space="preserve">[input: brief description of the project, including: / layihənin qısa təsvirinin daxil edilməsi, o cümlədən:
Description of assets / Aktivlərin təsviri,
</v>
          </cell>
          <cell r="E234" t="str">
            <v>thsd / min USD</v>
          </cell>
          <cell r="Y234">
            <v>0</v>
          </cell>
        </row>
        <row r="235">
          <cell r="B235" t="str">
            <v>Gas distribution / Qazın paylanması</v>
          </cell>
          <cell r="C235" t="str">
            <v>[Input of the project name] / [layihənin adının daxil edilməsi]</v>
          </cell>
          <cell r="D235" t="str">
            <v xml:space="preserve">[input: brief description of the project, including: / layihənin qısa təsvirinin daxil edilməsi, o cümlədən:
Description of assets / Aktivlərin təsviri,
</v>
          </cell>
          <cell r="E235" t="str">
            <v>thsd / min USD</v>
          </cell>
          <cell r="Y235">
            <v>0</v>
          </cell>
        </row>
        <row r="236">
          <cell r="B236" t="str">
            <v>Gas distribution / Qazın paylanması</v>
          </cell>
          <cell r="C236" t="str">
            <v>Other projects</v>
          </cell>
          <cell r="D236" t="str">
            <v>Digər layihələr</v>
          </cell>
          <cell r="E236" t="str">
            <v>thsd / min USD</v>
          </cell>
          <cell r="Y236">
            <v>0</v>
          </cell>
        </row>
        <row r="237">
          <cell r="B237" t="str">
            <v>All segments</v>
          </cell>
          <cell r="C237" t="str">
            <v>Total</v>
          </cell>
          <cell r="D237" t="str">
            <v>Cəmi</v>
          </cell>
          <cell r="E237" t="str">
            <v>thsd / min USD</v>
          </cell>
          <cell r="L237">
            <v>0</v>
          </cell>
          <cell r="Y237">
            <v>2</v>
          </cell>
        </row>
        <row r="238">
          <cell r="B238" t="str">
            <v>All segments</v>
          </cell>
          <cell r="C238" t="str">
            <v>All projects of strategic importance</v>
          </cell>
          <cell r="D238" t="str">
            <v>Bütün strateji əhəmiyyət kəsb edən layihələr</v>
          </cell>
          <cell r="E238" t="str">
            <v>thsd / min USD</v>
          </cell>
          <cell r="L238">
            <v>0</v>
          </cell>
          <cell r="Y238">
            <v>1</v>
          </cell>
        </row>
        <row r="239">
          <cell r="B239" t="str">
            <v>Please select segment</v>
          </cell>
          <cell r="C239" t="str">
            <v>[Input of the project name] / [layihənin adının daxil edilməsi]</v>
          </cell>
          <cell r="D239" t="str">
            <v xml:space="preserve">[input: brief description of the project, including: / layihənin qısa təsvirinin daxil edilməsi, o cümlədən:
Description of assets / Aktivlərin təsviri,
</v>
          </cell>
          <cell r="E239" t="str">
            <v>thsd / min USD</v>
          </cell>
          <cell r="Y239">
            <v>0</v>
          </cell>
        </row>
        <row r="240">
          <cell r="B240" t="str">
            <v>Please select segment</v>
          </cell>
          <cell r="C240" t="str">
            <v>[Input of the project name] / [layihənin adının daxil edilməsi]</v>
          </cell>
          <cell r="D240" t="str">
            <v xml:space="preserve">[input: brief description of the project, including: / layihənin qısa təsvirinin daxil edilməsi, o cümlədən:
Description of assets / Aktivlərin təsviri,
</v>
          </cell>
          <cell r="E240" t="str">
            <v>thsd / min USD</v>
          </cell>
          <cell r="Y240">
            <v>0</v>
          </cell>
        </row>
        <row r="241">
          <cell r="B241" t="str">
            <v>Please select segment</v>
          </cell>
          <cell r="C241" t="str">
            <v>[Input of the project name] / [layihənin adının daxil edilməsi]</v>
          </cell>
          <cell r="D241" t="str">
            <v xml:space="preserve">[input: brief description of the project, including: / layihənin qısa təsvirinin daxil edilməsi, o cümlədən:
Description of assets / Aktivlərin təsviri,
</v>
          </cell>
          <cell r="E241" t="str">
            <v>thsd / min USD</v>
          </cell>
          <cell r="Y241">
            <v>0</v>
          </cell>
        </row>
        <row r="242">
          <cell r="B242" t="str">
            <v>Please select segment</v>
          </cell>
          <cell r="C242" t="str">
            <v>[Input of the project name] / [layihənin adının daxil edilməsi]</v>
          </cell>
          <cell r="D242" t="str">
            <v xml:space="preserve">[input: brief description of the project, including: / layihənin qısa təsvirinin daxil edilməsi, o cümlədən:
Description of assets / Aktivlərin təsviri,
</v>
          </cell>
          <cell r="E242" t="str">
            <v>thsd / min USD</v>
          </cell>
          <cell r="Y242">
            <v>0</v>
          </cell>
        </row>
        <row r="243">
          <cell r="B243" t="str">
            <v>Please select segment</v>
          </cell>
          <cell r="C243" t="str">
            <v>[Input of the project name] / [layihənin adının daxil edilməsi]</v>
          </cell>
          <cell r="D243" t="str">
            <v xml:space="preserve">[input: brief description of the project, including: / layihənin qısa təsvirinin daxil edilməsi, o cümlədən:
Description of assets / Aktivlərin təsviri,
</v>
          </cell>
          <cell r="E243" t="str">
            <v>thsd / min USD</v>
          </cell>
          <cell r="Y243">
            <v>0</v>
          </cell>
        </row>
        <row r="244">
          <cell r="B244" t="str">
            <v xml:space="preserve">All other segments </v>
          </cell>
          <cell r="C244" t="str">
            <v>Total</v>
          </cell>
          <cell r="D244" t="str">
            <v>Cəmi</v>
          </cell>
          <cell r="E244" t="str">
            <v>thsd / min USD</v>
          </cell>
          <cell r="L244">
            <v>0</v>
          </cell>
          <cell r="Y244">
            <v>2</v>
          </cell>
        </row>
        <row r="245">
          <cell r="B245" t="str">
            <v xml:space="preserve">All other segments </v>
          </cell>
          <cell r="C245" t="str">
            <v>All other projects</v>
          </cell>
          <cell r="D245" t="str">
            <v>Bütün digər layihələr</v>
          </cell>
          <cell r="E245" t="str">
            <v>thsd / min USD</v>
          </cell>
          <cell r="L245">
            <v>0</v>
          </cell>
          <cell r="Y245">
            <v>1</v>
          </cell>
        </row>
        <row r="246">
          <cell r="B246" t="str">
            <v>Please select segment</v>
          </cell>
          <cell r="C246" t="str">
            <v>[Input of the project name] / [layihənin adının daxil edilməsi]</v>
          </cell>
          <cell r="D246" t="str">
            <v xml:space="preserve">[input: brief description of the project, including: / layihənin qısa təsvirinin daxil edilməsi, o cümlədən:
Description of assets / Aktivlərin təsviri,
</v>
          </cell>
          <cell r="E246" t="str">
            <v>thsd / min USD</v>
          </cell>
          <cell r="Y246">
            <v>0</v>
          </cell>
        </row>
        <row r="247">
          <cell r="B247" t="str">
            <v>Please select segment</v>
          </cell>
          <cell r="C247" t="str">
            <v>[Input of the project name] / [layihənin adının daxil edilməsi]</v>
          </cell>
          <cell r="D247" t="str">
            <v xml:space="preserve">[input: brief description of the project, including: / layihənin qısa təsvirinin daxil edilməsi, o cümlədən:
Description of assets / Aktivlərin təsviri,
</v>
          </cell>
          <cell r="E247" t="str">
            <v>thsd / min USD</v>
          </cell>
          <cell r="Y247">
            <v>0</v>
          </cell>
        </row>
        <row r="248">
          <cell r="B248" t="str">
            <v>Please select segment</v>
          </cell>
          <cell r="C248" t="str">
            <v>[Input of the project name] / [layihənin adının daxil edilməsi]</v>
          </cell>
          <cell r="D248" t="str">
            <v xml:space="preserve">[input: brief description of the project, including: / layihənin qısa təsvirinin daxil edilməsi, o cümlədən:
Description of assets / Aktivlərin təsviri,
</v>
          </cell>
          <cell r="E248" t="str">
            <v>thsd / min USD</v>
          </cell>
          <cell r="Y248">
            <v>0</v>
          </cell>
        </row>
        <row r="249">
          <cell r="B249" t="str">
            <v>Please select segment</v>
          </cell>
          <cell r="C249" t="str">
            <v>[Input of the project name] / [layihənin adının daxil edilməsi]</v>
          </cell>
          <cell r="D249" t="str">
            <v xml:space="preserve">[input: brief description of the project, including: / layihənin qısa təsvirinin daxil edilməsi, o cümlədən:
Description of assets / Aktivlərin təsviri,
</v>
          </cell>
          <cell r="E249" t="str">
            <v>thsd / min USD</v>
          </cell>
          <cell r="Y249">
            <v>0</v>
          </cell>
        </row>
        <row r="250">
          <cell r="B250" t="str">
            <v>Please select segment</v>
          </cell>
          <cell r="C250" t="str">
            <v>[Input of the project name] / [layihənin adının daxil edilməsi]</v>
          </cell>
          <cell r="D250" t="str">
            <v xml:space="preserve">[input: brief description of the project, including: / layihənin qısa təsvirinin daxil edilməsi, o cümlədən:
Description of assets / Aktivlərin təsviri,
</v>
          </cell>
          <cell r="E250" t="str">
            <v>thsd / min USD</v>
          </cell>
          <cell r="Y250">
            <v>0</v>
          </cell>
        </row>
        <row r="251">
          <cell r="B251" t="str">
            <v>Please select segment</v>
          </cell>
          <cell r="C251" t="str">
            <v>[Input of the project name] / [layihənin adının daxil edilməsi]</v>
          </cell>
          <cell r="D251" t="str">
            <v xml:space="preserve">[input: brief description of the project, including: / layihənin qısa təsvirinin daxil edilməsi, o cümlədən:
Description of assets / Aktivlərin təsviri,
</v>
          </cell>
          <cell r="E251" t="str">
            <v>thsd / min USD</v>
          </cell>
          <cell r="Y251">
            <v>0</v>
          </cell>
        </row>
        <row r="252">
          <cell r="B252" t="str">
            <v>Please select segment</v>
          </cell>
          <cell r="C252" t="str">
            <v>[Input of the project name] / [layihənin adının daxil edilməsi]</v>
          </cell>
          <cell r="D252" t="str">
            <v xml:space="preserve">[input: brief description of the project, including: / layihənin qısa təsvirinin daxil edilməsi, o cümlədən:
Description of assets / Aktivlərin təsviri,
</v>
          </cell>
          <cell r="E252" t="str">
            <v>thsd / min USD</v>
          </cell>
          <cell r="Y252">
            <v>0</v>
          </cell>
        </row>
        <row r="253">
          <cell r="B253" t="str">
            <v>Please select segment</v>
          </cell>
          <cell r="C253" t="str">
            <v>[Input of the project name] / [layihənin adının daxil edilməsi]</v>
          </cell>
          <cell r="D253" t="str">
            <v xml:space="preserve">[input: brief description of the project, including: / layihənin qısa təsvirinin daxil edilməsi, o cümlədən:
Description of assets / Aktivlərin təsviri,
</v>
          </cell>
          <cell r="E253" t="str">
            <v>thsd / min USD</v>
          </cell>
          <cell r="Y253">
            <v>0</v>
          </cell>
        </row>
        <row r="254">
          <cell r="B254" t="str">
            <v>Please select segment</v>
          </cell>
          <cell r="C254" t="str">
            <v>[Input of the project name] / [layihənin adının daxil edilməsi]</v>
          </cell>
          <cell r="D254" t="str">
            <v xml:space="preserve">[input: brief description of the project, including: / layihənin qısa təsvirinin daxil edilməsi, o cümlədən:
Description of assets / Aktivlərin təsviri,
</v>
          </cell>
          <cell r="E254" t="str">
            <v>thsd / min USD</v>
          </cell>
          <cell r="Y254">
            <v>0</v>
          </cell>
        </row>
        <row r="255">
          <cell r="B255" t="str">
            <v>Please select segment</v>
          </cell>
          <cell r="C255" t="str">
            <v>[Input of the project name] / [layihənin adının daxil edilməsi]</v>
          </cell>
          <cell r="D255" t="str">
            <v xml:space="preserve">[input: brief description of the project, including: / layihənin qısa təsvirinin daxil edilməsi, o cümlədən:
Description of assets / Aktivlərin təsviri,
</v>
          </cell>
          <cell r="E255" t="str">
            <v>thsd / min USD</v>
          </cell>
          <cell r="Y255">
            <v>0</v>
          </cell>
        </row>
        <row r="256">
          <cell r="B256" t="str">
            <v>Please select segment</v>
          </cell>
          <cell r="C256" t="str">
            <v>Other projects</v>
          </cell>
          <cell r="D256" t="str">
            <v>Digər layihələr</v>
          </cell>
          <cell r="E256" t="str">
            <v>thsd / min USD</v>
          </cell>
          <cell r="Y256">
            <v>0</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codeName="Sheet1">
    <outlinePr summaryBelow="1" summaryRight="1"/>
    <pageSetUpPr/>
  </sheetPr>
  <dimension ref="A1:K170"/>
  <sheetViews>
    <sheetView tabSelected="1" workbookViewId="0">
      <selection activeCell="C1" sqref="C1"/>
    </sheetView>
  </sheetViews>
  <sheetFormatPr baseColWidth="8" defaultColWidth="9.42578125" defaultRowHeight="12.75" outlineLevelRow="1"/>
  <cols>
    <col width="17.5703125" customWidth="1" style="94" min="1" max="1"/>
    <col width="64.42578125" bestFit="1" customWidth="1" style="9" min="2" max="2"/>
    <col width="71.42578125" bestFit="1" customWidth="1" style="9" min="3" max="3"/>
    <col width="12" customWidth="1" style="9" min="4" max="4"/>
    <col width="23.5703125" customWidth="1" style="9" min="5" max="5"/>
    <col width="22.42578125" customWidth="1" style="97" min="6" max="6"/>
    <col width="24.42578125" customWidth="1" style="97" min="7" max="7"/>
    <col width="23.5703125" customWidth="1" style="97" min="8" max="8"/>
    <col width="28.42578125" customWidth="1" style="9" min="9" max="10"/>
    <col width="9.42578125" customWidth="1" style="9" min="11" max="16384"/>
  </cols>
  <sheetData>
    <row r="1" ht="60.6" customHeight="1">
      <c r="A1" s="1" t="n"/>
      <c r="B1" s="2" t="n"/>
      <c r="C1" s="3" t="n"/>
      <c r="D1" s="447" t="n"/>
      <c r="E1" s="5" t="n"/>
      <c r="F1" s="6" t="inlineStr">
        <is>
          <t xml:space="preserve"> </t>
        </is>
      </c>
      <c r="G1" s="6" t="n"/>
      <c r="H1" s="7" t="n"/>
      <c r="I1" s="8" t="n"/>
    </row>
    <row r="2" ht="36" customHeight="1">
      <c r="A2" s="10" t="n"/>
      <c r="B2" s="11" t="inlineStr">
        <is>
          <t>Statement of Financial position</t>
        </is>
      </c>
      <c r="C2" s="12" t="n"/>
      <c r="D2" s="5" t="n"/>
      <c r="E2" s="5" t="n"/>
      <c r="F2" s="6" t="n"/>
      <c r="G2" s="6" t="n"/>
      <c r="H2" s="13" t="n"/>
      <c r="I2" s="14" t="n"/>
      <c r="J2" s="14" t="n"/>
    </row>
    <row r="3" ht="27" customHeight="1">
      <c r="A3" s="15" t="n"/>
      <c r="B3" s="16" t="n"/>
      <c r="C3" s="12" t="n"/>
      <c r="D3" s="5" t="n"/>
      <c r="E3" s="5" t="n"/>
      <c r="F3" s="6" t="n"/>
      <c r="G3" s="6" t="n"/>
      <c r="H3" s="13" t="n"/>
      <c r="I3" s="14" t="n"/>
      <c r="J3" s="14" t="n"/>
    </row>
    <row r="4" ht="15.75" customHeight="1">
      <c r="A4" s="17" t="n"/>
      <c r="B4" s="18" t="inlineStr">
        <is>
          <t>Entity Name</t>
        </is>
      </c>
      <c r="C4" s="743" t="inlineStr">
        <is>
          <t>SOCAR Georgia Petroleum LLC</t>
        </is>
      </c>
      <c r="D4" s="5" t="n"/>
      <c r="E4" s="5" t="n"/>
      <c r="F4" s="6" t="n"/>
      <c r="G4" s="6" t="n"/>
      <c r="H4" s="7" t="n"/>
    </row>
    <row r="5" ht="15.75" customHeight="1">
      <c r="A5" s="17" t="n"/>
      <c r="B5" s="18" t="inlineStr">
        <is>
          <t>Currency</t>
        </is>
      </c>
      <c r="C5" s="744">
        <f>IF([1]Segment_map!$J$4="","CURRENCY HAS NOT BEEN PICKED",[1]Segment_map!$J$4)</f>
        <v/>
      </c>
      <c r="D5" s="21" t="n"/>
      <c r="E5" s="21" t="n"/>
      <c r="F5" s="21" t="n"/>
      <c r="G5" s="33" t="n"/>
      <c r="H5" s="7" t="n"/>
    </row>
    <row r="6">
      <c r="A6" s="17" t="n"/>
      <c r="B6" s="23" t="n"/>
      <c r="C6" s="23" t="n"/>
      <c r="D6" s="24">
        <f>"! Please, enter amounts in thousands " &amp;C5</f>
        <v/>
      </c>
      <c r="E6" s="25" t="n"/>
      <c r="F6" s="26" t="n"/>
      <c r="G6" s="27" t="n"/>
      <c r="H6" s="97" t="n"/>
    </row>
    <row r="7">
      <c r="A7" s="29" t="n"/>
      <c r="B7" s="30" t="n"/>
      <c r="C7" s="30" t="n"/>
      <c r="D7" s="30" t="n"/>
      <c r="E7" s="30" t="n"/>
      <c r="F7" s="31" t="n"/>
      <c r="G7" s="32" t="n"/>
      <c r="H7" s="33" t="n"/>
      <c r="I7" s="30" t="n"/>
      <c r="J7" s="30" t="n"/>
    </row>
    <row r="8" ht="15" customFormat="1" customHeight="1" s="39">
      <c r="A8" s="34" t="n"/>
      <c r="B8" s="35" t="n"/>
      <c r="C8" s="35" t="n"/>
      <c r="D8" s="36" t="n"/>
      <c r="E8" s="36" t="n"/>
      <c r="F8" s="37" t="n"/>
      <c r="G8" s="711" t="inlineStr">
        <is>
          <t>Month</t>
        </is>
      </c>
      <c r="H8" s="861" t="n"/>
      <c r="I8" s="861" t="n"/>
      <c r="J8" s="861" t="n"/>
      <c r="K8" s="38" t="n"/>
    </row>
    <row r="9" ht="32.85" customHeight="1">
      <c r="A9" s="712" t="inlineStr">
        <is>
          <t>Code</t>
        </is>
      </c>
      <c r="B9" s="712" t="inlineStr">
        <is>
          <t>Balans Sheet Line</t>
        </is>
      </c>
      <c r="C9" s="712" t="n"/>
      <c r="D9" s="712" t="inlineStr">
        <is>
          <t>+/-</t>
        </is>
      </c>
      <c r="E9" s="713" t="inlineStr">
        <is>
          <t>Opening balance as of beginning of reporting year</t>
        </is>
      </c>
      <c r="F9" s="714" t="inlineStr">
        <is>
          <t>Opening balance as of beginning of reporting month</t>
        </is>
      </c>
      <c r="G9" s="715" t="inlineStr">
        <is>
          <t>Current period actual</t>
        </is>
      </c>
      <c r="H9" s="715" t="inlineStr">
        <is>
          <t>Current period plan</t>
        </is>
      </c>
      <c r="I9" s="715" t="inlineStr">
        <is>
          <t>Deviations actual to plan of current period</t>
        </is>
      </c>
      <c r="J9" s="862" t="n"/>
    </row>
    <row r="10" ht="83.84999999999999" customHeight="1">
      <c r="A10" s="863" t="n"/>
      <c r="B10" s="863" t="n"/>
      <c r="C10" s="863" t="n"/>
      <c r="D10" s="863" t="n"/>
      <c r="E10" s="864" t="n"/>
      <c r="F10" s="863" t="n"/>
      <c r="G10" s="864" t="n"/>
      <c r="H10" s="864" t="n"/>
      <c r="I10" s="754" t="inlineStr">
        <is>
          <t>Deviation from current period plan in absolute</t>
        </is>
      </c>
      <c r="J10" s="41" t="n"/>
    </row>
    <row r="11" ht="13.35" customHeight="1">
      <c r="A11" s="42" t="n"/>
      <c r="B11" s="42" t="n"/>
      <c r="C11" s="42" t="n"/>
      <c r="D11" s="42" t="n"/>
      <c r="E11" s="42" t="n"/>
      <c r="F11" s="42" t="inlineStr">
        <is>
          <t xml:space="preserve"> </t>
        </is>
      </c>
      <c r="G11" s="710">
        <f>'[1]P&amp;L'!E9</f>
        <v/>
      </c>
      <c r="H11" s="861" t="n"/>
      <c r="I11" s="861" t="n"/>
      <c r="J11" s="861" t="n"/>
    </row>
    <row r="12" ht="18" customHeight="1">
      <c r="A12" s="42" t="n">
        <v>1</v>
      </c>
      <c r="B12" s="43">
        <f>A12+1</f>
        <v/>
      </c>
      <c r="C12" s="43">
        <f>B12+1</f>
        <v/>
      </c>
      <c r="D12" s="43">
        <f>C12+1</f>
        <v/>
      </c>
      <c r="E12" s="43">
        <f>D12+1</f>
        <v/>
      </c>
      <c r="F12" s="43">
        <f>E12+1</f>
        <v/>
      </c>
      <c r="G12" s="43">
        <f>F12+1</f>
        <v/>
      </c>
      <c r="H12" s="43">
        <f>G12+1</f>
        <v/>
      </c>
      <c r="I12" s="43">
        <f>H12+1</f>
        <v/>
      </c>
      <c r="J12" s="43">
        <f>I12+1</f>
        <v/>
      </c>
    </row>
    <row r="13" ht="13.35" customHeight="1">
      <c r="A13" s="44" t="inlineStr">
        <is>
          <t>10.B</t>
        </is>
      </c>
      <c r="B13" s="45" t="inlineStr">
        <is>
          <t>Current assets</t>
        </is>
      </c>
      <c r="C13" s="45" t="inlineStr">
        <is>
          <t>Cari aktivlər</t>
        </is>
      </c>
      <c r="D13" s="46" t="inlineStr">
        <is>
          <t>+</t>
        </is>
      </c>
      <c r="E13" s="47">
        <f>SUM(E14,E22,E39,E40,E33,E37,E38,E41)</f>
        <v/>
      </c>
      <c r="F13" s="47">
        <f>SUM(F14,F22,F39,F40,F33,F37,F38,F41)</f>
        <v/>
      </c>
      <c r="G13" s="47" t="n">
        <v>37333.13</v>
      </c>
      <c r="H13" s="47">
        <f>SUM(H14,H22,H39,H40,H33,H37,H38,H41)</f>
        <v/>
      </c>
      <c r="I13" s="48">
        <f>IFERROR(G13-H13,"N/A")</f>
        <v/>
      </c>
      <c r="J13" s="49">
        <f>IFERROR(([1]BS!$G13-[1]BS!$H13)/ABS([1]BS!$H13),"N/A")</f>
        <v/>
      </c>
    </row>
    <row r="14" ht="13.35" customHeight="1">
      <c r="A14" s="50" t="inlineStr">
        <is>
          <t>10.B.01</t>
        </is>
      </c>
      <c r="B14" s="51" t="inlineStr">
        <is>
          <t>Inventories</t>
        </is>
      </c>
      <c r="C14" s="51" t="inlineStr">
        <is>
          <t>Mal-material ehtiyatları</t>
        </is>
      </c>
      <c r="D14" s="46" t="inlineStr">
        <is>
          <t>+</t>
        </is>
      </c>
      <c r="E14" s="47">
        <f>SUM(E15,E18:E21)</f>
        <v/>
      </c>
      <c r="F14" s="47">
        <f>SUM(F15,F18:F21)</f>
        <v/>
      </c>
      <c r="G14" s="47" t="n">
        <v>19422.16</v>
      </c>
      <c r="H14" s="47">
        <f>SUM(H15,H18:H21)</f>
        <v/>
      </c>
      <c r="I14" s="48">
        <f>IFERROR(G14-H14,"N/A")</f>
        <v/>
      </c>
      <c r="J14" s="49">
        <f>IFERROR(([1]BS!$G14-[1]BS!$H14)/ABS([1]BS!$H14),"N/A")</f>
        <v/>
      </c>
    </row>
    <row r="15" outlineLevel="1" ht="13.35" customHeight="1">
      <c r="A15" s="52" t="inlineStr">
        <is>
          <t>10.B.01.01</t>
        </is>
      </c>
      <c r="B15" s="53" t="inlineStr">
        <is>
          <t>Finished goods other than crude oil</t>
        </is>
      </c>
      <c r="C15" s="53" t="n"/>
      <c r="D15" s="54" t="inlineStr">
        <is>
          <t>+</t>
        </is>
      </c>
      <c r="E15" s="55">
        <f>E16+E17</f>
        <v/>
      </c>
      <c r="F15" s="55">
        <f>F16+F17</f>
        <v/>
      </c>
      <c r="G15" s="55" t="n">
        <v>19422.16</v>
      </c>
      <c r="H15" s="55">
        <f>H16+H17</f>
        <v/>
      </c>
      <c r="I15" s="56">
        <f>IFERROR(G15-H15,"N/A")</f>
        <v/>
      </c>
      <c r="J15" s="57">
        <f>IFERROR(([1]BS!$G15-[1]BS!$H15)/ABS([1]BS!$H15),"N/A")</f>
        <v/>
      </c>
    </row>
    <row r="16" outlineLevel="1" ht="13.35" customHeight="1">
      <c r="A16" s="58" t="inlineStr">
        <is>
          <t>10.B.01.01.01</t>
        </is>
      </c>
      <c r="B16" s="59" t="inlineStr">
        <is>
          <t>Finished products</t>
        </is>
      </c>
      <c r="C16" s="59" t="n"/>
      <c r="D16" s="60" t="inlineStr">
        <is>
          <t>+</t>
        </is>
      </c>
      <c r="E16" s="61" t="n">
        <v>0</v>
      </c>
      <c r="F16" s="61" t="n">
        <v>0</v>
      </c>
      <c r="G16" s="61" t="n">
        <v>0</v>
      </c>
      <c r="H16" s="61" t="n"/>
      <c r="I16" s="62">
        <f>IFERROR(G16-H16,"N/A")</f>
        <v/>
      </c>
      <c r="J16" s="63">
        <f>IFERROR(([1]BS!$G16-[1]BS!$H16)/ABS([1]BS!$H16),"N/A")</f>
        <v/>
      </c>
    </row>
    <row r="17" outlineLevel="1" ht="13.35" customHeight="1">
      <c r="A17" s="58" t="inlineStr">
        <is>
          <t>10.B.01.01.02</t>
        </is>
      </c>
      <c r="B17" s="59" t="inlineStr">
        <is>
          <t>Products held for resale</t>
        </is>
      </c>
      <c r="C17" s="59" t="n"/>
      <c r="D17" s="60" t="inlineStr">
        <is>
          <t>+</t>
        </is>
      </c>
      <c r="E17" s="61" t="n">
        <v>29683.71765766514</v>
      </c>
      <c r="F17" s="61" t="n">
        <v>19547.23330753068</v>
      </c>
      <c r="G17" s="61" t="n">
        <v>21239.02156243028</v>
      </c>
      <c r="H17" s="61" t="n">
        <v>15533.52941176471</v>
      </c>
      <c r="I17" s="62">
        <f>IFERROR(G17-H17,"N/A")</f>
        <v/>
      </c>
      <c r="J17" s="63">
        <f>IFERROR(([1]BS!$G17-[1]BS!$H17)/ABS([1]BS!$H17),"N/A")</f>
        <v/>
      </c>
    </row>
    <row r="18" outlineLevel="1" ht="13.35" customHeight="1">
      <c r="A18" s="52" t="inlineStr">
        <is>
          <t>10.B.01.03</t>
        </is>
      </c>
      <c r="B18" s="53" t="inlineStr">
        <is>
          <t>Materials and components</t>
        </is>
      </c>
      <c r="C18" s="53" t="n"/>
      <c r="D18" s="54" t="inlineStr">
        <is>
          <t>+</t>
        </is>
      </c>
      <c r="E18" s="61" t="n">
        <v>0</v>
      </c>
      <c r="F18" s="61" t="n">
        <v>0</v>
      </c>
      <c r="G18" s="61" t="n">
        <v>0</v>
      </c>
      <c r="H18" s="61" t="n"/>
      <c r="I18" s="62">
        <f>IFERROR(G18-H18,"N/A")</f>
        <v/>
      </c>
      <c r="J18" s="63">
        <f>IFERROR(([1]BS!$G18-[1]BS!$H18)/ABS([1]BS!$H18),"N/A")</f>
        <v/>
      </c>
    </row>
    <row r="19" outlineLevel="1" ht="13.35" customHeight="1">
      <c r="A19" s="52" t="inlineStr">
        <is>
          <t>10.B.01.04</t>
        </is>
      </c>
      <c r="B19" s="53" t="inlineStr">
        <is>
          <t>Crude oil</t>
        </is>
      </c>
      <c r="C19" s="53" t="inlineStr">
        <is>
          <t>Xam neft</t>
        </is>
      </c>
      <c r="D19" s="54" t="inlineStr">
        <is>
          <t>+</t>
        </is>
      </c>
      <c r="E19" s="61" t="n">
        <v>0</v>
      </c>
      <c r="F19" s="61" t="n">
        <v>0</v>
      </c>
      <c r="G19" s="61" t="n">
        <v>0</v>
      </c>
      <c r="H19" s="61" t="n"/>
      <c r="I19" s="62">
        <f>IFERROR(G19-H19,"N/A")</f>
        <v/>
      </c>
      <c r="J19" s="63">
        <f>IFERROR(([1]BS!$G19-[1]BS!$H19)/ABS([1]BS!$H19),"N/A")</f>
        <v/>
      </c>
    </row>
    <row r="20" outlineLevel="1" ht="13.35" customHeight="1">
      <c r="A20" s="52" t="inlineStr">
        <is>
          <t>10.B.01.05</t>
        </is>
      </c>
      <c r="B20" s="53" t="inlineStr">
        <is>
          <t>Unfinished production</t>
        </is>
      </c>
      <c r="C20" s="53" t="n"/>
      <c r="D20" s="54" t="inlineStr">
        <is>
          <t>+</t>
        </is>
      </c>
      <c r="E20" s="61" t="n">
        <v>0</v>
      </c>
      <c r="F20" s="61" t="n">
        <v>0</v>
      </c>
      <c r="G20" s="61" t="n">
        <v>0</v>
      </c>
      <c r="H20" s="61" t="n">
        <v>0</v>
      </c>
      <c r="I20" s="62">
        <f>IFERROR(G20-H20,"N/A")</f>
        <v/>
      </c>
      <c r="J20" s="63">
        <f>IFERROR(([1]BS!$G20-[1]BS!$H20)/ABS([1]BS!$H20),"N/A")</f>
        <v/>
      </c>
    </row>
    <row r="21" outlineLevel="1" ht="13.35" customHeight="1">
      <c r="A21" s="52" t="inlineStr">
        <is>
          <t>10.B.01.06</t>
        </is>
      </c>
      <c r="B21" s="53" t="inlineStr">
        <is>
          <t>Other (Inventories)</t>
        </is>
      </c>
      <c r="C21" s="53" t="n"/>
      <c r="D21" s="54" t="inlineStr">
        <is>
          <t>+</t>
        </is>
      </c>
      <c r="E21" s="61" t="n">
        <v>0</v>
      </c>
      <c r="F21" s="61" t="n">
        <v>0</v>
      </c>
      <c r="G21" s="61" t="n">
        <v>0</v>
      </c>
      <c r="H21" s="61" t="n">
        <v>0</v>
      </c>
      <c r="I21" s="62">
        <f>IFERROR(G21-H21,"N/A")</f>
        <v/>
      </c>
      <c r="J21" s="63">
        <f>IFERROR(([1]BS!$G21-[1]BS!$H21)/ABS([1]BS!$H21),"N/A")</f>
        <v/>
      </c>
    </row>
    <row r="22" ht="13.35" customHeight="1">
      <c r="A22" s="50" t="inlineStr">
        <is>
          <t>10.B.02</t>
        </is>
      </c>
      <c r="B22" s="51" t="inlineStr">
        <is>
          <t>Trade and other receivables</t>
        </is>
      </c>
      <c r="C22" s="51" t="n"/>
      <c r="D22" s="64" t="inlineStr">
        <is>
          <t>+</t>
        </is>
      </c>
      <c r="E22" s="65">
        <f>SUM(E23,E28,E29)</f>
        <v/>
      </c>
      <c r="F22" s="65">
        <f>SUM(F23,F28,F29)</f>
        <v/>
      </c>
      <c r="G22" s="65" t="n">
        <v>18547.75</v>
      </c>
      <c r="H22" s="65">
        <f>SUM(H23,H28,H29)</f>
        <v/>
      </c>
      <c r="I22" s="48">
        <f>IFERROR(G22-H22,"N/A")</f>
        <v/>
      </c>
      <c r="J22" s="49">
        <f>IFERROR(([1]BS!$G22-[1]BS!$H22)/ABS([1]BS!$H22),"N/A")</f>
        <v/>
      </c>
    </row>
    <row r="23" ht="13.35" customHeight="1">
      <c r="A23" s="52" t="inlineStr">
        <is>
          <t>10.B.02.01</t>
        </is>
      </c>
      <c r="B23" s="53" t="inlineStr">
        <is>
          <t>Financial and non-financial receivables</t>
        </is>
      </c>
      <c r="C23" s="53" t="n"/>
      <c r="D23" s="54" t="inlineStr">
        <is>
          <t>+</t>
        </is>
      </c>
      <c r="E23" s="55">
        <f>SUM(E24,E25,E26,E27)</f>
        <v/>
      </c>
      <c r="F23" s="55">
        <f>SUM(F24,F25,F26,F27)</f>
        <v/>
      </c>
      <c r="G23" s="55" t="n">
        <v>18547.75</v>
      </c>
      <c r="H23" s="55">
        <f>SUM(H24,H25,H26,H27)</f>
        <v/>
      </c>
      <c r="I23" s="56">
        <f>IFERROR(G23-H23,"N/A")</f>
        <v/>
      </c>
      <c r="J23" s="57">
        <f>IFERROR(([1]BS!$G23-[1]BS!$H23)/ABS([1]BS!$H23),"N/A")</f>
        <v/>
      </c>
    </row>
    <row r="24" ht="13.35" customHeight="1">
      <c r="A24" s="58" t="inlineStr">
        <is>
          <t>10.B.02.01.01</t>
        </is>
      </c>
      <c r="B24" s="59" t="inlineStr">
        <is>
          <t>Trade receivables</t>
        </is>
      </c>
      <c r="C24" s="59" t="n"/>
      <c r="D24" s="60" t="inlineStr">
        <is>
          <t>+</t>
        </is>
      </c>
      <c r="E24" s="61" t="n">
        <v>140288.911400066</v>
      </c>
      <c r="F24" s="61" t="n">
        <v>69296.7361125816</v>
      </c>
      <c r="G24" s="61" t="n">
        <v>8270.1</v>
      </c>
      <c r="H24" s="61" t="n">
        <v>128743.5294117647</v>
      </c>
      <c r="I24" s="62">
        <f>IFERROR(G24-H24,"N/A")</f>
        <v/>
      </c>
      <c r="J24" s="63">
        <f>IFERROR(([1]BS!$G24-[1]BS!$H24)/ABS([1]BS!$H24),"N/A")</f>
        <v/>
      </c>
    </row>
    <row r="25" ht="13.35" customHeight="1">
      <c r="A25" s="58" t="inlineStr">
        <is>
          <t>10.B.02.01.02</t>
        </is>
      </c>
      <c r="B25" s="59" t="inlineStr">
        <is>
          <t>ECL on trade receivables</t>
        </is>
      </c>
      <c r="C25" s="59" t="n"/>
      <c r="D25" s="60" t="inlineStr">
        <is>
          <t>-</t>
        </is>
      </c>
      <c r="E25" s="61" t="n">
        <v>0</v>
      </c>
      <c r="F25" s="61" t="n">
        <v>0</v>
      </c>
      <c r="G25" s="61" t="n">
        <v>0</v>
      </c>
      <c r="H25" s="61" t="n">
        <v>0</v>
      </c>
      <c r="I25" s="62">
        <f>IFERROR(G25-H25,"N/A")</f>
        <v/>
      </c>
      <c r="J25" s="63">
        <f>IFERROR(([1]BS!$G25-[1]BS!$H25)/ABS([1]BS!$H25),"N/A")</f>
        <v/>
      </c>
    </row>
    <row r="26" ht="13.35" customHeight="1">
      <c r="A26" s="58" t="inlineStr">
        <is>
          <t>10.B.02.01.03</t>
        </is>
      </c>
      <c r="B26" s="59" t="inlineStr">
        <is>
          <t>Other receivables</t>
        </is>
      </c>
      <c r="C26" s="59" t="n"/>
      <c r="D26" s="60" t="inlineStr">
        <is>
          <t>+</t>
        </is>
      </c>
      <c r="E26" s="61" t="n">
        <v>2971.465880829015</v>
      </c>
      <c r="F26" s="61" t="n">
        <v>12203.97243647202</v>
      </c>
      <c r="G26" s="61" t="n">
        <v>10277.64</v>
      </c>
      <c r="H26" s="61" t="n">
        <v>2258.823529411765</v>
      </c>
      <c r="I26" s="62">
        <f>IFERROR(G26-H26,"N/A")</f>
        <v/>
      </c>
      <c r="J26" s="63">
        <f>IFERROR(([1]BS!$G26-[1]BS!$H26)/ABS([1]BS!$H26),"N/A")</f>
        <v/>
      </c>
    </row>
    <row r="27" ht="13.35" customHeight="1">
      <c r="A27" s="58" t="inlineStr">
        <is>
          <t>10.B.02.01.04</t>
        </is>
      </c>
      <c r="B27" s="59" t="inlineStr">
        <is>
          <t>ECL on other receivables</t>
        </is>
      </c>
      <c r="C27" s="59" t="n"/>
      <c r="D27" s="60" t="inlineStr">
        <is>
          <t>-</t>
        </is>
      </c>
      <c r="E27" s="61" t="n">
        <v>0</v>
      </c>
      <c r="F27" s="61" t="n">
        <v>0</v>
      </c>
      <c r="G27" s="61" t="n">
        <v>0</v>
      </c>
      <c r="H27" s="61" t="n">
        <v>0</v>
      </c>
      <c r="I27" s="62">
        <f>IFERROR(G27-H27,"N/A")</f>
        <v/>
      </c>
      <c r="J27" s="63">
        <f>IFERROR(([1]BS!$G27-[1]BS!$H27)/ABS([1]BS!$H27),"N/A")</f>
        <v/>
      </c>
    </row>
    <row r="28" ht="13.35" customHeight="1">
      <c r="A28" s="52" t="inlineStr">
        <is>
          <t>10.B.02.02</t>
        </is>
      </c>
      <c r="B28" s="53" t="inlineStr">
        <is>
          <t>Current advances paid (prepayments)</t>
        </is>
      </c>
      <c r="C28" s="53" t="n"/>
      <c r="D28" s="54" t="inlineStr">
        <is>
          <t>+</t>
        </is>
      </c>
      <c r="E28" s="61" t="n">
        <v>0</v>
      </c>
      <c r="F28" s="61" t="n">
        <v>0</v>
      </c>
      <c r="G28" s="61" t="n">
        <v>0</v>
      </c>
      <c r="H28" s="61" t="n"/>
      <c r="I28" s="62">
        <f>IFERROR(G28-H28,"N/A")</f>
        <v/>
      </c>
      <c r="J28" s="63">
        <f>IFERROR(([1]BS!$G28-[1]BS!$H28)/ABS([1]BS!$H28),"N/A")</f>
        <v/>
      </c>
    </row>
    <row r="29" ht="13.35" customHeight="1">
      <c r="A29" s="52" t="inlineStr">
        <is>
          <t>10.B.02.03</t>
        </is>
      </c>
      <c r="B29" s="53" t="inlineStr">
        <is>
          <t>Current tax receivables</t>
        </is>
      </c>
      <c r="C29" s="53" t="n"/>
      <c r="D29" s="54" t="inlineStr">
        <is>
          <t>+</t>
        </is>
      </c>
      <c r="E29" s="55">
        <f>SUM(E30:E32)</f>
        <v/>
      </c>
      <c r="F29" s="55">
        <f>SUM(F30:F32)</f>
        <v/>
      </c>
      <c r="G29" s="55">
        <f>SUM(G30:G32)</f>
        <v/>
      </c>
      <c r="H29" s="55">
        <f>SUM(H30:H32)</f>
        <v/>
      </c>
      <c r="I29" s="56">
        <f>IFERROR(G29-H29,"N/A")</f>
        <v/>
      </c>
      <c r="J29" s="57">
        <f>IFERROR(([1]BS!$G29-[1]BS!$H29)/ABS([1]BS!$H29),"N/A")</f>
        <v/>
      </c>
    </row>
    <row r="30" ht="13.35" customHeight="1">
      <c r="A30" s="58" t="inlineStr">
        <is>
          <t>10.B.02.03.01</t>
        </is>
      </c>
      <c r="B30" s="59" t="inlineStr">
        <is>
          <t>Income tax advances</t>
        </is>
      </c>
      <c r="C30" s="59" t="n"/>
      <c r="D30" s="60" t="inlineStr">
        <is>
          <t>+</t>
        </is>
      </c>
      <c r="E30" s="61" t="n"/>
      <c r="F30" s="61" t="n"/>
      <c r="G30" s="61" t="n"/>
      <c r="H30" s="61" t="n"/>
      <c r="I30" s="62">
        <f>IFERROR(G30-H30,"N/A")</f>
        <v/>
      </c>
      <c r="J30" s="63">
        <f>IFERROR(([1]BS!$G30-[1]BS!$H30)/ABS([1]BS!$H30),"N/A")</f>
        <v/>
      </c>
    </row>
    <row r="31" ht="13.35" customHeight="1">
      <c r="A31" s="58" t="inlineStr">
        <is>
          <t>10.B.02.03.02</t>
        </is>
      </c>
      <c r="B31" s="59" t="inlineStr">
        <is>
          <t>Value added tax</t>
        </is>
      </c>
      <c r="C31" s="59" t="n"/>
      <c r="D31" s="60" t="inlineStr">
        <is>
          <t>+</t>
        </is>
      </c>
      <c r="E31" s="61" t="n"/>
      <c r="F31" s="61" t="n"/>
      <c r="G31" s="61" t="n"/>
      <c r="H31" s="61" t="n"/>
      <c r="I31" s="62">
        <f>IFERROR(G31-H31,"N/A")</f>
        <v/>
      </c>
      <c r="J31" s="63">
        <f>IFERROR(([1]BS!$G31-[1]BS!$H31)/ABS([1]BS!$H31),"N/A")</f>
        <v/>
      </c>
    </row>
    <row r="32" ht="13.35" customHeight="1">
      <c r="A32" s="58" t="inlineStr">
        <is>
          <t>10.B.02.03.03</t>
        </is>
      </c>
      <c r="B32" s="59" t="inlineStr">
        <is>
          <t>Other tax receivables</t>
        </is>
      </c>
      <c r="C32" s="59" t="n"/>
      <c r="D32" s="60" t="inlineStr">
        <is>
          <t>+</t>
        </is>
      </c>
      <c r="E32" s="61" t="n"/>
      <c r="F32" s="61" t="n"/>
      <c r="G32" s="61" t="n"/>
      <c r="H32" s="61" t="n"/>
      <c r="I32" s="62">
        <f>IFERROR(G32-H32,"N/A")</f>
        <v/>
      </c>
      <c r="J32" s="63">
        <f>IFERROR(([1]BS!$G32-[1]BS!$H32)/ABS([1]BS!$H32),"N/A")</f>
        <v/>
      </c>
    </row>
    <row r="33" ht="13.35" customHeight="1">
      <c r="A33" s="50" t="inlineStr">
        <is>
          <t>10.B.03</t>
        </is>
      </c>
      <c r="B33" s="51" t="inlineStr">
        <is>
          <t>Cash and cash equivalents</t>
        </is>
      </c>
      <c r="C33" s="51" t="n"/>
      <c r="D33" s="64" t="inlineStr">
        <is>
          <t>+</t>
        </is>
      </c>
      <c r="E33" s="65">
        <f>SUM(E34:E36)</f>
        <v/>
      </c>
      <c r="F33" s="65">
        <f>SUM(F34:F36)</f>
        <v/>
      </c>
      <c r="G33" s="65" t="n">
        <v>822.8200000000001</v>
      </c>
      <c r="H33" s="65">
        <f>SUM(H34:H36)</f>
        <v/>
      </c>
      <c r="I33" s="48">
        <f>IFERROR(G33-H33,"N/A")</f>
        <v/>
      </c>
      <c r="J33" s="49">
        <f>IFERROR(([1]BS!$G33-[1]BS!$H33)/ABS([1]BS!$H33),"N/A")</f>
        <v/>
      </c>
    </row>
    <row r="34" ht="13.35" customHeight="1">
      <c r="A34" s="52" t="inlineStr">
        <is>
          <t>10.B.03.01</t>
        </is>
      </c>
      <c r="B34" s="53" t="inlineStr">
        <is>
          <t>Cash</t>
        </is>
      </c>
      <c r="C34" s="53" t="n"/>
      <c r="D34" s="54" t="inlineStr">
        <is>
          <t>+</t>
        </is>
      </c>
      <c r="E34" s="61" t="n">
        <v>11872.98742042931</v>
      </c>
      <c r="F34" s="61" t="n">
        <v>2698.932529765196</v>
      </c>
      <c r="G34" s="61" t="n">
        <v>822.8200000000001</v>
      </c>
      <c r="H34" s="61" t="n">
        <v>5752.941176470588</v>
      </c>
      <c r="I34" s="62">
        <f>IFERROR(G34-H34,"N/A")</f>
        <v/>
      </c>
      <c r="J34" s="63">
        <f>IFERROR(([1]BS!$G34-[1]BS!$H34)/ABS([1]BS!$H34),"N/A")</f>
        <v/>
      </c>
    </row>
    <row r="35" ht="13.35" customHeight="1">
      <c r="A35" s="52" t="inlineStr">
        <is>
          <t>10.B.03.02</t>
        </is>
      </c>
      <c r="B35" s="53" t="inlineStr">
        <is>
          <t>Other cash equivalents</t>
        </is>
      </c>
      <c r="C35" s="53" t="n"/>
      <c r="D35" s="54" t="inlineStr">
        <is>
          <t>+</t>
        </is>
      </c>
      <c r="E35" s="61" t="n">
        <v>0</v>
      </c>
      <c r="F35" s="61" t="n">
        <v>0</v>
      </c>
      <c r="G35" s="61" t="n">
        <v>0</v>
      </c>
      <c r="H35" s="61" t="n">
        <v>0</v>
      </c>
      <c r="I35" s="62">
        <f>IFERROR(G35-H35,"N/A")</f>
        <v/>
      </c>
      <c r="J35" s="63">
        <f>IFERROR(([1]BS!$G35-[1]BS!$H35)/ABS([1]BS!$H35),"N/A")</f>
        <v/>
      </c>
    </row>
    <row r="36" ht="13.35" customHeight="1">
      <c r="A36" s="52" t="inlineStr">
        <is>
          <t>10.B.03.03</t>
        </is>
      </c>
      <c r="B36" s="53" t="inlineStr">
        <is>
          <t>ECL for cash and cash equivalents</t>
        </is>
      </c>
      <c r="C36" s="53" t="n"/>
      <c r="D36" s="54" t="inlineStr">
        <is>
          <t>-</t>
        </is>
      </c>
      <c r="E36" s="61" t="n">
        <v>0</v>
      </c>
      <c r="F36" s="61" t="n">
        <v>0</v>
      </c>
      <c r="G36" s="61" t="n">
        <v>0</v>
      </c>
      <c r="H36" s="61" t="n">
        <v>0</v>
      </c>
      <c r="I36" s="62">
        <f>IFERROR(G36-H36,"N/A")</f>
        <v/>
      </c>
      <c r="J36" s="63">
        <f>IFERROR(([1]BS!$G36-[1]BS!$H36)/ABS([1]BS!$H36),"N/A")</f>
        <v/>
      </c>
    </row>
    <row r="37" ht="13.35" customHeight="1">
      <c r="A37" s="50" t="inlineStr">
        <is>
          <t>10.B.04</t>
        </is>
      </c>
      <c r="B37" s="51" t="inlineStr">
        <is>
          <t>Restricted cash</t>
        </is>
      </c>
      <c r="C37" s="51" t="n"/>
      <c r="D37" s="64" t="inlineStr">
        <is>
          <t>+</t>
        </is>
      </c>
      <c r="E37" s="61" t="n">
        <v>0</v>
      </c>
      <c r="F37" s="61" t="n">
        <v>0</v>
      </c>
      <c r="G37" s="61" t="n">
        <v>0</v>
      </c>
      <c r="H37" s="61" t="n">
        <v>0</v>
      </c>
      <c r="I37" s="62">
        <f>IFERROR(G37-H37,"N/A")</f>
        <v/>
      </c>
      <c r="J37" s="63">
        <f>IFERROR(([1]BS!$G37-[1]BS!$H37)/ABS([1]BS!$H37),"N/A")</f>
        <v/>
      </c>
    </row>
    <row r="38" ht="13.35" customHeight="1">
      <c r="A38" s="50" t="inlineStr">
        <is>
          <t>10.B.05</t>
        </is>
      </c>
      <c r="B38" s="51" t="inlineStr">
        <is>
          <t>Current deposits</t>
        </is>
      </c>
      <c r="C38" s="51" t="inlineStr">
        <is>
          <t>Cari depozitlər</t>
        </is>
      </c>
      <c r="D38" s="64" t="inlineStr">
        <is>
          <t>+</t>
        </is>
      </c>
      <c r="E38" s="61" t="n">
        <v>0</v>
      </c>
      <c r="F38" s="61" t="n">
        <v>0</v>
      </c>
      <c r="G38" s="61" t="n">
        <v>0</v>
      </c>
      <c r="H38" s="61" t="n">
        <v>0</v>
      </c>
      <c r="I38" s="62">
        <f>IFERROR(G38-H38,"N/A")</f>
        <v/>
      </c>
      <c r="J38" s="63">
        <f>IFERROR(([1]BS!$G38-[1]BS!$H38)/ABS([1]BS!$H38),"N/A")</f>
        <v/>
      </c>
    </row>
    <row r="39" ht="13.35" customHeight="1">
      <c r="A39" s="50" t="inlineStr">
        <is>
          <t>10.B.06</t>
        </is>
      </c>
      <c r="B39" s="51" t="inlineStr">
        <is>
          <t>Current contract assets</t>
        </is>
      </c>
      <c r="C39" s="51" t="n"/>
      <c r="D39" s="64" t="inlineStr">
        <is>
          <t>+</t>
        </is>
      </c>
      <c r="E39" s="61" t="n">
        <v>0</v>
      </c>
      <c r="F39" s="61" t="n">
        <v>0</v>
      </c>
      <c r="G39" s="61" t="n">
        <v>0</v>
      </c>
      <c r="H39" s="61" t="n">
        <v>0</v>
      </c>
      <c r="I39" s="62">
        <f>IFERROR(G39-H39,"N/A")</f>
        <v/>
      </c>
      <c r="J39" s="63">
        <f>IFERROR(([1]BS!$G39-[1]BS!$H39)/ABS([1]BS!$H39),"N/A")</f>
        <v/>
      </c>
    </row>
    <row r="40" ht="13.35" customHeight="1">
      <c r="A40" s="50" t="inlineStr">
        <is>
          <t>10.B.07</t>
        </is>
      </c>
      <c r="B40" s="51" t="inlineStr">
        <is>
          <t>Other current financial assets</t>
        </is>
      </c>
      <c r="C40" s="51" t="n"/>
      <c r="D40" s="64" t="inlineStr">
        <is>
          <t>+</t>
        </is>
      </c>
      <c r="E40" s="61" t="n">
        <v>49.55015914137051</v>
      </c>
      <c r="F40" s="61" t="n"/>
      <c r="G40" s="61" t="n"/>
      <c r="H40" s="61" t="n">
        <v>0</v>
      </c>
      <c r="I40" s="62">
        <f>IFERROR(G40-H40,"N/A")</f>
        <v/>
      </c>
      <c r="J40" s="63">
        <f>IFERROR(([1]BS!$G40-[1]BS!$H40)/ABS([1]BS!$H40),"N/A")</f>
        <v/>
      </c>
    </row>
    <row r="41" ht="13.35" customHeight="1">
      <c r="A41" s="50" t="inlineStr">
        <is>
          <t>10.B.08</t>
        </is>
      </c>
      <c r="B41" s="51" t="inlineStr">
        <is>
          <t>Other current assets</t>
        </is>
      </c>
      <c r="C41" s="51" t="n"/>
      <c r="D41" s="64" t="inlineStr">
        <is>
          <t>+</t>
        </is>
      </c>
      <c r="E41" s="65">
        <f>SUM(E42:E43)</f>
        <v/>
      </c>
      <c r="F41" s="65">
        <f>SUM(F42:F43)</f>
        <v/>
      </c>
      <c r="G41" s="65">
        <f>SUM(G42:G43)</f>
        <v/>
      </c>
      <c r="H41" s="65">
        <f>SUM(H42:H43)</f>
        <v/>
      </c>
      <c r="I41" s="48">
        <f>IFERROR(G41-H41,"N/A")</f>
        <v/>
      </c>
      <c r="J41" s="49">
        <f>IFERROR(([1]BS!$G41-[1]BS!$H41)/ABS([1]BS!$H41),"N/A")</f>
        <v/>
      </c>
    </row>
    <row r="42" ht="13.35" customHeight="1">
      <c r="A42" s="52" t="inlineStr">
        <is>
          <t>10.B.08.01</t>
        </is>
      </c>
      <c r="B42" s="53" t="inlineStr">
        <is>
          <t>Right of return assets</t>
        </is>
      </c>
      <c r="C42" s="53" t="n"/>
      <c r="D42" s="54" t="inlineStr">
        <is>
          <t>+</t>
        </is>
      </c>
      <c r="E42" s="61" t="n"/>
      <c r="F42" s="61" t="n"/>
      <c r="G42" s="61" t="n"/>
      <c r="H42" s="61" t="n"/>
      <c r="I42" s="62">
        <f>IFERROR(G42-H42,"N/A")</f>
        <v/>
      </c>
      <c r="J42" s="63">
        <f>IFERROR(([1]BS!$G42-[1]BS!$H42)/ABS([1]BS!$H42),"N/A")</f>
        <v/>
      </c>
    </row>
    <row r="43" ht="13.35" customHeight="1">
      <c r="A43" s="52" t="inlineStr">
        <is>
          <t>10.B.08.02</t>
        </is>
      </c>
      <c r="B43" s="53" t="inlineStr">
        <is>
          <t>Other (Other Current assets)</t>
        </is>
      </c>
      <c r="C43" s="53" t="n"/>
      <c r="D43" s="54" t="inlineStr">
        <is>
          <t>+</t>
        </is>
      </c>
      <c r="E43" s="61" t="n"/>
      <c r="F43" s="61" t="n"/>
      <c r="G43" s="61" t="n"/>
      <c r="H43" s="61" t="n"/>
      <c r="I43" s="62">
        <f>IFERROR(G43-H43,"N/A")</f>
        <v/>
      </c>
      <c r="J43" s="63">
        <f>IFERROR(([1]BS!$G43-[1]BS!$H43)/ABS([1]BS!$H43),"N/A")</f>
        <v/>
      </c>
    </row>
    <row r="44" ht="13.35" customHeight="1">
      <c r="A44" s="50" t="inlineStr">
        <is>
          <t>10.A</t>
        </is>
      </c>
      <c r="B44" s="66" t="inlineStr">
        <is>
          <t>Non-current assets</t>
        </is>
      </c>
      <c r="C44" s="66" t="n"/>
      <c r="D44" s="64" t="inlineStr">
        <is>
          <t>+</t>
        </is>
      </c>
      <c r="E44" s="65">
        <f>SUM(E45,E50,E53,E59,E63,E64,E65:E67,E75)</f>
        <v/>
      </c>
      <c r="F44" s="65">
        <f>SUM(F45,F50,F53,F59,F63,F64,F65:F67,F75)</f>
        <v/>
      </c>
      <c r="G44" s="65" t="n">
        <v>61834.67</v>
      </c>
      <c r="H44" s="65">
        <f>SUM(H45,H50,H53,H59,H63,H64,H65:H67,H75)</f>
        <v/>
      </c>
      <c r="I44" s="48">
        <f>IFERROR(G44-H44,"N/A")</f>
        <v/>
      </c>
      <c r="J44" s="49">
        <f>IFERROR(([1]BS!$G44-[1]BS!$H44)/ABS([1]BS!$H44),"N/A")</f>
        <v/>
      </c>
    </row>
    <row r="45" ht="13.35" customHeight="1">
      <c r="A45" s="50" t="inlineStr">
        <is>
          <t>10.A.01</t>
        </is>
      </c>
      <c r="B45" s="67" t="inlineStr">
        <is>
          <t>Property, plant and equipment (PPE)</t>
        </is>
      </c>
      <c r="C45" s="67" t="n"/>
      <c r="D45" s="64" t="inlineStr">
        <is>
          <t>+</t>
        </is>
      </c>
      <c r="E45" s="65">
        <f>SUM(E46:E47)</f>
        <v/>
      </c>
      <c r="F45" s="65">
        <f>SUM(F46:F47)</f>
        <v/>
      </c>
      <c r="G45" s="65" t="n">
        <v>52955.45</v>
      </c>
      <c r="H45" s="65">
        <f>SUM(H46:H47)</f>
        <v/>
      </c>
      <c r="I45" s="48">
        <f>IFERROR(G45-H45,"N/A")</f>
        <v/>
      </c>
      <c r="J45" s="49">
        <f>IFERROR(([1]BS!$G45-[1]BS!$H45)/ABS([1]BS!$H45),"N/A")</f>
        <v/>
      </c>
    </row>
    <row r="46" ht="13.35" customHeight="1">
      <c r="A46" s="52" t="inlineStr">
        <is>
          <t>10.A.01.01</t>
        </is>
      </c>
      <c r="B46" s="68" t="inlineStr">
        <is>
          <t>PPE: cost</t>
        </is>
      </c>
      <c r="C46" s="68" t="n"/>
      <c r="D46" s="54" t="inlineStr">
        <is>
          <t>+</t>
        </is>
      </c>
      <c r="E46" s="61" t="n">
        <v>564192.2285132584</v>
      </c>
      <c r="F46" s="61" t="n">
        <v>647126.9760727724</v>
      </c>
      <c r="G46" s="61" t="n">
        <v>89225.37</v>
      </c>
      <c r="H46" s="61" t="n">
        <v>494852.3529411765</v>
      </c>
      <c r="I46" s="62">
        <f>IFERROR(G46-H46,"N/A")</f>
        <v/>
      </c>
      <c r="J46" s="63">
        <f>IFERROR(([1]BS!$G46-[1]BS!$H46)/ABS([1]BS!$H46),"N/A")</f>
        <v/>
      </c>
    </row>
    <row r="47" ht="13.35" customHeight="1">
      <c r="A47" s="52" t="inlineStr">
        <is>
          <t>10.A.01.02</t>
        </is>
      </c>
      <c r="B47" s="68" t="inlineStr">
        <is>
          <t xml:space="preserve">PPE: total impairment and depreciation amount </t>
        </is>
      </c>
      <c r="C47" s="68" t="n"/>
      <c r="D47" s="54" t="inlineStr">
        <is>
          <t>-</t>
        </is>
      </c>
      <c r="E47" s="55">
        <f>SUM(E48,E49)</f>
        <v/>
      </c>
      <c r="F47" s="55">
        <f>SUM(F48,F49)</f>
        <v/>
      </c>
      <c r="G47" s="55" t="n">
        <v>-36269.92</v>
      </c>
      <c r="H47" s="55">
        <f>SUM(H48,H49)</f>
        <v/>
      </c>
      <c r="I47" s="56">
        <f>IFERROR(G47-H47,"N/A")</f>
        <v/>
      </c>
      <c r="J47" s="57">
        <f>IFERROR(([1]BS!$G47-[1]BS!$H47)/ABS([1]BS!$H47),"N/A")</f>
        <v/>
      </c>
    </row>
    <row r="48" ht="13.35" customHeight="1">
      <c r="A48" s="58" t="inlineStr">
        <is>
          <t>10.A.01.02.01</t>
        </is>
      </c>
      <c r="B48" s="69" t="inlineStr">
        <is>
          <t xml:space="preserve">PPE: total impairment amount </t>
        </is>
      </c>
      <c r="C48" s="69" t="n"/>
      <c r="D48" s="60" t="inlineStr">
        <is>
          <t>-</t>
        </is>
      </c>
      <c r="E48" s="61" t="n">
        <v>0</v>
      </c>
      <c r="F48" s="61" t="n">
        <v>0</v>
      </c>
      <c r="G48" s="61" t="n">
        <v>0</v>
      </c>
      <c r="H48" s="61" t="n">
        <v>0</v>
      </c>
      <c r="I48" s="62">
        <f>IFERROR(G48-H48,"N/A")</f>
        <v/>
      </c>
      <c r="J48" s="63">
        <f>IFERROR(([1]BS!$G48-[1]BS!$H48)/ABS([1]BS!$H48),"N/A")</f>
        <v/>
      </c>
    </row>
    <row r="49" ht="13.35" customHeight="1">
      <c r="A49" s="58" t="inlineStr">
        <is>
          <t>10.A.01.02.02</t>
        </is>
      </c>
      <c r="B49" s="69" t="inlineStr">
        <is>
          <t xml:space="preserve">PPE: total depreciation amount </t>
        </is>
      </c>
      <c r="C49" s="69" t="n"/>
      <c r="D49" s="60" t="inlineStr">
        <is>
          <t>-</t>
        </is>
      </c>
      <c r="E49" s="61" t="n">
        <v>-155119.9261940148</v>
      </c>
      <c r="F49" s="61" t="n">
        <v>-172026.0610624159</v>
      </c>
      <c r="G49" s="61" t="n">
        <v>-36269.92</v>
      </c>
      <c r="H49" s="61" t="n">
        <v>-116547.6470588235</v>
      </c>
      <c r="I49" s="62">
        <f>IFERROR(G49-H49,"N/A")</f>
        <v/>
      </c>
      <c r="J49" s="63">
        <f>IFERROR(([1]BS!$G49-[1]BS!$H49)/ABS([1]BS!$H49),"N/A")</f>
        <v/>
      </c>
    </row>
    <row r="50" ht="13.35" customHeight="1">
      <c r="A50" s="50" t="inlineStr">
        <is>
          <t>10.A.02</t>
        </is>
      </c>
      <c r="B50" s="67" t="inlineStr">
        <is>
          <t>Construction-in-progress (CIP), including impairment adjustments</t>
        </is>
      </c>
      <c r="C50" s="67" t="n"/>
      <c r="D50" s="64" t="inlineStr">
        <is>
          <t>+</t>
        </is>
      </c>
      <c r="E50" s="65">
        <f>SUM(E51:E52)</f>
        <v/>
      </c>
      <c r="F50" s="65">
        <f>SUM(F51:F52)</f>
        <v/>
      </c>
      <c r="G50" s="65">
        <f>SUM(G51:G52)</f>
        <v/>
      </c>
      <c r="H50" s="65">
        <f>SUM(H51:H52)</f>
        <v/>
      </c>
      <c r="I50" s="48">
        <f>IFERROR(G50-H50,"N/A")</f>
        <v/>
      </c>
      <c r="J50" s="49">
        <f>IFERROR(([1]BS!$G50-[1]BS!$H50)/ABS([1]BS!$H50),"N/A")</f>
        <v/>
      </c>
    </row>
    <row r="51" ht="13.35" customHeight="1">
      <c r="A51" s="52" t="inlineStr">
        <is>
          <t>10.A.02.01</t>
        </is>
      </c>
      <c r="B51" s="68" t="inlineStr">
        <is>
          <t>CIP: cost</t>
        </is>
      </c>
      <c r="C51" s="68" t="n"/>
      <c r="D51" s="54" t="inlineStr">
        <is>
          <t>+</t>
        </is>
      </c>
      <c r="E51" s="61" t="n"/>
      <c r="F51" s="61" t="n"/>
      <c r="G51" s="61" t="n"/>
      <c r="H51" s="61" t="n"/>
      <c r="I51" s="62">
        <f>IFERROR(G51-H51,"N/A")</f>
        <v/>
      </c>
      <c r="J51" s="63">
        <f>IFERROR(([1]BS!$G51-[1]BS!$H51)/ABS([1]BS!$H51),"N/A")</f>
        <v/>
      </c>
    </row>
    <row r="52" ht="13.35" customHeight="1">
      <c r="A52" s="52" t="inlineStr">
        <is>
          <t>10.A.02.02</t>
        </is>
      </c>
      <c r="B52" s="68" t="inlineStr">
        <is>
          <t>CIP: total impairment amount</t>
        </is>
      </c>
      <c r="C52" s="68" t="n"/>
      <c r="D52" s="54" t="inlineStr">
        <is>
          <t>-</t>
        </is>
      </c>
      <c r="E52" s="61" t="n"/>
      <c r="F52" s="61" t="n"/>
      <c r="G52" s="61" t="n"/>
      <c r="H52" s="61" t="n"/>
      <c r="I52" s="62">
        <f>IFERROR(G52-H52,"N/A")</f>
        <v/>
      </c>
      <c r="J52" s="63">
        <f>IFERROR(([1]BS!$G52-[1]BS!$H52)/ABS([1]BS!$H52),"N/A")</f>
        <v/>
      </c>
    </row>
    <row r="53" ht="13.35" customHeight="1">
      <c r="A53" s="50" t="inlineStr">
        <is>
          <t>10.A.03</t>
        </is>
      </c>
      <c r="B53" s="67" t="inlineStr">
        <is>
          <t>Intangible assets other than goodwill</t>
        </is>
      </c>
      <c r="C53" s="67" t="n"/>
      <c r="D53" s="64" t="inlineStr">
        <is>
          <t>+</t>
        </is>
      </c>
      <c r="E53" s="65">
        <f>SUM(E54:E55,E58)</f>
        <v/>
      </c>
      <c r="F53" s="65">
        <f>SUM(F54:F55,F58)</f>
        <v/>
      </c>
      <c r="G53" s="65" t="n">
        <v>362.88</v>
      </c>
      <c r="H53" s="65">
        <f>SUM(H54:H55,H58)</f>
        <v/>
      </c>
      <c r="I53" s="48">
        <f>IFERROR(G53-H53,"N/A")</f>
        <v/>
      </c>
      <c r="J53" s="49">
        <f>IFERROR(([1]BS!$G53-[1]BS!$H53)/ABS([1]BS!$H53),"N/A")</f>
        <v/>
      </c>
    </row>
    <row r="54" ht="13.35" customHeight="1">
      <c r="A54" s="52" t="inlineStr">
        <is>
          <t>10.A.03.01</t>
        </is>
      </c>
      <c r="B54" s="68" t="inlineStr">
        <is>
          <t>Intangible assets: cost</t>
        </is>
      </c>
      <c r="C54" s="68" t="n"/>
      <c r="D54" s="54" t="inlineStr">
        <is>
          <t>+</t>
        </is>
      </c>
      <c r="E54" s="61" t="n">
        <v>4190.973172156427</v>
      </c>
      <c r="F54" s="61" t="n">
        <v>5212.935873195068</v>
      </c>
      <c r="G54" s="61" t="n">
        <v>10089.95886457608</v>
      </c>
      <c r="H54" s="61" t="n">
        <v>4902.35294117647</v>
      </c>
      <c r="I54" s="62">
        <f>IFERROR(G54-H54,"N/A")</f>
        <v/>
      </c>
      <c r="J54" s="63">
        <f>IFERROR(([1]BS!$G54-[1]BS!$H54)/ABS([1]BS!$H54),"N/A")</f>
        <v/>
      </c>
    </row>
    <row r="55" ht="13.35" customHeight="1">
      <c r="A55" s="52" t="inlineStr">
        <is>
          <t>10.A.03.02</t>
        </is>
      </c>
      <c r="B55" s="68" t="inlineStr">
        <is>
          <t>Intangible assets: total impairment and amortisation amount</t>
        </is>
      </c>
      <c r="C55" s="68" t="n"/>
      <c r="D55" s="54" t="inlineStr">
        <is>
          <t>-</t>
        </is>
      </c>
      <c r="E55" s="55">
        <f>SUM(E56,E57)</f>
        <v/>
      </c>
      <c r="F55" s="55">
        <f>SUM(F56,F57)</f>
        <v/>
      </c>
      <c r="G55" s="55">
        <f>SUM(G56,G57)</f>
        <v/>
      </c>
      <c r="H55" s="55">
        <f>SUM(H56,H57)</f>
        <v/>
      </c>
      <c r="I55" s="56">
        <f>IFERROR(G55-H55,"N/A")</f>
        <v/>
      </c>
      <c r="J55" s="57">
        <f>IFERROR(([1]BS!$G55-[1]BS!$H55)/ABS([1]BS!$H55),"N/A")</f>
        <v/>
      </c>
    </row>
    <row r="56" ht="13.35" customHeight="1">
      <c r="A56" s="58" t="inlineStr">
        <is>
          <t>10.A.03.02.01</t>
        </is>
      </c>
      <c r="B56" s="69" t="inlineStr">
        <is>
          <t>Intangible assets: total impairment amount</t>
        </is>
      </c>
      <c r="C56" s="69" t="n"/>
      <c r="D56" s="60" t="inlineStr">
        <is>
          <t>-</t>
        </is>
      </c>
      <c r="E56" s="61" t="n">
        <v>0</v>
      </c>
      <c r="F56" s="61" t="n">
        <v>0</v>
      </c>
      <c r="G56" s="61" t="n">
        <v>0</v>
      </c>
      <c r="H56" s="61" t="n">
        <v>0</v>
      </c>
      <c r="I56" s="62">
        <f>IFERROR(G56-H56,"N/A")</f>
        <v/>
      </c>
      <c r="J56" s="63">
        <f>IFERROR(([1]BS!$G56-[1]BS!$H56)/ABS([1]BS!$H56),"N/A")</f>
        <v/>
      </c>
    </row>
    <row r="57" ht="13.35" customHeight="1">
      <c r="A57" s="58" t="inlineStr">
        <is>
          <t>10.A.03.02.02</t>
        </is>
      </c>
      <c r="B57" s="69" t="inlineStr">
        <is>
          <t>Intangible assets: total amortisation amount</t>
        </is>
      </c>
      <c r="C57" s="69" t="n"/>
      <c r="D57" s="60" t="inlineStr">
        <is>
          <t>-</t>
        </is>
      </c>
      <c r="E57" s="61" t="n">
        <v>-3133.168786084381</v>
      </c>
      <c r="F57" s="61" t="n">
        <v>-3438.580920785875</v>
      </c>
      <c r="G57" s="61" t="n">
        <v>-3494.994456012494</v>
      </c>
      <c r="H57" s="61" t="n">
        <v>-2820</v>
      </c>
      <c r="I57" s="62">
        <f>IFERROR(G57-H57,"N/A")</f>
        <v/>
      </c>
      <c r="J57" s="63">
        <f>IFERROR(([1]BS!$G57-[1]BS!$H57)/ABS([1]BS!$H57),"N/A")</f>
        <v/>
      </c>
    </row>
    <row r="58" ht="13.35" customHeight="1">
      <c r="A58" s="52" t="inlineStr">
        <is>
          <t>10.A.03.03</t>
        </is>
      </c>
      <c r="B58" s="68" t="inlineStr">
        <is>
          <t>Intangible assets - investment in progress</t>
        </is>
      </c>
      <c r="C58" s="68" t="n"/>
      <c r="D58" s="54" t="inlineStr">
        <is>
          <t>+</t>
        </is>
      </c>
      <c r="E58" s="61" t="n">
        <v>0</v>
      </c>
      <c r="F58" s="61" t="n">
        <v>0</v>
      </c>
      <c r="G58" s="61" t="n">
        <v>0</v>
      </c>
      <c r="H58" s="61" t="n">
        <v>0</v>
      </c>
      <c r="I58" s="62">
        <f>IFERROR(G58-H58,"N/A")</f>
        <v/>
      </c>
      <c r="J58" s="63">
        <f>IFERROR(([1]BS!$G58-[1]BS!$H58)/ABS([1]BS!$H58),"N/A")</f>
        <v/>
      </c>
    </row>
    <row r="59" ht="13.35" customHeight="1">
      <c r="A59" s="50" t="inlineStr">
        <is>
          <t>10.A.04</t>
        </is>
      </c>
      <c r="B59" s="67" t="inlineStr">
        <is>
          <t>Investments - cost and impairment amount</t>
        </is>
      </c>
      <c r="C59" s="67" t="n"/>
      <c r="D59" s="64" t="inlineStr">
        <is>
          <t>+</t>
        </is>
      </c>
      <c r="E59" s="65">
        <f>SUM(E60:E62)</f>
        <v/>
      </c>
      <c r="F59" s="65">
        <f>SUM(F60:F62)</f>
        <v/>
      </c>
      <c r="G59" s="65" t="n">
        <v>3874.58</v>
      </c>
      <c r="H59" s="65">
        <f>SUM(H60:H62)</f>
        <v/>
      </c>
      <c r="I59" s="48">
        <f>IFERROR(G59-H59,"N/A")</f>
        <v/>
      </c>
      <c r="J59" s="49">
        <f>IFERROR(([1]BS!$G59-[1]BS!$H59)/ABS([1]BS!$H59),"N/A")</f>
        <v/>
      </c>
    </row>
    <row r="60" ht="13.35" customHeight="1">
      <c r="A60" s="52" t="inlineStr">
        <is>
          <t>10.A.04.01</t>
        </is>
      </c>
      <c r="B60" s="68" t="inlineStr">
        <is>
          <t>Investments in Jointly controlled entities</t>
        </is>
      </c>
      <c r="C60" s="68" t="n"/>
      <c r="D60" s="54" t="inlineStr">
        <is>
          <t>+</t>
        </is>
      </c>
      <c r="E60" s="61" t="n">
        <v>4401.442509252406</v>
      </c>
      <c r="F60" s="61" t="n">
        <v>3953.571200560287</v>
      </c>
      <c r="G60" s="61" t="n">
        <v>3985.854566074217</v>
      </c>
      <c r="H60" s="61" t="n">
        <v>0</v>
      </c>
      <c r="I60" s="62">
        <f>IFERROR(G60-H60,"N/A")</f>
        <v/>
      </c>
      <c r="J60" s="63">
        <f>IFERROR(([1]BS!$G60-[1]BS!$H60)/ABS([1]BS!$H60),"N/A")</f>
        <v/>
      </c>
    </row>
    <row r="61" ht="13.35" customHeight="1">
      <c r="A61" s="52" t="inlineStr">
        <is>
          <t>10.A.04.02</t>
        </is>
      </c>
      <c r="B61" s="68" t="inlineStr">
        <is>
          <t>Investments in Associates</t>
        </is>
      </c>
      <c r="C61" s="68" t="n"/>
      <c r="D61" s="54" t="inlineStr">
        <is>
          <t>+</t>
        </is>
      </c>
      <c r="E61" s="61" t="n">
        <v>403.0695651369338</v>
      </c>
      <c r="F61" s="61" t="n">
        <v>626.3505647442782</v>
      </c>
      <c r="G61" s="61" t="n">
        <v>631.2674520422187</v>
      </c>
      <c r="H61" s="61" t="n">
        <v>0</v>
      </c>
      <c r="I61" s="62">
        <f>IFERROR(G61-H61,"N/A")</f>
        <v/>
      </c>
      <c r="J61" s="63">
        <f>IFERROR(([1]BS!$G61-[1]BS!$H61)/ABS([1]BS!$H61),"N/A")</f>
        <v/>
      </c>
    </row>
    <row r="62" ht="13.35" customHeight="1">
      <c r="A62" s="52" t="inlineStr">
        <is>
          <t>10.A.04.03</t>
        </is>
      </c>
      <c r="B62" s="68" t="inlineStr">
        <is>
          <t>Investments in Subsidiaries (for stand alone reports only)</t>
        </is>
      </c>
      <c r="C62" s="68" t="n"/>
      <c r="D62" s="54" t="inlineStr">
        <is>
          <t>+</t>
        </is>
      </c>
      <c r="E62" s="61" t="n">
        <v>0</v>
      </c>
      <c r="F62" s="61" t="n">
        <v>0</v>
      </c>
      <c r="G62" s="61" t="n">
        <v>0</v>
      </c>
      <c r="H62" s="61" t="n">
        <v>0</v>
      </c>
      <c r="I62" s="62">
        <f>IFERROR(G62-H62,"N/A")</f>
        <v/>
      </c>
      <c r="J62" s="63">
        <f>IFERROR(([1]BS!$G62-[1]BS!$H62)/ABS([1]BS!$H62),"N/A")</f>
        <v/>
      </c>
    </row>
    <row r="63" ht="13.35" customHeight="1">
      <c r="A63" s="50" t="inlineStr">
        <is>
          <t>10.A.05</t>
        </is>
      </c>
      <c r="B63" s="67" t="inlineStr">
        <is>
          <t>Deferred tax assets</t>
        </is>
      </c>
      <c r="C63" s="67" t="n"/>
      <c r="D63" s="64" t="inlineStr">
        <is>
          <t>+</t>
        </is>
      </c>
      <c r="E63" s="61" t="n">
        <v>0</v>
      </c>
      <c r="F63" s="61" t="n">
        <v>0</v>
      </c>
      <c r="G63" s="61" t="n">
        <v>0</v>
      </c>
      <c r="H63" s="61" t="n">
        <v>0</v>
      </c>
      <c r="I63" s="62">
        <f>IFERROR(G63-H63,"N/A")</f>
        <v/>
      </c>
      <c r="J63" s="63">
        <f>IFERROR(([1]BS!$G63-[1]BS!$H63)/ABS([1]BS!$H63),"N/A")</f>
        <v/>
      </c>
    </row>
    <row r="64" ht="13.35" customHeight="1">
      <c r="A64" s="50" t="inlineStr">
        <is>
          <t>10.A.06</t>
        </is>
      </c>
      <c r="B64" s="67" t="inlineStr">
        <is>
          <t>Non-current receivables</t>
        </is>
      </c>
      <c r="C64" s="67" t="n"/>
      <c r="D64" s="64" t="inlineStr">
        <is>
          <t>+</t>
        </is>
      </c>
      <c r="E64" s="61" t="n">
        <v>0</v>
      </c>
      <c r="F64" s="61" t="n">
        <v>0</v>
      </c>
      <c r="G64" s="61" t="n">
        <v>0</v>
      </c>
      <c r="H64" s="61" t="n">
        <v>0</v>
      </c>
      <c r="I64" s="62">
        <f>IFERROR(G64-H64,"N/A")</f>
        <v/>
      </c>
      <c r="J64" s="63">
        <f>IFERROR(([1]BS!$G64-[1]BS!$H64)/ABS([1]BS!$H64),"N/A")</f>
        <v/>
      </c>
    </row>
    <row r="65" ht="13.35" customHeight="1">
      <c r="A65" s="50" t="inlineStr">
        <is>
          <t>10.A.07</t>
        </is>
      </c>
      <c r="B65" s="67" t="inlineStr">
        <is>
          <t>Goodwill</t>
        </is>
      </c>
      <c r="C65" s="67" t="inlineStr">
        <is>
          <t>Qudvil</t>
        </is>
      </c>
      <c r="D65" s="64" t="inlineStr">
        <is>
          <t>+</t>
        </is>
      </c>
      <c r="E65" s="61" t="n">
        <v>0</v>
      </c>
      <c r="F65" s="61" t="n">
        <v>0</v>
      </c>
      <c r="G65" s="61" t="n">
        <v>0</v>
      </c>
      <c r="H65" s="61" t="n">
        <v>0</v>
      </c>
      <c r="I65" s="62">
        <f>IFERROR(G65-H65,"N/A")</f>
        <v/>
      </c>
      <c r="J65" s="63">
        <f>IFERROR(([1]BS!$G65-[1]BS!$H65)/ABS([1]BS!$H65),"N/A")</f>
        <v/>
      </c>
    </row>
    <row r="66" ht="13.35" customHeight="1">
      <c r="A66" s="50" t="inlineStr">
        <is>
          <t>10.A.08</t>
        </is>
      </c>
      <c r="B66" s="67" t="inlineStr">
        <is>
          <t>Contract assets</t>
        </is>
      </c>
      <c r="C66" s="67" t="n"/>
      <c r="D66" s="64" t="inlineStr">
        <is>
          <t>+</t>
        </is>
      </c>
      <c r="E66" s="61" t="n">
        <v>0</v>
      </c>
      <c r="F66" s="61" t="n">
        <v>0</v>
      </c>
      <c r="G66" s="61" t="n">
        <v>0</v>
      </c>
      <c r="H66" s="61" t="n">
        <v>0</v>
      </c>
      <c r="I66" s="62">
        <f>IFERROR(G66-H66,"N/A")</f>
        <v/>
      </c>
      <c r="J66" s="63">
        <f>IFERROR(([1]BS!$G66-[1]BS!$H66)/ABS([1]BS!$H66),"N/A")</f>
        <v/>
      </c>
    </row>
    <row r="67" ht="13.35" customHeight="1">
      <c r="A67" s="50" t="inlineStr">
        <is>
          <t>10.A.09</t>
        </is>
      </c>
      <c r="B67" s="67" t="inlineStr">
        <is>
          <t>Other non-current financial assets</t>
        </is>
      </c>
      <c r="C67" s="67" t="n"/>
      <c r="D67" s="64" t="inlineStr">
        <is>
          <t>+</t>
        </is>
      </c>
      <c r="E67" s="65">
        <f>SUM(E68:E74)</f>
        <v/>
      </c>
      <c r="F67" s="65">
        <f>SUM(F68:F74)</f>
        <v/>
      </c>
      <c r="G67" s="65">
        <f>SUM(G68:G74)</f>
        <v/>
      </c>
      <c r="H67" s="65">
        <f>SUM(H68:H74)</f>
        <v/>
      </c>
      <c r="I67" s="48">
        <f>IFERROR(G67-H67,"N/A")</f>
        <v/>
      </c>
      <c r="J67" s="49">
        <f>IFERROR(([1]BS!$G67-[1]BS!$H67)/ABS([1]BS!$H67),"N/A")</f>
        <v/>
      </c>
    </row>
    <row r="68" ht="13.35" customHeight="1">
      <c r="A68" s="52" t="inlineStr">
        <is>
          <t>10.A.09.01</t>
        </is>
      </c>
      <c r="B68" s="68" t="inlineStr">
        <is>
          <t>Non-current loan receivables from third parties</t>
        </is>
      </c>
      <c r="C68" s="68" t="n"/>
      <c r="D68" s="54" t="inlineStr">
        <is>
          <t>+</t>
        </is>
      </c>
      <c r="E68" s="61" t="n"/>
      <c r="F68" s="61" t="n"/>
      <c r="G68" s="61" t="n"/>
      <c r="H68" s="61" t="n"/>
      <c r="I68" s="62">
        <f>IFERROR(G68-H68,"N/A")</f>
        <v/>
      </c>
      <c r="J68" s="63">
        <f>IFERROR(([1]BS!$G68-[1]BS!$H68)/ABS([1]BS!$H68),"N/A")</f>
        <v/>
      </c>
    </row>
    <row r="69" ht="13.35" customHeight="1">
      <c r="A69" s="52" t="inlineStr">
        <is>
          <t>10.A.09.02</t>
        </is>
      </c>
      <c r="B69" s="68" t="inlineStr">
        <is>
          <t>Non-current loan receivables from related parties</t>
        </is>
      </c>
      <c r="C69" s="68" t="n"/>
      <c r="D69" s="54" t="inlineStr">
        <is>
          <t>+</t>
        </is>
      </c>
      <c r="E69" s="61" t="n"/>
      <c r="F69" s="61" t="n"/>
      <c r="G69" s="61" t="n"/>
      <c r="H69" s="61" t="n"/>
      <c r="I69" s="62">
        <f>IFERROR(G69-H69,"N/A")</f>
        <v/>
      </c>
      <c r="J69" s="63">
        <f>IFERROR(([1]BS!$G69-[1]BS!$H69)/ABS([1]BS!$H69),"N/A")</f>
        <v/>
      </c>
    </row>
    <row r="70" ht="13.35" customHeight="1">
      <c r="A70" s="52" t="inlineStr">
        <is>
          <t>10.A.09.03</t>
        </is>
      </c>
      <c r="B70" s="68" t="inlineStr">
        <is>
          <t>Non-current deposits</t>
        </is>
      </c>
      <c r="C70" s="68" t="n"/>
      <c r="D70" s="54" t="inlineStr">
        <is>
          <t>+</t>
        </is>
      </c>
      <c r="E70" s="61" t="n"/>
      <c r="F70" s="61" t="n"/>
      <c r="G70" s="61" t="n"/>
      <c r="H70" s="61" t="n"/>
      <c r="I70" s="62">
        <f>IFERROR(G70-H70,"N/A")</f>
        <v/>
      </c>
      <c r="J70" s="63">
        <f>IFERROR(([1]BS!$G70-[1]BS!$H70)/ABS([1]BS!$H70),"N/A")</f>
        <v/>
      </c>
    </row>
    <row r="71" ht="13.35" customHeight="1">
      <c r="A71" s="52" t="inlineStr">
        <is>
          <t>10.A.09.04</t>
        </is>
      </c>
      <c r="B71" s="68" t="inlineStr">
        <is>
          <t>Equity instruments at FVOCI</t>
        </is>
      </c>
      <c r="C71" s="68" t="n"/>
      <c r="D71" s="54" t="inlineStr">
        <is>
          <t>+</t>
        </is>
      </c>
      <c r="E71" s="61" t="n"/>
      <c r="F71" s="61" t="n"/>
      <c r="G71" s="61" t="n"/>
      <c r="H71" s="61" t="n"/>
      <c r="I71" s="62">
        <f>IFERROR(G71-H71,"N/A")</f>
        <v/>
      </c>
      <c r="J71" s="63">
        <f>IFERROR(([1]BS!$G71-[1]BS!$H71)/ABS([1]BS!$H71),"N/A")</f>
        <v/>
      </c>
    </row>
    <row r="72" ht="13.35" customHeight="1">
      <c r="A72" s="52" t="inlineStr">
        <is>
          <t>10.A.09.05</t>
        </is>
      </c>
      <c r="B72" s="68" t="inlineStr">
        <is>
          <t>Debt instruments at FVOCI</t>
        </is>
      </c>
      <c r="C72" s="68" t="n"/>
      <c r="D72" s="54" t="inlineStr">
        <is>
          <t>+</t>
        </is>
      </c>
      <c r="E72" s="61" t="n"/>
      <c r="F72" s="61" t="n"/>
      <c r="G72" s="61" t="n"/>
      <c r="H72" s="61" t="n"/>
      <c r="I72" s="62">
        <f>IFERROR(G72-H72,"N/A")</f>
        <v/>
      </c>
      <c r="J72" s="63">
        <f>IFERROR(([1]BS!$G72-[1]BS!$H72)/ABS([1]BS!$H72),"N/A")</f>
        <v/>
      </c>
    </row>
    <row r="73" ht="13.35" customHeight="1">
      <c r="A73" s="52" t="inlineStr">
        <is>
          <t>10.A.09.06</t>
        </is>
      </c>
      <c r="B73" s="68" t="inlineStr">
        <is>
          <t xml:space="preserve">Financial assets at FVPL </t>
        </is>
      </c>
      <c r="C73" s="68" t="n"/>
      <c r="D73" s="54" t="inlineStr">
        <is>
          <t>+</t>
        </is>
      </c>
      <c r="E73" s="61" t="n"/>
      <c r="F73" s="61" t="n"/>
      <c r="G73" s="61" t="n"/>
      <c r="H73" s="61" t="n"/>
      <c r="I73" s="62">
        <f>IFERROR(G73-H73,"N/A")</f>
        <v/>
      </c>
      <c r="J73" s="63">
        <f>IFERROR(([1]BS!$G73-[1]BS!$H73)/ABS([1]BS!$H73),"N/A")</f>
        <v/>
      </c>
    </row>
    <row r="74" ht="13.35" customHeight="1">
      <c r="A74" s="52" t="inlineStr">
        <is>
          <t>10.A.09.07</t>
        </is>
      </c>
      <c r="B74" s="68" t="inlineStr">
        <is>
          <t xml:space="preserve">Other non-current debt instruments at amortised cost </t>
        </is>
      </c>
      <c r="C74" s="68" t="n"/>
      <c r="D74" s="54" t="inlineStr">
        <is>
          <t>+</t>
        </is>
      </c>
      <c r="E74" s="61" t="n"/>
      <c r="F74" s="61" t="n"/>
      <c r="G74" s="61" t="n"/>
      <c r="H74" s="61" t="n"/>
      <c r="I74" s="62">
        <f>IFERROR(G74-H74,"N/A")</f>
        <v/>
      </c>
      <c r="J74" s="63">
        <f>IFERROR(([1]BS!$G74-[1]BS!$H74)/ABS([1]BS!$H74),"N/A")</f>
        <v/>
      </c>
    </row>
    <row r="75" ht="13.35" customHeight="1">
      <c r="A75" s="50" t="inlineStr">
        <is>
          <t>10.A.10</t>
        </is>
      </c>
      <c r="B75" s="67" t="inlineStr">
        <is>
          <t>Other non-current assets</t>
        </is>
      </c>
      <c r="C75" s="67" t="n"/>
      <c r="D75" s="64" t="inlineStr">
        <is>
          <t>+</t>
        </is>
      </c>
      <c r="E75" s="65">
        <f>SUM(E76,E78:E79)</f>
        <v/>
      </c>
      <c r="F75" s="65">
        <f>SUM(F76,F78:F79)</f>
        <v/>
      </c>
      <c r="G75" s="65">
        <f>SUM(G76,G78:G79)</f>
        <v/>
      </c>
      <c r="H75" s="65">
        <f>SUM(H76,H78:H79)</f>
        <v/>
      </c>
      <c r="I75" s="48">
        <f>IFERROR(G75-H75,"N/A")</f>
        <v/>
      </c>
      <c r="J75" s="49">
        <f>IFERROR(([1]BS!$G75-[1]BS!$H75)/ABS([1]BS!$H75),"N/A")</f>
        <v/>
      </c>
    </row>
    <row r="76" ht="13.35" customHeight="1">
      <c r="A76" s="52" t="inlineStr">
        <is>
          <t>10.A.10.01</t>
        </is>
      </c>
      <c r="B76" s="68" t="inlineStr">
        <is>
          <t>Right-of-use assets</t>
        </is>
      </c>
      <c r="C76" s="68" t="n"/>
      <c r="D76" s="54" t="inlineStr">
        <is>
          <t>+</t>
        </is>
      </c>
      <c r="E76" s="61" t="n">
        <v>11471.71183937824</v>
      </c>
      <c r="F76" s="61" t="n">
        <v>17241.46957348065</v>
      </c>
      <c r="G76" s="61" t="n">
        <v>17118.20215508873</v>
      </c>
      <c r="H76" s="61" t="n">
        <v>6178.235294117647</v>
      </c>
      <c r="I76" s="62">
        <f>IFERROR(G76-H76,"N/A")</f>
        <v/>
      </c>
      <c r="J76" s="63">
        <f>IFERROR(([1]BS!$G76-[1]BS!$H76)/ABS([1]BS!$H76),"N/A")</f>
        <v/>
      </c>
    </row>
    <row r="77" ht="13.35" customHeight="1">
      <c r="A77" s="58" t="inlineStr">
        <is>
          <t>10.A.10.01.01</t>
        </is>
      </c>
      <c r="B77" s="69" t="inlineStr">
        <is>
          <t>Depreciation amount</t>
        </is>
      </c>
      <c r="C77" s="69" t="n"/>
      <c r="D77" s="60" t="inlineStr">
        <is>
          <t>-</t>
        </is>
      </c>
      <c r="E77" s="61" t="n">
        <v>0</v>
      </c>
      <c r="F77" s="61" t="n">
        <v>0</v>
      </c>
      <c r="G77" s="61" t="n">
        <v>0</v>
      </c>
      <c r="H77" s="61" t="n">
        <v>0</v>
      </c>
      <c r="I77" s="62">
        <f>IFERROR(G77-H77,"N/A")</f>
        <v/>
      </c>
      <c r="J77" s="63">
        <f>IFERROR(([1]BS!$G77-[1]BS!$H77)/ABS([1]BS!$H77),"N/A")</f>
        <v/>
      </c>
    </row>
    <row r="78" ht="13.35" customHeight="1">
      <c r="A78" s="52" t="inlineStr">
        <is>
          <t>10.A.10.02</t>
        </is>
      </c>
      <c r="B78" s="68" t="inlineStr">
        <is>
          <t>Non-current advance payments</t>
        </is>
      </c>
      <c r="C78" s="68" t="n"/>
      <c r="D78" s="54" t="inlineStr">
        <is>
          <t>+</t>
        </is>
      </c>
      <c r="E78" s="61" t="n">
        <v>0</v>
      </c>
      <c r="F78" s="61" t="n">
        <v>0</v>
      </c>
      <c r="G78" s="61" t="n">
        <v>0</v>
      </c>
      <c r="H78" s="61" t="n">
        <v>0</v>
      </c>
      <c r="I78" s="62">
        <f>IFERROR(G78-H78,"N/A")</f>
        <v/>
      </c>
      <c r="J78" s="63">
        <f>IFERROR(([1]BS!$G78-[1]BS!$H78)/ABS([1]BS!$H78),"N/A")</f>
        <v/>
      </c>
    </row>
    <row r="79" ht="13.35" customHeight="1">
      <c r="A79" s="52" t="inlineStr">
        <is>
          <t>10.A.10.03</t>
        </is>
      </c>
      <c r="B79" s="68" t="inlineStr">
        <is>
          <t>Other (Other non-current assets)</t>
        </is>
      </c>
      <c r="C79" s="68" t="n"/>
      <c r="D79" s="54" t="inlineStr">
        <is>
          <t>+</t>
        </is>
      </c>
      <c r="E79" s="61" t="n">
        <v>0</v>
      </c>
      <c r="F79" s="61" t="n">
        <v>0</v>
      </c>
      <c r="G79" s="61" t="n">
        <v>0</v>
      </c>
      <c r="H79" s="61" t="n">
        <v>0</v>
      </c>
      <c r="I79" s="62">
        <f>IFERROR(G79-H79,"N/A")</f>
        <v/>
      </c>
      <c r="J79" s="63">
        <f>IFERROR(([1]BS!$G79-[1]BS!$H79)/ABS([1]BS!$H79),"N/A")</f>
        <v/>
      </c>
    </row>
    <row r="80" ht="13.35" customHeight="1">
      <c r="A80" s="50" t="inlineStr">
        <is>
          <t>10</t>
        </is>
      </c>
      <c r="B80" s="66" t="inlineStr">
        <is>
          <t>Total assets</t>
        </is>
      </c>
      <c r="C80" s="66" t="n"/>
      <c r="D80" s="64" t="inlineStr">
        <is>
          <t>+</t>
        </is>
      </c>
      <c r="E80" s="65">
        <f>SUM(E13,E44)</f>
        <v/>
      </c>
      <c r="F80" s="65">
        <f>SUM(F13,F44)</f>
        <v/>
      </c>
      <c r="G80" s="65">
        <f>SUM(G13,G44)</f>
        <v/>
      </c>
      <c r="H80" s="65">
        <f>SUM(H13,H44)</f>
        <v/>
      </c>
      <c r="I80" s="48">
        <f>IFERROR(G80-H80,"N/A")</f>
        <v/>
      </c>
      <c r="J80" s="49">
        <f>IFERROR(([1]BS!$G80-[1]BS!$H80)/ABS([1]BS!$H80),"N/A")</f>
        <v/>
      </c>
    </row>
    <row r="81" ht="13.35" customHeight="1">
      <c r="A81" s="70" t="n"/>
      <c r="B81" s="71" t="n"/>
      <c r="C81" s="71" t="n"/>
      <c r="D81" s="71" t="n"/>
      <c r="E81" s="72" t="n"/>
      <c r="F81" s="72" t="n"/>
      <c r="G81" s="72" t="n"/>
      <c r="H81" s="73" t="n"/>
      <c r="I81" s="74" t="n"/>
      <c r="J81" s="75" t="n"/>
    </row>
    <row r="82" ht="13.35" customHeight="1">
      <c r="A82" s="76" t="inlineStr">
        <is>
          <t>20.B</t>
        </is>
      </c>
      <c r="B82" s="67" t="inlineStr">
        <is>
          <t>Current liabilities</t>
        </is>
      </c>
      <c r="C82" s="67" t="n"/>
      <c r="D82" s="77" t="inlineStr">
        <is>
          <t>-</t>
        </is>
      </c>
      <c r="E82" s="65">
        <f>SUM(E83,E87,E92,E99,E100,E104,E105,E106,E107,E112,E113)</f>
        <v/>
      </c>
      <c r="F82" s="65">
        <f>SUM(F83,F87,F92,F99,F100,F104,F105,F106,F107,F112,F113)</f>
        <v/>
      </c>
      <c r="G82" s="65" t="n">
        <v>235608.75</v>
      </c>
      <c r="H82" s="65">
        <f>SUM(H83,H87,H92,H99,H100,H104,H105,H106,H107,H112,H113)</f>
        <v/>
      </c>
      <c r="I82" s="48">
        <f>IFERROR(G82-H82,"N/A")</f>
        <v/>
      </c>
      <c r="J82" s="49">
        <f>IFERROR(([1]BS!$G82-[1]BS!$H82)/ABS([1]BS!$H82),"N/A")</f>
        <v/>
      </c>
    </row>
    <row r="83" ht="13.35" customHeight="1">
      <c r="A83" s="50" t="inlineStr">
        <is>
          <t>20.B.01</t>
        </is>
      </c>
      <c r="B83" s="51" t="inlineStr">
        <is>
          <t xml:space="preserve">Short-term trade and other payables </t>
        </is>
      </c>
      <c r="C83" s="51" t="n"/>
      <c r="D83" s="77" t="inlineStr">
        <is>
          <t>-</t>
        </is>
      </c>
      <c r="E83" s="65">
        <f>SUM(E84:E86)</f>
        <v/>
      </c>
      <c r="F83" s="65">
        <f>SUM(F84:F86)</f>
        <v/>
      </c>
      <c r="G83" s="65">
        <f>SUM(G84:G86)</f>
        <v/>
      </c>
      <c r="H83" s="65">
        <f>SUM(H84:H86)</f>
        <v/>
      </c>
      <c r="I83" s="48">
        <f>IFERROR(G83-H83,"N/A")</f>
        <v/>
      </c>
      <c r="J83" s="49">
        <f>IFERROR(([1]BS!$G83-[1]BS!$H83)/ABS([1]BS!$H83),"N/A")</f>
        <v/>
      </c>
    </row>
    <row r="84" ht="13.35" customHeight="1">
      <c r="A84" s="52" t="inlineStr">
        <is>
          <t>20.B.01.01</t>
        </is>
      </c>
      <c r="B84" s="53" t="inlineStr">
        <is>
          <t>Trade payables</t>
        </is>
      </c>
      <c r="C84" s="53" t="n"/>
      <c r="D84" s="78" t="inlineStr">
        <is>
          <t>-</t>
        </is>
      </c>
      <c r="E84" s="61" t="n">
        <v>-263894.2414452901</v>
      </c>
      <c r="F84" s="61" t="n">
        <v>-222850.415333089</v>
      </c>
      <c r="G84" s="61" t="n">
        <v>-212027.5426873745</v>
      </c>
      <c r="H84" s="61" t="n">
        <v>-239672.9411764706</v>
      </c>
      <c r="I84" s="62">
        <f>IFERROR(G84-H84,"N/A")</f>
        <v/>
      </c>
      <c r="J84" s="63">
        <f>IFERROR(([1]BS!$G84-[1]BS!$H84)/ABS([1]BS!$H84),"N/A")</f>
        <v/>
      </c>
    </row>
    <row r="85" ht="13.35" customHeight="1">
      <c r="A85" s="52" t="inlineStr">
        <is>
          <t>20.B.01.02</t>
        </is>
      </c>
      <c r="B85" s="53" t="inlineStr">
        <is>
          <t>Short-term debts to personnel</t>
        </is>
      </c>
      <c r="C85" s="53" t="n"/>
      <c r="D85" s="78" t="inlineStr">
        <is>
          <t>-</t>
        </is>
      </c>
      <c r="E85" s="61" t="n">
        <v>0</v>
      </c>
      <c r="F85" s="61" t="n">
        <v>0</v>
      </c>
      <c r="G85" s="61" t="n">
        <v>0</v>
      </c>
      <c r="H85" s="61" t="n">
        <v>0</v>
      </c>
      <c r="I85" s="62">
        <f>IFERROR(G85-H85,"N/A")</f>
        <v/>
      </c>
      <c r="J85" s="63">
        <f>IFERROR(([1]BS!$G85-[1]BS!$H85)/ABS([1]BS!$H85),"N/A")</f>
        <v/>
      </c>
    </row>
    <row r="86" ht="13.35" customHeight="1">
      <c r="A86" s="52" t="inlineStr">
        <is>
          <t>20.B.01.03</t>
        </is>
      </c>
      <c r="B86" s="53" t="inlineStr">
        <is>
          <t>Other payables</t>
        </is>
      </c>
      <c r="C86" s="53" t="n"/>
      <c r="D86" s="78" t="inlineStr">
        <is>
          <t>-</t>
        </is>
      </c>
      <c r="E86" s="61" t="n">
        <v>0</v>
      </c>
      <c r="F86" s="61" t="n">
        <v>0</v>
      </c>
      <c r="G86" s="61" t="n">
        <v>0</v>
      </c>
      <c r="H86" s="61" t="n">
        <v>0</v>
      </c>
      <c r="I86" s="62">
        <f>IFERROR(G86-H86,"N/A")</f>
        <v/>
      </c>
      <c r="J86" s="63">
        <f>IFERROR(([1]BS!$G86-[1]BS!$H86)/ABS([1]BS!$H86),"N/A")</f>
        <v/>
      </c>
    </row>
    <row r="87" ht="13.35" customHeight="1">
      <c r="A87" s="50" t="inlineStr">
        <is>
          <t>20.B.02</t>
        </is>
      </c>
      <c r="B87" s="51" t="inlineStr">
        <is>
          <t>Tax and other liabilities to state</t>
        </is>
      </c>
      <c r="C87" s="51" t="n"/>
      <c r="D87" s="77" t="inlineStr">
        <is>
          <t>-</t>
        </is>
      </c>
      <c r="E87" s="65">
        <f>SUM(E88:E91)</f>
        <v/>
      </c>
      <c r="F87" s="65">
        <f>SUM(F88:F91)</f>
        <v/>
      </c>
      <c r="G87" s="65" t="n">
        <v>24257.3</v>
      </c>
      <c r="H87" s="65">
        <f>SUM(H88:H91)</f>
        <v/>
      </c>
      <c r="I87" s="48">
        <f>IFERROR(G87-H87,"N/A")</f>
        <v/>
      </c>
      <c r="J87" s="49">
        <f>IFERROR(([1]BS!$G87-[1]BS!$H87)/ABS([1]BS!$H87),"N/A")</f>
        <v/>
      </c>
    </row>
    <row r="88" ht="13.35" customHeight="1">
      <c r="A88" s="52" t="inlineStr">
        <is>
          <t>20.B.02.01</t>
        </is>
      </c>
      <c r="B88" s="53" t="inlineStr">
        <is>
          <t>Income tax payable</t>
        </is>
      </c>
      <c r="C88" s="53" t="n"/>
      <c r="D88" s="78" t="inlineStr">
        <is>
          <t>-</t>
        </is>
      </c>
      <c r="E88" s="61" t="n">
        <v>0</v>
      </c>
      <c r="F88" s="61" t="n">
        <v>0</v>
      </c>
      <c r="G88" s="61" t="n">
        <v>0</v>
      </c>
      <c r="H88" s="61" t="n">
        <v>0</v>
      </c>
      <c r="I88" s="62">
        <f>IFERROR(G88-H88,"N/A")</f>
        <v/>
      </c>
      <c r="J88" s="63">
        <f>IFERROR(([1]BS!$G88-[1]BS!$H88)/ABS([1]BS!$H88),"N/A")</f>
        <v/>
      </c>
    </row>
    <row r="89" ht="13.35" customHeight="1">
      <c r="A89" s="52" t="inlineStr">
        <is>
          <t>20.B.02.02</t>
        </is>
      </c>
      <c r="B89" s="53" t="inlineStr">
        <is>
          <t>VAT payable</t>
        </is>
      </c>
      <c r="C89" s="53" t="inlineStr">
        <is>
          <t>ƏDV kreditor borcu</t>
        </is>
      </c>
      <c r="D89" s="78" t="inlineStr">
        <is>
          <t>-</t>
        </is>
      </c>
      <c r="E89" s="61" t="n">
        <v>-6880.960744099748</v>
      </c>
      <c r="F89" s="61" t="n">
        <v>-4472.54144340821</v>
      </c>
      <c r="G89" s="61" t="n">
        <v>-6774.390677630233</v>
      </c>
      <c r="H89" s="61" t="n">
        <v>-1767.64705882353</v>
      </c>
      <c r="I89" s="62">
        <f>IFERROR(G89-H89,"N/A")</f>
        <v/>
      </c>
      <c r="J89" s="63">
        <f>IFERROR(([1]BS!$G89-[1]BS!$H89)/ABS([1]BS!$H89),"N/A")</f>
        <v/>
      </c>
    </row>
    <row r="90" ht="13.35" customHeight="1">
      <c r="A90" s="52" t="inlineStr">
        <is>
          <t>20.B.02.03</t>
        </is>
      </c>
      <c r="B90" s="53" t="inlineStr">
        <is>
          <t>Payables to the Social Protection Fund</t>
        </is>
      </c>
      <c r="C90" s="53" t="n"/>
      <c r="D90" s="78" t="inlineStr">
        <is>
          <t>-</t>
        </is>
      </c>
      <c r="E90" s="61" t="n">
        <v>0</v>
      </c>
      <c r="F90" s="61" t="n">
        <v>0</v>
      </c>
      <c r="G90" s="61" t="n">
        <v>0</v>
      </c>
      <c r="H90" s="61" t="n">
        <v>0</v>
      </c>
      <c r="I90" s="62">
        <f>IFERROR(G90-H90,"N/A")</f>
        <v/>
      </c>
      <c r="J90" s="63">
        <f>IFERROR(([1]BS!$G90-[1]BS!$H90)/ABS([1]BS!$H90),"N/A")</f>
        <v/>
      </c>
    </row>
    <row r="91" ht="13.35" customHeight="1">
      <c r="A91" s="52" t="inlineStr">
        <is>
          <t>20.B.02.04</t>
        </is>
      </c>
      <c r="B91" s="53" t="inlineStr">
        <is>
          <t>Other taxes and charges payable</t>
        </is>
      </c>
      <c r="C91" s="53" t="n"/>
      <c r="D91" s="78" t="inlineStr">
        <is>
          <t>-</t>
        </is>
      </c>
      <c r="E91" s="61" t="n">
        <v>0</v>
      </c>
      <c r="F91" s="61" t="n">
        <v>0</v>
      </c>
      <c r="G91" s="61" t="n">
        <v>0</v>
      </c>
      <c r="H91" s="61" t="n"/>
      <c r="I91" s="62">
        <f>IFERROR(G91-H91,"N/A")</f>
        <v/>
      </c>
      <c r="J91" s="63">
        <f>IFERROR(([1]BS!$G91-[1]BS!$H91)/ABS([1]BS!$H91),"N/A")</f>
        <v/>
      </c>
    </row>
    <row r="92" ht="13.35" customHeight="1">
      <c r="A92" s="50" t="inlineStr">
        <is>
          <t>20.B.03</t>
        </is>
      </c>
      <c r="B92" s="51" t="inlineStr">
        <is>
          <t>Short-term and current portion of long term borrowings</t>
        </is>
      </c>
      <c r="C92" s="51" t="n"/>
      <c r="D92" s="77" t="inlineStr">
        <is>
          <t>-</t>
        </is>
      </c>
      <c r="E92" s="65">
        <f>SUM(E93,E96)</f>
        <v/>
      </c>
      <c r="F92" s="65">
        <f>SUM(F93,F96)</f>
        <v/>
      </c>
      <c r="G92" s="65">
        <f>SUM(G93,G96)</f>
        <v/>
      </c>
      <c r="H92" s="65">
        <f>SUM(H93,H96)</f>
        <v/>
      </c>
      <c r="I92" s="48">
        <f>IFERROR(G92-H92,"N/A")</f>
        <v/>
      </c>
      <c r="J92" s="49">
        <f>IFERROR(([1]BS!$G92-[1]BS!$H92)/ABS([1]BS!$H92),"N/A")</f>
        <v/>
      </c>
    </row>
    <row r="93" ht="13.35" customHeight="1">
      <c r="A93" s="52" t="inlineStr">
        <is>
          <t>20.B.03.01</t>
        </is>
      </c>
      <c r="B93" s="53" t="inlineStr">
        <is>
          <t>Short-term loans received (including interest)</t>
        </is>
      </c>
      <c r="C93" s="53" t="n"/>
      <c r="D93" s="78" t="inlineStr">
        <is>
          <t>-</t>
        </is>
      </c>
      <c r="E93" s="55">
        <f>E94+E95</f>
        <v/>
      </c>
      <c r="F93" s="55">
        <f>F94+F95</f>
        <v/>
      </c>
      <c r="G93" s="55">
        <f>G94+G95</f>
        <v/>
      </c>
      <c r="H93" s="55">
        <f>H94+H95</f>
        <v/>
      </c>
      <c r="I93" s="56">
        <f>IFERROR(G93-H93,"N/A")</f>
        <v/>
      </c>
      <c r="J93" s="57">
        <f>IFERROR(([1]BS!$G93-[1]BS!$H93)/ABS([1]BS!$H93),"N/A")</f>
        <v/>
      </c>
    </row>
    <row r="94" ht="13.35" customHeight="1">
      <c r="A94" s="58" t="inlineStr">
        <is>
          <t>20.B.03.01.01</t>
        </is>
      </c>
      <c r="B94" s="59" t="inlineStr">
        <is>
          <t>Short-term and current portion of long term loans principal amount</t>
        </is>
      </c>
      <c r="C94" s="59" t="n"/>
      <c r="D94" s="79" t="inlineStr">
        <is>
          <t>-</t>
        </is>
      </c>
      <c r="E94" s="61" t="n">
        <v>-170331.8637400678</v>
      </c>
      <c r="F94" s="61" t="n">
        <v>-187201.7675054869</v>
      </c>
      <c r="G94" s="61" t="n">
        <v>-201626.2844340424</v>
      </c>
      <c r="H94" s="61" t="n">
        <v>-89137.64705882354</v>
      </c>
      <c r="I94" s="62">
        <f>IFERROR(G94-H94,"N/A")</f>
        <v/>
      </c>
      <c r="J94" s="63">
        <f>IFERROR(([1]BS!$G94-[1]BS!$H94)/ABS([1]BS!$H94),"N/A")</f>
        <v/>
      </c>
    </row>
    <row r="95" ht="13.35" customHeight="1">
      <c r="A95" s="58" t="inlineStr">
        <is>
          <t>20.B.03.01.02</t>
        </is>
      </c>
      <c r="B95" s="59" t="inlineStr">
        <is>
          <t>Short-term interest amount (loans)</t>
        </is>
      </c>
      <c r="C95" s="59" t="n"/>
      <c r="D95" s="79" t="inlineStr">
        <is>
          <t>-</t>
        </is>
      </c>
      <c r="E95" s="61" t="n">
        <v>0</v>
      </c>
      <c r="F95" s="61" t="n">
        <v>0</v>
      </c>
      <c r="G95" s="61" t="n">
        <v>0</v>
      </c>
      <c r="H95" s="61" t="n">
        <v>0</v>
      </c>
      <c r="I95" s="62">
        <f>IFERROR(G95-H95,"N/A")</f>
        <v/>
      </c>
      <c r="J95" s="63">
        <f>IFERROR(([1]BS!$G95-[1]BS!$H95)/ABS([1]BS!$H95),"N/A")</f>
        <v/>
      </c>
    </row>
    <row r="96" ht="13.35" customHeight="1">
      <c r="A96" s="52" t="inlineStr">
        <is>
          <t>20.B.03.02</t>
        </is>
      </c>
      <c r="B96" s="53" t="inlineStr">
        <is>
          <t>Short-term bonds issued (including interest)</t>
        </is>
      </c>
      <c r="C96" s="53" t="n"/>
      <c r="D96" s="78" t="inlineStr">
        <is>
          <t>-</t>
        </is>
      </c>
      <c r="E96" s="55">
        <f>E97+E98</f>
        <v/>
      </c>
      <c r="F96" s="55">
        <f>F97+F98</f>
        <v/>
      </c>
      <c r="G96" s="55">
        <f>G97+G98</f>
        <v/>
      </c>
      <c r="H96" s="55">
        <f>H97+H98</f>
        <v/>
      </c>
      <c r="I96" s="56">
        <f>IFERROR(G96-H96,"N/A")</f>
        <v/>
      </c>
      <c r="J96" s="57">
        <f>IFERROR(([1]BS!$G96-[1]BS!$H96)/ABS([1]BS!$H96),"N/A")</f>
        <v/>
      </c>
    </row>
    <row r="97" ht="13.35" customHeight="1">
      <c r="A97" s="58" t="inlineStr">
        <is>
          <t>20.B.03.02.01</t>
        </is>
      </c>
      <c r="B97" s="59" t="inlineStr">
        <is>
          <t>Short-term and current portion of long term bonds principal amount</t>
        </is>
      </c>
      <c r="C97" s="59" t="n"/>
      <c r="D97" s="79" t="inlineStr">
        <is>
          <t>-</t>
        </is>
      </c>
      <c r="E97" s="61" t="n"/>
      <c r="F97" s="61" t="n"/>
      <c r="G97" s="61" t="n"/>
      <c r="H97" s="61" t="n"/>
      <c r="I97" s="62">
        <f>IFERROR(G97-H97,"N/A")</f>
        <v/>
      </c>
      <c r="J97" s="63">
        <f>IFERROR(([1]BS!$G97-[1]BS!$H97)/ABS([1]BS!$H97),"N/A")</f>
        <v/>
      </c>
    </row>
    <row r="98" ht="13.35" customHeight="1">
      <c r="A98" s="58" t="inlineStr">
        <is>
          <t>20.B.03.02.02</t>
        </is>
      </c>
      <c r="B98" s="59" t="inlineStr">
        <is>
          <t>Short-term interest amount (bonds)</t>
        </is>
      </c>
      <c r="C98" s="59" t="n"/>
      <c r="D98" s="79" t="inlineStr">
        <is>
          <t>-</t>
        </is>
      </c>
      <c r="E98" s="61" t="n"/>
      <c r="F98" s="61" t="n"/>
      <c r="G98" s="61" t="n"/>
      <c r="H98" s="61" t="n"/>
      <c r="I98" s="62">
        <f>IFERROR(G98-H98,"N/A")</f>
        <v/>
      </c>
      <c r="J98" s="63">
        <f>IFERROR(([1]BS!$G98-[1]BS!$H98)/ABS([1]BS!$H98),"N/A")</f>
        <v/>
      </c>
    </row>
    <row r="99" ht="13.35" customHeight="1">
      <c r="A99" s="50" t="inlineStr">
        <is>
          <t>20.B.04</t>
        </is>
      </c>
      <c r="B99" s="51" t="inlineStr">
        <is>
          <t>Current lease liabilities</t>
        </is>
      </c>
      <c r="C99" s="51" t="n"/>
      <c r="D99" s="77" t="inlineStr">
        <is>
          <t>-</t>
        </is>
      </c>
      <c r="E99" s="61" t="n"/>
      <c r="F99" s="61" t="n"/>
      <c r="G99" s="61" t="n"/>
      <c r="H99" s="61" t="n"/>
      <c r="I99" s="62">
        <f>IFERROR(G99-H99,"N/A")</f>
        <v/>
      </c>
      <c r="J99" s="63">
        <f>IFERROR(([1]BS!$G99-[1]BS!$H99)/ABS([1]BS!$H99),"N/A")</f>
        <v/>
      </c>
    </row>
    <row r="100" ht="13.35" customHeight="1">
      <c r="A100" s="50" t="inlineStr">
        <is>
          <t>20.B.05</t>
        </is>
      </c>
      <c r="B100" s="51" t="inlineStr">
        <is>
          <t>Provisions</t>
        </is>
      </c>
      <c r="C100" s="51" t="inlineStr">
        <is>
          <t>Ehtiyatlar</t>
        </is>
      </c>
      <c r="D100" s="77" t="inlineStr">
        <is>
          <t>-</t>
        </is>
      </c>
      <c r="E100" s="65">
        <f>SUM(E101:E103)</f>
        <v/>
      </c>
      <c r="F100" s="65">
        <f>SUM(F101:F103)</f>
        <v/>
      </c>
      <c r="G100" s="65">
        <f>SUM(G101:G103)</f>
        <v/>
      </c>
      <c r="H100" s="65">
        <f>SUM(H101:H103)</f>
        <v/>
      </c>
      <c r="I100" s="48">
        <f>IFERROR(G100-H100,"N/A")</f>
        <v/>
      </c>
      <c r="J100" s="49">
        <f>IFERROR(([1]BS!$G100-[1]BS!$H100)/ABS([1]BS!$H100),"N/A")</f>
        <v/>
      </c>
    </row>
    <row r="101" ht="13.35" customHeight="1">
      <c r="A101" s="52" t="inlineStr">
        <is>
          <t>20.B.05.01</t>
        </is>
      </c>
      <c r="B101" s="53" t="inlineStr">
        <is>
          <t>Provisions: environmental provisions</t>
        </is>
      </c>
      <c r="C101" s="53" t="inlineStr">
        <is>
          <t>Ehtiyat - ekoloji ehtiyatlar</t>
        </is>
      </c>
      <c r="D101" s="78" t="inlineStr">
        <is>
          <t>-</t>
        </is>
      </c>
      <c r="E101" s="61" t="n"/>
      <c r="F101" s="61" t="n"/>
      <c r="G101" s="61" t="n"/>
      <c r="H101" s="61" t="n"/>
      <c r="I101" s="62">
        <f>IFERROR(G101-H101,"N/A")</f>
        <v/>
      </c>
      <c r="J101" s="63">
        <f>IFERROR(([1]BS!$G101-[1]BS!$H101)/ABS([1]BS!$H101),"N/A")</f>
        <v/>
      </c>
    </row>
    <row r="102" ht="13.35" customHeight="1">
      <c r="A102" s="52" t="inlineStr">
        <is>
          <t>20.B.05.02</t>
        </is>
      </c>
      <c r="B102" s="53" t="inlineStr">
        <is>
          <t>Provisions: provision for injuries</t>
        </is>
      </c>
      <c r="C102" s="53" t="n"/>
      <c r="D102" s="78" t="inlineStr">
        <is>
          <t>-</t>
        </is>
      </c>
      <c r="E102" s="61" t="n"/>
      <c r="F102" s="61" t="n"/>
      <c r="G102" s="61" t="n"/>
      <c r="H102" s="61" t="n"/>
      <c r="I102" s="62">
        <f>IFERROR(G102-H102,"N/A")</f>
        <v/>
      </c>
      <c r="J102" s="63">
        <f>IFERROR(([1]BS!$G102-[1]BS!$H102)/ABS([1]BS!$H102),"N/A")</f>
        <v/>
      </c>
    </row>
    <row r="103" ht="13.35" customHeight="1">
      <c r="A103" s="52" t="inlineStr">
        <is>
          <t>20.B.05.03</t>
        </is>
      </c>
      <c r="B103" s="53" t="inlineStr">
        <is>
          <t>Provisions: other provisions</t>
        </is>
      </c>
      <c r="C103" s="53" t="n"/>
      <c r="D103" s="78" t="inlineStr">
        <is>
          <t>-</t>
        </is>
      </c>
      <c r="E103" s="61" t="n"/>
      <c r="F103" s="61" t="n"/>
      <c r="G103" s="61" t="n"/>
      <c r="H103" s="61" t="n"/>
      <c r="I103" s="62">
        <f>IFERROR(G103-H103,"N/A")</f>
        <v/>
      </c>
      <c r="J103" s="63">
        <f>IFERROR(([1]BS!$G103-[1]BS!$H103)/ABS([1]BS!$H103),"N/A")</f>
        <v/>
      </c>
    </row>
    <row r="104" ht="13.35" customHeight="1">
      <c r="A104" s="50" t="inlineStr">
        <is>
          <t>20.B.06</t>
        </is>
      </c>
      <c r="B104" s="51" t="inlineStr">
        <is>
          <t>Deferred income</t>
        </is>
      </c>
      <c r="C104" s="51" t="n"/>
      <c r="D104" s="77" t="inlineStr">
        <is>
          <t>-</t>
        </is>
      </c>
      <c r="E104" s="61" t="n"/>
      <c r="F104" s="61" t="n"/>
      <c r="G104" s="61" t="n"/>
      <c r="H104" s="61" t="n"/>
      <c r="I104" s="62">
        <f>IFERROR(G104-H104,"N/A")</f>
        <v/>
      </c>
      <c r="J104" s="63">
        <f>IFERROR(([1]BS!$G104-[1]BS!$H104)/ABS([1]BS!$H104),"N/A")</f>
        <v/>
      </c>
    </row>
    <row r="105" ht="13.35" customHeight="1">
      <c r="A105" s="50" t="inlineStr">
        <is>
          <t>20.B.07</t>
        </is>
      </c>
      <c r="B105" s="51" t="inlineStr">
        <is>
          <t>Current contract liabilities</t>
        </is>
      </c>
      <c r="C105" s="51" t="n"/>
      <c r="D105" s="77" t="inlineStr">
        <is>
          <t>-</t>
        </is>
      </c>
      <c r="E105" s="61" t="n"/>
      <c r="F105" s="61" t="n"/>
      <c r="G105" s="61" t="n"/>
      <c r="H105" s="61" t="n"/>
      <c r="I105" s="62">
        <f>IFERROR(G105-H105,"N/A")</f>
        <v/>
      </c>
      <c r="J105" s="63">
        <f>IFERROR(([1]BS!$G105-[1]BS!$H105)/ABS([1]BS!$H105),"N/A")</f>
        <v/>
      </c>
    </row>
    <row r="106" ht="13.35" customHeight="1">
      <c r="A106" s="50" t="inlineStr">
        <is>
          <t>20.B.08</t>
        </is>
      </c>
      <c r="B106" s="51" t="inlineStr">
        <is>
          <t>Advances received for the sale of Interest in PSA</t>
        </is>
      </c>
      <c r="C106" s="51" t="n"/>
      <c r="D106" s="77" t="inlineStr">
        <is>
          <t>-</t>
        </is>
      </c>
      <c r="E106" s="61" t="n"/>
      <c r="F106" s="61" t="n"/>
      <c r="G106" s="61" t="n"/>
      <c r="H106" s="61" t="n"/>
      <c r="I106" s="62">
        <f>IFERROR(G106-H106,"N/A")</f>
        <v/>
      </c>
      <c r="J106" s="63">
        <f>IFERROR(([1]BS!$G106-[1]BS!$H106)/ABS([1]BS!$H106),"N/A")</f>
        <v/>
      </c>
    </row>
    <row r="107" ht="13.35" customHeight="1">
      <c r="A107" s="50" t="inlineStr">
        <is>
          <t>20.B.09</t>
        </is>
      </c>
      <c r="B107" s="51" t="inlineStr">
        <is>
          <t xml:space="preserve">Other short-term financial liabilities </t>
        </is>
      </c>
      <c r="C107" s="51" t="n"/>
      <c r="D107" s="77" t="inlineStr">
        <is>
          <t>-</t>
        </is>
      </c>
      <c r="E107" s="65">
        <f>SUM(E108:E111)</f>
        <v/>
      </c>
      <c r="F107" s="65">
        <f>SUM(F108:F111)</f>
        <v/>
      </c>
      <c r="G107" s="65">
        <f>SUM(G108:G111)</f>
        <v/>
      </c>
      <c r="H107" s="65">
        <f>SUM(H108:H111)</f>
        <v/>
      </c>
      <c r="I107" s="48">
        <f>IFERROR(G107-H107,"N/A")</f>
        <v/>
      </c>
      <c r="J107" s="49">
        <f>IFERROR(([1]BS!$G107-[1]BS!$H107)/ABS([1]BS!$H107),"N/A")</f>
        <v/>
      </c>
    </row>
    <row r="108" ht="13.35" customHeight="1">
      <c r="A108" s="52" t="inlineStr">
        <is>
          <t>20.B.09.01</t>
        </is>
      </c>
      <c r="B108" s="53" t="inlineStr">
        <is>
          <t>Derivative liabilities</t>
        </is>
      </c>
      <c r="C108" s="53" t="n"/>
      <c r="D108" s="78" t="inlineStr">
        <is>
          <t>-</t>
        </is>
      </c>
      <c r="E108" s="61" t="n"/>
      <c r="F108" s="61" t="n"/>
      <c r="G108" s="61" t="n"/>
      <c r="H108" s="61" t="n"/>
      <c r="I108" s="62">
        <f>IFERROR(G108-H108,"N/A")</f>
        <v/>
      </c>
      <c r="J108" s="63">
        <f>IFERROR(([1]BS!$G108-[1]BS!$H108)/ABS([1]BS!$H108),"N/A")</f>
        <v/>
      </c>
    </row>
    <row r="109" ht="13.35" customHeight="1">
      <c r="A109" s="52" t="inlineStr">
        <is>
          <t>20.B.09.02</t>
        </is>
      </c>
      <c r="B109" s="53" t="inlineStr">
        <is>
          <t>Liabilities under carried interest arrangements</t>
        </is>
      </c>
      <c r="C109" s="53" t="n"/>
      <c r="D109" s="78" t="inlineStr">
        <is>
          <t>-</t>
        </is>
      </c>
      <c r="E109" s="61" t="n"/>
      <c r="F109" s="61" t="n"/>
      <c r="G109" s="61" t="n"/>
      <c r="H109" s="61" t="n"/>
      <c r="I109" s="62">
        <f>IFERROR(G109-H109,"N/A")</f>
        <v/>
      </c>
      <c r="J109" s="63">
        <f>IFERROR(([1]BS!$G109-[1]BS!$H109)/ABS([1]BS!$H109),"N/A")</f>
        <v/>
      </c>
    </row>
    <row r="110" ht="13.35" customHeight="1">
      <c r="A110" s="52" t="inlineStr">
        <is>
          <t>20.B.09.03</t>
        </is>
      </c>
      <c r="B110" s="53" t="inlineStr">
        <is>
          <t>Put option liabilities</t>
        </is>
      </c>
      <c r="C110" s="53" t="n"/>
      <c r="D110" s="78" t="inlineStr">
        <is>
          <t>-</t>
        </is>
      </c>
      <c r="E110" s="61" t="n"/>
      <c r="F110" s="61" t="n"/>
      <c r="G110" s="61" t="n"/>
      <c r="H110" s="61" t="n"/>
      <c r="I110" s="62">
        <f>IFERROR(G110-H110,"N/A")</f>
        <v/>
      </c>
      <c r="J110" s="63">
        <f>IFERROR(([1]BS!$G110-[1]BS!$H110)/ABS([1]BS!$H110),"N/A")</f>
        <v/>
      </c>
    </row>
    <row r="111" ht="13.35" customHeight="1">
      <c r="A111" s="52" t="inlineStr">
        <is>
          <t>20.B.09.04</t>
        </is>
      </c>
      <c r="B111" s="53" t="inlineStr">
        <is>
          <t>Other liabilities</t>
        </is>
      </c>
      <c r="C111" s="53" t="n"/>
      <c r="D111" s="78" t="inlineStr">
        <is>
          <t>-</t>
        </is>
      </c>
      <c r="E111" s="61" t="n"/>
      <c r="F111" s="61" t="n"/>
      <c r="G111" s="61" t="n"/>
      <c r="H111" s="61" t="n"/>
      <c r="I111" s="62">
        <f>IFERROR(G111-H111,"N/A")</f>
        <v/>
      </c>
      <c r="J111" s="63">
        <f>IFERROR(([1]BS!$G111-[1]BS!$H111)/ABS([1]BS!$H111),"N/A")</f>
        <v/>
      </c>
    </row>
    <row r="112" ht="13.35" customHeight="1">
      <c r="A112" s="50" t="inlineStr">
        <is>
          <t>20.B.10</t>
        </is>
      </c>
      <c r="B112" s="51" t="inlineStr">
        <is>
          <t>Deferred acquisition consideration payable</t>
        </is>
      </c>
      <c r="C112" s="51" t="n"/>
      <c r="D112" s="77" t="inlineStr">
        <is>
          <t>-</t>
        </is>
      </c>
      <c r="E112" s="61" t="n"/>
      <c r="F112" s="61" t="n"/>
      <c r="G112" s="61" t="n"/>
      <c r="H112" s="61" t="n"/>
      <c r="I112" s="62">
        <f>IFERROR(G112-H112,"N/A")</f>
        <v/>
      </c>
      <c r="J112" s="63">
        <f>IFERROR(([1]BS!$G112-[1]BS!$H112)/ABS([1]BS!$H112),"N/A")</f>
        <v/>
      </c>
    </row>
    <row r="113" ht="13.35" customHeight="1">
      <c r="A113" s="50" t="inlineStr">
        <is>
          <t>20.B.11</t>
        </is>
      </c>
      <c r="B113" s="51" t="inlineStr">
        <is>
          <t>Other current liabilities</t>
        </is>
      </c>
      <c r="C113" s="51" t="n"/>
      <c r="D113" s="77" t="inlineStr">
        <is>
          <t>-</t>
        </is>
      </c>
      <c r="E113" s="65">
        <f>SUM(E114)</f>
        <v/>
      </c>
      <c r="F113" s="65">
        <f>SUM(F114)</f>
        <v/>
      </c>
      <c r="G113" s="65">
        <f>SUM(G114)</f>
        <v/>
      </c>
      <c r="H113" s="65">
        <f>SUM(H114)</f>
        <v/>
      </c>
      <c r="I113" s="48">
        <f>IFERROR(G113-H113,"N/A")</f>
        <v/>
      </c>
      <c r="J113" s="49">
        <f>IFERROR(([1]BS!$G113-[1]BS!$H113)/ABS([1]BS!$H113),"N/A")</f>
        <v/>
      </c>
    </row>
    <row r="114" ht="13.35" customHeight="1">
      <c r="A114" s="52" t="inlineStr">
        <is>
          <t>20.B.11.01</t>
        </is>
      </c>
      <c r="B114" s="53" t="inlineStr">
        <is>
          <t>Refund liabilities</t>
        </is>
      </c>
      <c r="C114" s="53" t="n"/>
      <c r="D114" s="78" t="inlineStr">
        <is>
          <t>-</t>
        </is>
      </c>
      <c r="E114" s="61" t="n"/>
      <c r="F114" s="61" t="n"/>
      <c r="G114" s="61" t="n"/>
      <c r="H114" s="61" t="n"/>
      <c r="I114" s="62">
        <f>IFERROR(G114-H114,"N/A")</f>
        <v/>
      </c>
      <c r="J114" s="63">
        <f>IFERROR(([1]BS!$G114-[1]BS!$H114)/ABS([1]BS!$H114),"N/A")</f>
        <v/>
      </c>
    </row>
    <row r="115" ht="13.35" customHeight="1">
      <c r="A115" s="50" t="inlineStr">
        <is>
          <t>20.A</t>
        </is>
      </c>
      <c r="B115" s="67" t="inlineStr">
        <is>
          <t>Non-current liabilities</t>
        </is>
      </c>
      <c r="C115" s="67" t="n"/>
      <c r="D115" s="77" t="inlineStr">
        <is>
          <t>-</t>
        </is>
      </c>
      <c r="E115" s="65">
        <f>SUM(E116,E120,E127,E128,E129,E134,E135,E136,E142)</f>
        <v/>
      </c>
      <c r="F115" s="65">
        <f>SUM(F116,F120,F127,F128,F129,F134,F135,F136,F142)</f>
        <v/>
      </c>
      <c r="G115" s="65" t="n">
        <v>2616.72</v>
      </c>
      <c r="H115" s="65">
        <f>SUM(H116,H120,H127,H128,H129,H134,H135,H136,H142)</f>
        <v/>
      </c>
      <c r="I115" s="48">
        <f>IFERROR(G115-H115,"N/A")</f>
        <v/>
      </c>
      <c r="J115" s="49">
        <f>IFERROR(([1]BS!$G115-[1]BS!$H115)/ABS([1]BS!$H115),"N/A")</f>
        <v/>
      </c>
    </row>
    <row r="116" ht="13.35" customHeight="1">
      <c r="A116" s="50" t="inlineStr">
        <is>
          <t>20.A.01</t>
        </is>
      </c>
      <c r="B116" s="51" t="inlineStr">
        <is>
          <t>Non-current trade and other payables</t>
        </is>
      </c>
      <c r="C116" s="51" t="n"/>
      <c r="D116" s="77" t="inlineStr">
        <is>
          <t>-</t>
        </is>
      </c>
      <c r="E116" s="65">
        <f>SUM(E117:E119)</f>
        <v/>
      </c>
      <c r="F116" s="65">
        <f>SUM(F117:F119)</f>
        <v/>
      </c>
      <c r="G116" s="65" t="n">
        <v>211127.55</v>
      </c>
      <c r="H116" s="65">
        <f>SUM(H117:H119)</f>
        <v/>
      </c>
      <c r="I116" s="48">
        <f>IFERROR(G116-H116,"N/A")</f>
        <v/>
      </c>
      <c r="J116" s="49">
        <f>IFERROR(([1]BS!$G116-[1]BS!$H116)/ABS([1]BS!$H116),"N/A")</f>
        <v/>
      </c>
    </row>
    <row r="117" ht="13.35" customHeight="1">
      <c r="A117" s="52" t="inlineStr">
        <is>
          <t>20.A.01.01</t>
        </is>
      </c>
      <c r="B117" s="53" t="inlineStr">
        <is>
          <t>Trade payables</t>
        </is>
      </c>
      <c r="C117" s="53" t="n"/>
      <c r="D117" s="78" t="inlineStr">
        <is>
          <t>-</t>
        </is>
      </c>
      <c r="E117" s="61" t="n"/>
      <c r="F117" s="61" t="n"/>
      <c r="G117" s="61" t="n"/>
      <c r="H117" s="61" t="n"/>
      <c r="I117" s="62">
        <f>IFERROR(G117-H117,"N/A")</f>
        <v/>
      </c>
      <c r="J117" s="63">
        <f>IFERROR(([1]BS!$G117-[1]BS!$H117)/ABS([1]BS!$H117),"N/A")</f>
        <v/>
      </c>
    </row>
    <row r="118" ht="13.35" customHeight="1">
      <c r="A118" s="52" t="inlineStr">
        <is>
          <t>20.A.01.02</t>
        </is>
      </c>
      <c r="B118" s="53" t="inlineStr">
        <is>
          <t>Advances received for the sale of Interest in PSA</t>
        </is>
      </c>
      <c r="C118" s="53" t="n"/>
      <c r="D118" s="78" t="inlineStr">
        <is>
          <t>-</t>
        </is>
      </c>
      <c r="E118" s="61" t="n"/>
      <c r="F118" s="61" t="n"/>
      <c r="G118" s="61" t="n"/>
      <c r="H118" s="61" t="n"/>
      <c r="I118" s="62">
        <f>IFERROR(G118-H118,"N/A")</f>
        <v/>
      </c>
      <c r="J118" s="63">
        <f>IFERROR(([1]BS!$G118-[1]BS!$H118)/ABS([1]BS!$H118),"N/A")</f>
        <v/>
      </c>
    </row>
    <row r="119" ht="13.35" customHeight="1">
      <c r="A119" s="52" t="inlineStr">
        <is>
          <t>20.A.01.03</t>
        </is>
      </c>
      <c r="B119" s="53" t="inlineStr">
        <is>
          <t>Other payables</t>
        </is>
      </c>
      <c r="C119" s="53" t="n"/>
      <c r="D119" s="78" t="inlineStr">
        <is>
          <t>-</t>
        </is>
      </c>
      <c r="E119" s="61" t="n"/>
      <c r="F119" s="61" t="n"/>
      <c r="G119" s="61" t="n"/>
      <c r="H119" s="61" t="n"/>
      <c r="I119" s="62">
        <f>IFERROR(G119-H119,"N/A")</f>
        <v/>
      </c>
      <c r="J119" s="63">
        <f>IFERROR(([1]BS!$G119-[1]BS!$H119)/ABS([1]BS!$H119),"N/A")</f>
        <v/>
      </c>
    </row>
    <row r="120" ht="13.35" customHeight="1">
      <c r="A120" s="50" t="inlineStr">
        <is>
          <t>20.A.02</t>
        </is>
      </c>
      <c r="B120" s="51" t="inlineStr">
        <is>
          <t>Long-term borrowings</t>
        </is>
      </c>
      <c r="C120" s="51" t="n"/>
      <c r="D120" s="77" t="inlineStr">
        <is>
          <t>-</t>
        </is>
      </c>
      <c r="E120" s="65">
        <f>SUM(E121,E124)</f>
        <v/>
      </c>
      <c r="F120" s="65">
        <f>SUM(F121,F124)</f>
        <v/>
      </c>
      <c r="G120" s="65">
        <f>SUM(G121,G124)</f>
        <v/>
      </c>
      <c r="H120" s="65">
        <f>SUM(H121,H124)</f>
        <v/>
      </c>
      <c r="I120" s="48">
        <f>IFERROR(G120-H120,"N/A")</f>
        <v/>
      </c>
      <c r="J120" s="49">
        <f>IFERROR(([1]BS!$G120-[1]BS!$H120)/ABS([1]BS!$H120),"N/A")</f>
        <v/>
      </c>
    </row>
    <row r="121" ht="13.35" customHeight="1">
      <c r="A121" s="52" t="inlineStr">
        <is>
          <t>20.A.02.01</t>
        </is>
      </c>
      <c r="B121" s="53" t="inlineStr">
        <is>
          <t>Long-term loans received (including interest)</t>
        </is>
      </c>
      <c r="C121" s="53" t="n"/>
      <c r="D121" s="78" t="inlineStr">
        <is>
          <t>-</t>
        </is>
      </c>
      <c r="E121" s="55">
        <f>E122+E123</f>
        <v/>
      </c>
      <c r="F121" s="55">
        <f>F122+F123</f>
        <v/>
      </c>
      <c r="G121" s="55">
        <f>G122+G123</f>
        <v/>
      </c>
      <c r="H121" s="55">
        <f>H122+H123</f>
        <v/>
      </c>
      <c r="I121" s="56">
        <f>IFERROR(G121-H121,"N/A")</f>
        <v/>
      </c>
      <c r="J121" s="57">
        <f>IFERROR(([1]BS!$G121-[1]BS!$H121)/ABS([1]BS!$H121),"N/A")</f>
        <v/>
      </c>
    </row>
    <row r="122" ht="13.35" customHeight="1">
      <c r="A122" s="58" t="inlineStr">
        <is>
          <t>20.A.02.01.01</t>
        </is>
      </c>
      <c r="B122" s="59" t="inlineStr">
        <is>
          <t>Long-term loans principal amount</t>
        </is>
      </c>
      <c r="C122" s="59" t="n"/>
      <c r="D122" s="79" t="inlineStr">
        <is>
          <t>-</t>
        </is>
      </c>
      <c r="E122" s="61" t="n">
        <v>-105654.080436784</v>
      </c>
      <c r="F122" s="61" t="n">
        <v>-82054.53732595415</v>
      </c>
      <c r="G122" s="61" t="n">
        <v>-80094.31282617261</v>
      </c>
      <c r="H122" s="61" t="n">
        <v>-114580</v>
      </c>
      <c r="I122" s="62">
        <f>IFERROR(G122-H122,"N/A")</f>
        <v/>
      </c>
      <c r="J122" s="63">
        <f>IFERROR(([1]BS!$G122-[1]BS!$H122)/ABS([1]BS!$H122),"N/A")</f>
        <v/>
      </c>
    </row>
    <row r="123" ht="13.35" customHeight="1">
      <c r="A123" s="58" t="inlineStr">
        <is>
          <t>20.A.02.01.02</t>
        </is>
      </c>
      <c r="B123" s="59" t="inlineStr">
        <is>
          <t>Long-term interest amount (loans)</t>
        </is>
      </c>
      <c r="C123" s="59" t="n"/>
      <c r="D123" s="79" t="inlineStr">
        <is>
          <t>-</t>
        </is>
      </c>
      <c r="E123" s="61" t="n">
        <v>0</v>
      </c>
      <c r="F123" s="61" t="n">
        <v>0</v>
      </c>
      <c r="G123" s="61" t="n">
        <v>0</v>
      </c>
      <c r="H123" s="61" t="n"/>
      <c r="I123" s="62">
        <f>IFERROR(G123-H123,"N/A")</f>
        <v/>
      </c>
      <c r="J123" s="63">
        <f>IFERROR(([1]BS!$G123-[1]BS!$H123)/ABS([1]BS!$H123),"N/A")</f>
        <v/>
      </c>
    </row>
    <row r="124" ht="13.35" customHeight="1">
      <c r="A124" s="52" t="inlineStr">
        <is>
          <t>20.A.02.02</t>
        </is>
      </c>
      <c r="B124" s="53" t="inlineStr">
        <is>
          <t>Long-term bonds issued (including interest)</t>
        </is>
      </c>
      <c r="C124" s="53" t="n"/>
      <c r="D124" s="78" t="inlineStr">
        <is>
          <t>-</t>
        </is>
      </c>
      <c r="E124" s="55">
        <f>E125+E126</f>
        <v/>
      </c>
      <c r="F124" s="55">
        <f>F125+F126</f>
        <v/>
      </c>
      <c r="G124" s="55">
        <f>G125+G126</f>
        <v/>
      </c>
      <c r="H124" s="55">
        <f>H125+H126</f>
        <v/>
      </c>
      <c r="I124" s="56">
        <f>IFERROR(G124-H124,"N/A")</f>
        <v/>
      </c>
      <c r="J124" s="57">
        <f>IFERROR(([1]BS!$G124-[1]BS!$H124)/ABS([1]BS!$H124),"N/A")</f>
        <v/>
      </c>
    </row>
    <row r="125" ht="13.35" customHeight="1">
      <c r="A125" s="58" t="inlineStr">
        <is>
          <t>20.A.02.02.01</t>
        </is>
      </c>
      <c r="B125" s="59" t="inlineStr">
        <is>
          <t>Long-term bonds principal amount</t>
        </is>
      </c>
      <c r="C125" s="59" t="n"/>
      <c r="D125" s="79" t="inlineStr">
        <is>
          <t>-</t>
        </is>
      </c>
      <c r="E125" s="61" t="n"/>
      <c r="F125" s="61" t="n"/>
      <c r="G125" s="61" t="n"/>
      <c r="H125" s="61" t="n"/>
      <c r="I125" s="62">
        <f>IFERROR(G125-H125,"N/A")</f>
        <v/>
      </c>
      <c r="J125" s="63">
        <f>IFERROR(([1]BS!$G125-[1]BS!$H125)/ABS([1]BS!$H125),"N/A")</f>
        <v/>
      </c>
    </row>
    <row r="126" ht="13.35" customHeight="1">
      <c r="A126" s="58" t="inlineStr">
        <is>
          <t>20.A.02.02.02</t>
        </is>
      </c>
      <c r="B126" s="59" t="inlineStr">
        <is>
          <t>Long-term interest amount (bonds)</t>
        </is>
      </c>
      <c r="C126" s="59" t="n"/>
      <c r="D126" s="79" t="inlineStr">
        <is>
          <t>-</t>
        </is>
      </c>
      <c r="E126" s="61" t="n"/>
      <c r="F126" s="61" t="n"/>
      <c r="G126" s="61" t="n"/>
      <c r="H126" s="61" t="n"/>
      <c r="I126" s="62">
        <f>IFERROR(G126-H126,"N/A")</f>
        <v/>
      </c>
      <c r="J126" s="63">
        <f>IFERROR(([1]BS!$G126-[1]BS!$H126)/ABS([1]BS!$H126),"N/A")</f>
        <v/>
      </c>
    </row>
    <row r="127" ht="13.35" customHeight="1">
      <c r="A127" s="50" t="inlineStr">
        <is>
          <t>20.A.03</t>
        </is>
      </c>
      <c r="B127" s="51" t="inlineStr">
        <is>
          <t>Non-current lease liabilities</t>
        </is>
      </c>
      <c r="C127" s="51" t="n"/>
      <c r="D127" s="77" t="inlineStr">
        <is>
          <t>-</t>
        </is>
      </c>
      <c r="E127" s="61" t="n">
        <v>-11567.95811853116</v>
      </c>
      <c r="F127" s="61" t="n">
        <v>-18294.21797707251</v>
      </c>
      <c r="G127" s="61" t="n">
        <v>-18266.6974938648</v>
      </c>
      <c r="H127" s="61" t="n">
        <v>-7463.529411764706</v>
      </c>
      <c r="I127" s="62">
        <f>IFERROR(G127-H127,"N/A")</f>
        <v/>
      </c>
      <c r="J127" s="63">
        <f>IFERROR(([1]BS!$G127-[1]BS!$H127)/ABS([1]BS!$H127),"N/A")</f>
        <v/>
      </c>
    </row>
    <row r="128" ht="13.35" customHeight="1">
      <c r="A128" s="50" t="inlineStr">
        <is>
          <t>20.A.04</t>
        </is>
      </c>
      <c r="B128" s="51" t="inlineStr">
        <is>
          <t>Deferred tax liabilities</t>
        </is>
      </c>
      <c r="C128" s="51" t="n"/>
      <c r="D128" s="77" t="inlineStr">
        <is>
          <t>-</t>
        </is>
      </c>
      <c r="E128" s="61" t="n">
        <v>0</v>
      </c>
      <c r="F128" s="61" t="n">
        <v>0</v>
      </c>
      <c r="G128" s="61" t="n">
        <v>0</v>
      </c>
      <c r="H128" s="61" t="n">
        <v>0</v>
      </c>
      <c r="I128" s="62">
        <f>IFERROR(G128-H128,"N/A")</f>
        <v/>
      </c>
      <c r="J128" s="63">
        <f>IFERROR(([1]BS!$G128-[1]BS!$H128)/ABS([1]BS!$H128),"N/A")</f>
        <v/>
      </c>
    </row>
    <row r="129" ht="13.35" customHeight="1">
      <c r="A129" s="50" t="inlineStr">
        <is>
          <t>20.A.05</t>
        </is>
      </c>
      <c r="B129" s="51" t="inlineStr">
        <is>
          <t>Provisions</t>
        </is>
      </c>
      <c r="C129" s="51" t="inlineStr">
        <is>
          <t>Ehtiyatlar</t>
        </is>
      </c>
      <c r="D129" s="77" t="inlineStr">
        <is>
          <t>-</t>
        </is>
      </c>
      <c r="E129" s="65">
        <f>SUM(E130:E133)</f>
        <v/>
      </c>
      <c r="F129" s="65">
        <f>SUM(F130:F133)</f>
        <v/>
      </c>
      <c r="G129" s="65">
        <f>SUM(G130:G133)</f>
        <v/>
      </c>
      <c r="H129" s="65">
        <f>SUM(H130:H133)</f>
        <v/>
      </c>
      <c r="I129" s="48">
        <f>IFERROR(G129-H129,"N/A")</f>
        <v/>
      </c>
      <c r="J129" s="49">
        <f>IFERROR(([1]BS!$G129-[1]BS!$H129)/ABS([1]BS!$H129),"N/A")</f>
        <v/>
      </c>
    </row>
    <row r="130" ht="13.35" customHeight="1">
      <c r="A130" s="52" t="inlineStr">
        <is>
          <t>20.A.05.01</t>
        </is>
      </c>
      <c r="B130" s="53" t="inlineStr">
        <is>
          <t>Provisions: environmental provisions</t>
        </is>
      </c>
      <c r="C130" s="53" t="inlineStr">
        <is>
          <t>Ehtiyatlar: ekoloji ehiyatlar</t>
        </is>
      </c>
      <c r="D130" s="78" t="inlineStr">
        <is>
          <t>-</t>
        </is>
      </c>
      <c r="E130" s="61" t="n"/>
      <c r="F130" s="61" t="n"/>
      <c r="G130" s="61" t="n"/>
      <c r="H130" s="61" t="n"/>
      <c r="I130" s="62">
        <f>IFERROR(G130-H130,"N/A")</f>
        <v/>
      </c>
      <c r="J130" s="63">
        <f>IFERROR(([1]BS!$G130-[1]BS!$H130)/ABS([1]BS!$H130),"N/A")</f>
        <v/>
      </c>
    </row>
    <row r="131" ht="13.35" customHeight="1">
      <c r="A131" s="52" t="inlineStr">
        <is>
          <t>20.A.05.02</t>
        </is>
      </c>
      <c r="B131" s="53" t="inlineStr">
        <is>
          <t>Provisions: injuries</t>
        </is>
      </c>
      <c r="C131" s="53" t="n"/>
      <c r="D131" s="78" t="inlineStr">
        <is>
          <t>-</t>
        </is>
      </c>
      <c r="E131" s="61" t="n"/>
      <c r="F131" s="61" t="n"/>
      <c r="G131" s="61" t="n"/>
      <c r="H131" s="61" t="n"/>
      <c r="I131" s="62">
        <f>IFERROR(G131-H131,"N/A")</f>
        <v/>
      </c>
      <c r="J131" s="63">
        <f>IFERROR(([1]BS!$G131-[1]BS!$H131)/ABS([1]BS!$H131),"N/A")</f>
        <v/>
      </c>
    </row>
    <row r="132" ht="13.35" customHeight="1">
      <c r="A132" s="52" t="inlineStr">
        <is>
          <t>20.A.05.03</t>
        </is>
      </c>
      <c r="B132" s="53" t="inlineStr">
        <is>
          <t>Provisions: asset retirement obligations</t>
        </is>
      </c>
      <c r="C132" s="53" t="n"/>
      <c r="D132" s="78" t="inlineStr">
        <is>
          <t>-</t>
        </is>
      </c>
      <c r="E132" s="61" t="n"/>
      <c r="F132" s="61" t="n"/>
      <c r="G132" s="61" t="n"/>
      <c r="H132" s="61" t="n"/>
      <c r="I132" s="62">
        <f>IFERROR(G132-H132,"N/A")</f>
        <v/>
      </c>
      <c r="J132" s="63">
        <f>IFERROR(([1]BS!$G132-[1]BS!$H132)/ABS([1]BS!$H132),"N/A")</f>
        <v/>
      </c>
    </row>
    <row r="133" ht="13.35" customHeight="1">
      <c r="A133" s="52" t="inlineStr">
        <is>
          <t>20.A.05.04</t>
        </is>
      </c>
      <c r="B133" s="53" t="inlineStr">
        <is>
          <t>Provisions: other provisions</t>
        </is>
      </c>
      <c r="C133" s="53" t="inlineStr">
        <is>
          <t>Ehtiyatlar: digər ehtiyatlar</t>
        </is>
      </c>
      <c r="D133" s="78" t="inlineStr">
        <is>
          <t>-</t>
        </is>
      </c>
      <c r="E133" s="61" t="n"/>
      <c r="F133" s="61" t="n"/>
      <c r="G133" s="61" t="n"/>
      <c r="H133" s="61" t="n"/>
      <c r="I133" s="62">
        <f>IFERROR(G133-H133,"N/A")</f>
        <v/>
      </c>
      <c r="J133" s="63">
        <f>IFERROR(([1]BS!$G133-[1]BS!$H133)/ABS([1]BS!$H133),"N/A")</f>
        <v/>
      </c>
    </row>
    <row r="134" ht="13.35" customHeight="1">
      <c r="A134" s="50" t="inlineStr">
        <is>
          <t>20.A.06</t>
        </is>
      </c>
      <c r="B134" s="51" t="inlineStr">
        <is>
          <t>Deferred income</t>
        </is>
      </c>
      <c r="C134" s="51" t="n"/>
      <c r="D134" s="77" t="inlineStr">
        <is>
          <t>-</t>
        </is>
      </c>
      <c r="E134" s="61" t="n"/>
      <c r="F134" s="61" t="n"/>
      <c r="G134" s="61" t="n"/>
      <c r="H134" s="61" t="n"/>
      <c r="I134" s="62">
        <f>IFERROR(G134-H134,"N/A")</f>
        <v/>
      </c>
      <c r="J134" s="63">
        <f>IFERROR(([1]BS!$G134-[1]BS!$H134)/ABS([1]BS!$H134),"N/A")</f>
        <v/>
      </c>
    </row>
    <row r="135" ht="13.35" customHeight="1">
      <c r="A135" s="50" t="inlineStr">
        <is>
          <t>20.A.07</t>
        </is>
      </c>
      <c r="B135" s="51" t="inlineStr">
        <is>
          <t>Non-current contract liabilities</t>
        </is>
      </c>
      <c r="C135" s="51" t="n"/>
      <c r="D135" s="77" t="inlineStr">
        <is>
          <t>-</t>
        </is>
      </c>
      <c r="E135" s="61" t="n"/>
      <c r="F135" s="61" t="n"/>
      <c r="G135" s="61" t="n"/>
      <c r="H135" s="61" t="n"/>
      <c r="I135" s="62">
        <f>IFERROR(G135-H135,"N/A")</f>
        <v/>
      </c>
      <c r="J135" s="63">
        <f>IFERROR(([1]BS!$G135-[1]BS!$H135)/ABS([1]BS!$H135),"N/A")</f>
        <v/>
      </c>
    </row>
    <row r="136" ht="13.35" customHeight="1">
      <c r="A136" s="50" t="inlineStr">
        <is>
          <t>20.A.08</t>
        </is>
      </c>
      <c r="B136" s="51" t="inlineStr">
        <is>
          <t>Other long-term financial liabilities</t>
        </is>
      </c>
      <c r="C136" s="51" t="n"/>
      <c r="D136" s="77" t="inlineStr">
        <is>
          <t>-</t>
        </is>
      </c>
      <c r="E136" s="65">
        <f>SUM(E137:E141)</f>
        <v/>
      </c>
      <c r="F136" s="65">
        <f>SUM(F137:F141)</f>
        <v/>
      </c>
      <c r="G136" s="65">
        <f>SUM(G137:G141)</f>
        <v/>
      </c>
      <c r="H136" s="65">
        <f>SUM(H137:H141)</f>
        <v/>
      </c>
      <c r="I136" s="48">
        <f>IFERROR(G136-H136,"N/A")</f>
        <v/>
      </c>
      <c r="J136" s="49">
        <f>IFERROR(([1]BS!$G136-[1]BS!$H136)/ABS([1]BS!$H136),"N/A")</f>
        <v/>
      </c>
    </row>
    <row r="137" ht="13.35" customHeight="1">
      <c r="A137" s="52" t="inlineStr">
        <is>
          <t>20.A.08.01</t>
        </is>
      </c>
      <c r="B137" s="53" t="inlineStr">
        <is>
          <t>Derivative liabilities</t>
        </is>
      </c>
      <c r="C137" s="53" t="n"/>
      <c r="D137" s="78" t="inlineStr">
        <is>
          <t>-</t>
        </is>
      </c>
      <c r="E137" s="61" t="n"/>
      <c r="F137" s="61" t="n"/>
      <c r="G137" s="61" t="n"/>
      <c r="H137" s="61" t="n"/>
      <c r="I137" s="62">
        <f>IFERROR(G137-H137,"N/A")</f>
        <v/>
      </c>
      <c r="J137" s="63">
        <f>IFERROR(([1]BS!$G137-[1]BS!$H137)/ABS([1]BS!$H137),"N/A")</f>
        <v/>
      </c>
    </row>
    <row r="138" ht="13.35" customHeight="1">
      <c r="A138" s="52" t="inlineStr">
        <is>
          <t>20.A.08.02</t>
        </is>
      </c>
      <c r="B138" s="53" t="inlineStr">
        <is>
          <t>Liabilities under carried interest arrangements</t>
        </is>
      </c>
      <c r="C138" s="53" t="n"/>
      <c r="D138" s="78" t="inlineStr">
        <is>
          <t>-</t>
        </is>
      </c>
      <c r="E138" s="61" t="n"/>
      <c r="F138" s="61" t="n"/>
      <c r="G138" s="61" t="n"/>
      <c r="H138" s="61" t="n"/>
      <c r="I138" s="62">
        <f>IFERROR(G138-H138,"N/A")</f>
        <v/>
      </c>
      <c r="J138" s="63">
        <f>IFERROR(([1]BS!$G138-[1]BS!$H138)/ABS([1]BS!$H138),"N/A")</f>
        <v/>
      </c>
    </row>
    <row r="139" ht="13.35" customHeight="1">
      <c r="A139" s="52" t="inlineStr">
        <is>
          <t>20.A.08.03</t>
        </is>
      </c>
      <c r="B139" s="53" t="inlineStr">
        <is>
          <t>Deferred acquisition consideration payable</t>
        </is>
      </c>
      <c r="C139" s="53" t="n"/>
      <c r="D139" s="78" t="inlineStr">
        <is>
          <t>-</t>
        </is>
      </c>
      <c r="E139" s="61" t="n"/>
      <c r="F139" s="61" t="n"/>
      <c r="G139" s="61" t="n"/>
      <c r="H139" s="61" t="n"/>
      <c r="I139" s="62">
        <f>IFERROR(G139-H139,"N/A")</f>
        <v/>
      </c>
      <c r="J139" s="63">
        <f>IFERROR(([1]BS!$G139-[1]BS!$H139)/ABS([1]BS!$H139),"N/A")</f>
        <v/>
      </c>
    </row>
    <row r="140" ht="13.35" customHeight="1">
      <c r="A140" s="52" t="inlineStr">
        <is>
          <t>20.A.08.04</t>
        </is>
      </c>
      <c r="B140" s="53" t="inlineStr">
        <is>
          <t>Put option liabilities</t>
        </is>
      </c>
      <c r="C140" s="53" t="n"/>
      <c r="D140" s="78" t="inlineStr">
        <is>
          <t>-</t>
        </is>
      </c>
      <c r="E140" s="61" t="n"/>
      <c r="F140" s="61" t="n"/>
      <c r="G140" s="61" t="n"/>
      <c r="H140" s="61" t="n"/>
      <c r="I140" s="62">
        <f>IFERROR(G140-H140,"N/A")</f>
        <v/>
      </c>
      <c r="J140" s="63">
        <f>IFERROR(([1]BS!$G140-[1]BS!$H140)/ABS([1]BS!$H140),"N/A")</f>
        <v/>
      </c>
    </row>
    <row r="141" ht="13.35" customHeight="1">
      <c r="A141" s="52" t="inlineStr">
        <is>
          <t>20.A.08.05</t>
        </is>
      </c>
      <c r="B141" s="53" t="inlineStr">
        <is>
          <t>Other liabilities</t>
        </is>
      </c>
      <c r="C141" s="53" t="n"/>
      <c r="D141" s="78" t="inlineStr">
        <is>
          <t>-</t>
        </is>
      </c>
      <c r="E141" s="61" t="n"/>
      <c r="F141" s="61" t="n"/>
      <c r="G141" s="61" t="n"/>
      <c r="H141" s="61" t="n"/>
      <c r="I141" s="62">
        <f>IFERROR(G141-H141,"N/A")</f>
        <v/>
      </c>
      <c r="J141" s="63">
        <f>IFERROR(([1]BS!$G141-[1]BS!$H141)/ABS([1]BS!$H141),"N/A")</f>
        <v/>
      </c>
    </row>
    <row r="142" ht="13.35" customHeight="1">
      <c r="A142" s="50" t="inlineStr">
        <is>
          <t>20.A.09</t>
        </is>
      </c>
      <c r="B142" s="51" t="inlineStr">
        <is>
          <t>Other non-current liabilities</t>
        </is>
      </c>
      <c r="C142" s="51" t="n"/>
      <c r="D142" s="77" t="inlineStr">
        <is>
          <t>-</t>
        </is>
      </c>
      <c r="E142" s="61" t="n">
        <v>-26509.56725684679</v>
      </c>
      <c r="F142" s="61" t="n">
        <v>-23689.11859650586</v>
      </c>
      <c r="G142" s="61" t="n">
        <v>-48978.00602679435</v>
      </c>
      <c r="H142" s="61" t="n">
        <v>-22084.11764705883</v>
      </c>
      <c r="I142" s="62">
        <f>IFERROR(G142-H142,"N/A")</f>
        <v/>
      </c>
      <c r="J142" s="63">
        <f>IFERROR(([1]BS!$G142-[1]BS!$H142)/ABS([1]BS!$H142),"N/A")</f>
        <v/>
      </c>
    </row>
    <row r="143" ht="13.35" customHeight="1">
      <c r="A143" s="80" t="inlineStr">
        <is>
          <t>20</t>
        </is>
      </c>
      <c r="B143" s="44" t="inlineStr">
        <is>
          <t>Total liabilities</t>
        </is>
      </c>
      <c r="C143" s="44" t="n"/>
      <c r="D143" s="81" t="inlineStr">
        <is>
          <t>-</t>
        </is>
      </c>
      <c r="E143" s="82">
        <f>SUM(E82,E115)</f>
        <v/>
      </c>
      <c r="F143" s="82">
        <f>SUM(F82,F115)</f>
        <v/>
      </c>
      <c r="G143" s="82">
        <f>SUM(G82,G115)</f>
        <v/>
      </c>
      <c r="H143" s="82">
        <f>SUM(H82,H115)</f>
        <v/>
      </c>
      <c r="I143" s="83">
        <f>IFERROR(G143-H143,"N/A")</f>
        <v/>
      </c>
      <c r="J143" s="84">
        <f>IFERROR(([1]BS!$G143-[1]BS!$H143)/ABS([1]BS!$H143),"N/A")</f>
        <v/>
      </c>
    </row>
    <row r="144" ht="13.35" customHeight="1">
      <c r="A144" s="80" t="inlineStr">
        <is>
          <t>30.A</t>
        </is>
      </c>
      <c r="B144" s="45" t="inlineStr">
        <is>
          <t>Share capital</t>
        </is>
      </c>
      <c r="C144" s="45" t="n"/>
      <c r="D144" s="81" t="inlineStr">
        <is>
          <t>-</t>
        </is>
      </c>
      <c r="E144" s="82">
        <f>E145+E146</f>
        <v/>
      </c>
      <c r="F144" s="82">
        <f>F145+F146</f>
        <v/>
      </c>
      <c r="G144" s="82">
        <f>G145+G146</f>
        <v/>
      </c>
      <c r="H144" s="82">
        <f>H145+H146</f>
        <v/>
      </c>
      <c r="I144" s="83">
        <f>IFERROR(G144-H144,"N/A")</f>
        <v/>
      </c>
      <c r="J144" s="84">
        <f>IFERROR(([1]BS!$G144-[1]BS!$H144)/ABS([1]BS!$H144),"N/A")</f>
        <v/>
      </c>
    </row>
    <row r="145" ht="13.35" customHeight="1">
      <c r="A145" s="68" t="inlineStr">
        <is>
          <t>30.A.01</t>
        </is>
      </c>
      <c r="B145" s="68" t="inlineStr">
        <is>
          <t>Charter capital</t>
        </is>
      </c>
      <c r="C145" s="68" t="n"/>
      <c r="D145" s="78" t="inlineStr">
        <is>
          <t>-</t>
        </is>
      </c>
      <c r="E145" s="61" t="n">
        <v>-146946.5106458787</v>
      </c>
      <c r="F145" s="61" t="n">
        <v>-146946.5106458787</v>
      </c>
      <c r="G145" s="61" t="n">
        <v>-146946.5106458787</v>
      </c>
      <c r="H145" s="61" t="n">
        <v>-153093.5294117647</v>
      </c>
      <c r="I145" s="62">
        <f>IFERROR(G145-H145,"N/A")</f>
        <v/>
      </c>
      <c r="J145" s="63">
        <f>IFERROR(([1]BS!$G145-[1]BS!$H145)/ABS([1]BS!$H145),"N/A")</f>
        <v/>
      </c>
    </row>
    <row r="146" ht="13.35" customHeight="1">
      <c r="A146" s="68" t="inlineStr">
        <is>
          <t>30.A.02</t>
        </is>
      </c>
      <c r="B146" s="68" t="inlineStr">
        <is>
          <t>Additional paid-in capital</t>
        </is>
      </c>
      <c r="C146" s="68" t="n"/>
      <c r="D146" s="78" t="inlineStr">
        <is>
          <t>-</t>
        </is>
      </c>
      <c r="E146" s="61" t="n">
        <v>-5423.80898018294</v>
      </c>
      <c r="F146" s="61" t="n">
        <v>-5423.80898018294</v>
      </c>
      <c r="G146" s="61" t="n">
        <v>-5423.80898018294</v>
      </c>
      <c r="H146" s="61" t="n">
        <v>-7400.588235294118</v>
      </c>
      <c r="I146" s="62">
        <f>IFERROR(G146-H146,"N/A")</f>
        <v/>
      </c>
      <c r="J146" s="63">
        <f>IFERROR(([1]BS!$G146-[1]BS!$H146)/ABS([1]BS!$H146),"N/A")</f>
        <v/>
      </c>
    </row>
    <row r="147" ht="13.35" customHeight="1">
      <c r="A147" s="80" t="inlineStr">
        <is>
          <t>30.B</t>
        </is>
      </c>
      <c r="B147" s="85" t="inlineStr">
        <is>
          <t>Retained earnings</t>
        </is>
      </c>
      <c r="C147" s="85" t="n"/>
      <c r="D147" s="86" t="inlineStr">
        <is>
          <t>-/+</t>
        </is>
      </c>
      <c r="E147" s="87">
        <f>SUM(E149:E153)</f>
        <v/>
      </c>
      <c r="F147" s="87">
        <f>SUM(F149:F153)</f>
        <v/>
      </c>
      <c r="G147" s="87">
        <f>SUM(G149:G153)</f>
        <v/>
      </c>
      <c r="H147" s="87">
        <f>SUM(H149:H153)</f>
        <v/>
      </c>
      <c r="I147" s="88">
        <f>IFERROR(G147-H147,"N/A")</f>
        <v/>
      </c>
      <c r="J147" s="89">
        <f>IFERROR(([1]BS!$G147-[1]BS!$H147)/ABS([1]BS!$H147),"N/A")</f>
        <v/>
      </c>
    </row>
    <row r="148" ht="13.35" customHeight="1">
      <c r="A148" s="68" t="inlineStr">
        <is>
          <t>30.B.00</t>
        </is>
      </c>
      <c r="B148" s="68" t="inlineStr">
        <is>
          <t>Retained earnings at the end of the previous year</t>
        </is>
      </c>
      <c r="C148" s="68" t="n"/>
      <c r="D148" s="78" t="inlineStr">
        <is>
          <t>-/+</t>
        </is>
      </c>
      <c r="E148" s="61" t="n"/>
      <c r="F148" s="61" t="n"/>
      <c r="G148" s="61" t="n"/>
      <c r="H148" s="61" t="n"/>
      <c r="I148" s="62">
        <f>IFERROR(G148-H148,"N/A")</f>
        <v/>
      </c>
      <c r="J148" s="63">
        <f>IFERROR(([1]BS!$G148-[1]BS!$H148)/ABS([1]BS!$H148),"N/A")</f>
        <v/>
      </c>
    </row>
    <row r="149" ht="13.35" customHeight="1">
      <c r="A149" s="68" t="inlineStr">
        <is>
          <t>30.B.01</t>
        </is>
      </c>
      <c r="B149" s="68" t="inlineStr">
        <is>
          <t>Retained earnings at the beginning of the period</t>
        </is>
      </c>
      <c r="C149" s="68" t="n"/>
      <c r="D149" s="78" t="inlineStr">
        <is>
          <t>-/+</t>
        </is>
      </c>
      <c r="E149" s="61" t="n">
        <v>189061.0407973144</v>
      </c>
      <c r="F149" s="61" t="n">
        <v>117220.348088544</v>
      </c>
      <c r="G149" s="61" t="n">
        <v>117220.348088544</v>
      </c>
      <c r="H149" s="61" t="n">
        <v>131075.8823529412</v>
      </c>
      <c r="I149" s="62">
        <f>IFERROR(G149-H149,"N/A")</f>
        <v/>
      </c>
      <c r="J149" s="63">
        <f>IFERROR(([1]BS!$G149-[1]BS!$H149)/ABS([1]BS!$H149),"N/A")</f>
        <v/>
      </c>
    </row>
    <row r="150" ht="13.35" customHeight="1">
      <c r="A150" s="68" t="inlineStr">
        <is>
          <t>30.B.02</t>
        </is>
      </c>
      <c r="B150" s="68" t="inlineStr">
        <is>
          <t>Current year profit/(loss)</t>
        </is>
      </c>
      <c r="C150" s="68" t="n"/>
      <c r="D150" s="78" t="inlineStr">
        <is>
          <t>-/+</t>
        </is>
      </c>
      <c r="E150" s="61" t="n">
        <v>-71840.69270877047</v>
      </c>
      <c r="F150" s="61" t="n">
        <v>-35726.02071500201</v>
      </c>
      <c r="G150" s="61" t="n">
        <v>-43635.09930634434</v>
      </c>
      <c r="H150" s="61" t="n">
        <v>-34730</v>
      </c>
      <c r="I150" s="62">
        <f>IFERROR(G150-H150,"N/A")</f>
        <v/>
      </c>
      <c r="J150" s="63">
        <f>IFERROR(([1]BS!$G150-[1]BS!$H150)/ABS([1]BS!$H150),"N/A")</f>
        <v/>
      </c>
    </row>
    <row r="151" ht="13.35" customHeight="1">
      <c r="A151" s="68" t="inlineStr">
        <is>
          <t>30.B.03</t>
        </is>
      </c>
      <c r="B151" s="68" t="inlineStr">
        <is>
          <t>Distribution to the government (for Head office only)</t>
        </is>
      </c>
      <c r="C151" s="68" t="n"/>
      <c r="D151" s="78" t="inlineStr">
        <is>
          <t>-/+</t>
        </is>
      </c>
      <c r="E151" s="61" t="n">
        <v>0</v>
      </c>
      <c r="F151" s="61" t="n">
        <v>0</v>
      </c>
      <c r="G151" s="61" t="n">
        <v>0</v>
      </c>
      <c r="H151" s="61" t="n">
        <v>0</v>
      </c>
      <c r="I151" s="62">
        <f>IFERROR(G151-H151,"N/A")</f>
        <v/>
      </c>
      <c r="J151" s="63">
        <f>IFERROR(([1]BS!$G151-[1]BS!$H151)/ABS([1]BS!$H151),"N/A")</f>
        <v/>
      </c>
    </row>
    <row r="152" ht="13.35" customHeight="1">
      <c r="A152" s="68" t="inlineStr">
        <is>
          <t>30.B.04</t>
        </is>
      </c>
      <c r="B152" s="68" t="inlineStr">
        <is>
          <t>Dividends declared</t>
        </is>
      </c>
      <c r="C152" s="68" t="n"/>
      <c r="D152" s="78" t="inlineStr">
        <is>
          <t>-/+</t>
        </is>
      </c>
      <c r="E152" s="61" t="n">
        <v>0</v>
      </c>
      <c r="F152" s="61" t="n">
        <v>0</v>
      </c>
      <c r="G152" s="61" t="n">
        <v>0</v>
      </c>
      <c r="H152" s="61" t="n">
        <v>0</v>
      </c>
      <c r="I152" s="62">
        <f>IFERROR(G152-H152,"N/A")</f>
        <v/>
      </c>
      <c r="J152" s="63">
        <f>IFERROR(([1]BS!$G152-[1]BS!$H152)/ABS([1]BS!$H152),"N/A")</f>
        <v/>
      </c>
    </row>
    <row r="153" ht="13.35" customHeight="1">
      <c r="A153" s="68" t="inlineStr">
        <is>
          <t>30.B.05</t>
        </is>
      </c>
      <c r="B153" s="68" t="inlineStr">
        <is>
          <t>Other changes in retained earnings</t>
        </is>
      </c>
      <c r="C153" s="68" t="n"/>
      <c r="D153" s="78" t="inlineStr">
        <is>
          <t>-/+</t>
        </is>
      </c>
      <c r="E153" s="61" t="n">
        <v>0</v>
      </c>
      <c r="F153" s="61" t="n">
        <v>0</v>
      </c>
      <c r="G153" s="61" t="n">
        <v>0</v>
      </c>
      <c r="H153" s="61" t="n">
        <v>0</v>
      </c>
      <c r="I153" s="62">
        <f>IFERROR(G153-H153,"N/A")</f>
        <v/>
      </c>
      <c r="J153" s="63">
        <f>IFERROR(([1]BS!$G153-[1]BS!$H153)/ABS([1]BS!$H153),"N/A")</f>
        <v/>
      </c>
    </row>
    <row r="154" ht="13.35" customHeight="1">
      <c r="A154" s="80" t="inlineStr">
        <is>
          <t>30.C</t>
        </is>
      </c>
      <c r="B154" s="85" t="inlineStr">
        <is>
          <t>Cumulative translation differences</t>
        </is>
      </c>
      <c r="C154" s="85" t="n"/>
      <c r="D154" s="86" t="inlineStr">
        <is>
          <t>-/+</t>
        </is>
      </c>
      <c r="E154" s="61" t="n">
        <v>8792.657683476795</v>
      </c>
      <c r="F154" s="61" t="n">
        <v>7062.060196515853</v>
      </c>
      <c r="G154" s="61" t="n">
        <v>6982.399442071204</v>
      </c>
      <c r="H154" s="61" t="n">
        <v>0</v>
      </c>
      <c r="I154" s="62">
        <f>IFERROR(G154-H154,"N/A")</f>
        <v/>
      </c>
      <c r="J154" s="63">
        <f>IFERROR(([1]BS!$G154-[1]BS!$H154)/ABS([1]BS!$H154),"N/A")</f>
        <v/>
      </c>
    </row>
    <row r="155" ht="13.35" customHeight="1">
      <c r="A155" s="80" t="inlineStr">
        <is>
          <t>30.D</t>
        </is>
      </c>
      <c r="B155" s="85" t="inlineStr">
        <is>
          <t>Gain/(loss) from sale/purchase of subsidiary share</t>
        </is>
      </c>
      <c r="C155" s="85" t="n"/>
      <c r="D155" s="86" t="inlineStr">
        <is>
          <t>-/+</t>
        </is>
      </c>
      <c r="E155" s="61" t="n">
        <v>0</v>
      </c>
      <c r="F155" s="61" t="n"/>
      <c r="G155" s="61" t="n"/>
      <c r="H155" s="61" t="n">
        <v>0</v>
      </c>
      <c r="I155" s="62">
        <f>IFERROR(G155-H155,"N/A")</f>
        <v/>
      </c>
      <c r="J155" s="63">
        <f>IFERROR(([1]BS!$G155-[1]BS!$H155)/ABS([1]BS!$H155),"N/A")</f>
        <v/>
      </c>
    </row>
    <row r="156" ht="13.35" customHeight="1">
      <c r="A156" s="80" t="inlineStr">
        <is>
          <t>30.E</t>
        </is>
      </c>
      <c r="B156" s="85" t="inlineStr">
        <is>
          <t>Put option on company's shares</t>
        </is>
      </c>
      <c r="C156" s="85" t="n"/>
      <c r="D156" s="86" t="inlineStr">
        <is>
          <t>-</t>
        </is>
      </c>
      <c r="E156" s="61" t="n">
        <v>0</v>
      </c>
      <c r="F156" s="61" t="n"/>
      <c r="G156" s="61" t="n"/>
      <c r="H156" s="61" t="n">
        <v>0</v>
      </c>
      <c r="I156" s="62">
        <f>IFERROR(G156-H156,"N/A")</f>
        <v/>
      </c>
      <c r="J156" s="63">
        <f>IFERROR(([1]BS!$G156-[1]BS!$H156)/ABS([1]BS!$H156),"N/A")</f>
        <v/>
      </c>
    </row>
    <row r="157" ht="13.35" customHeight="1">
      <c r="A157" s="80" t="inlineStr">
        <is>
          <t>30.F</t>
        </is>
      </c>
      <c r="B157" s="85" t="inlineStr">
        <is>
          <t>Other capital reserves</t>
        </is>
      </c>
      <c r="C157" s="85" t="n"/>
      <c r="D157" s="86" t="inlineStr">
        <is>
          <t>-/+</t>
        </is>
      </c>
      <c r="E157" s="61" t="n">
        <v>0</v>
      </c>
      <c r="F157" s="61" t="n"/>
      <c r="G157" s="61" t="n"/>
      <c r="H157" s="61" t="n">
        <v>0</v>
      </c>
      <c r="I157" s="62">
        <f>IFERROR(G157-H157,"N/A")</f>
        <v/>
      </c>
      <c r="J157" s="63">
        <f>IFERROR(([1]BS!$G157-[1]BS!$H157)/ABS([1]BS!$H157),"N/A")</f>
        <v/>
      </c>
    </row>
    <row r="158">
      <c r="A158" s="80" t="inlineStr">
        <is>
          <t>TE</t>
        </is>
      </c>
      <c r="B158" s="44" t="inlineStr">
        <is>
          <t>Total equity</t>
        </is>
      </c>
      <c r="C158" s="44" t="inlineStr">
        <is>
          <t>Ümumi kapital</t>
        </is>
      </c>
      <c r="D158" s="86" t="inlineStr">
        <is>
          <t>-</t>
        </is>
      </c>
      <c r="E158" s="82">
        <f>SUM(E144,E147,E154:E157,E160)</f>
        <v/>
      </c>
      <c r="F158" s="82">
        <f>SUM(F144,F147,F154:F157,F160)</f>
        <v/>
      </c>
      <c r="G158" s="82">
        <f>SUM(G144,G147,G154:G157,G160)</f>
        <v/>
      </c>
      <c r="H158" s="82">
        <f>SUM(H144,H147,H154:H157,H160)</f>
        <v/>
      </c>
      <c r="I158" s="83">
        <f>IFERROR(G158-H158,"N/A")</f>
        <v/>
      </c>
      <c r="J158" s="84">
        <f>IFERROR(([1]BS!$G158-[1]BS!$H158)/ABS([1]BS!$H158),"N/A")</f>
        <v/>
      </c>
    </row>
    <row r="159" ht="13.35" customHeight="1">
      <c r="A159" s="80" t="n">
        <v>30</v>
      </c>
      <c r="B159" s="90" t="inlineStr">
        <is>
          <t>Equity attributable to equity holders of the Group</t>
        </is>
      </c>
      <c r="C159" s="90" t="n"/>
      <c r="D159" s="86" t="inlineStr">
        <is>
          <t>-/+</t>
        </is>
      </c>
      <c r="E159" s="87">
        <f>E158-E160</f>
        <v/>
      </c>
      <c r="F159" s="87">
        <f>F158-F160</f>
        <v/>
      </c>
      <c r="G159" s="87" t="n">
        <v>139057.68</v>
      </c>
      <c r="H159" s="87">
        <f>H158-H160</f>
        <v/>
      </c>
      <c r="I159" s="88">
        <f>IFERROR(G159-H159,"N/A")</f>
        <v/>
      </c>
      <c r="J159" s="89">
        <f>IFERROR(([1]BS!$G159-[1]BS!$H159)/ABS([1]BS!$H159),"N/A")</f>
        <v/>
      </c>
    </row>
    <row r="160" ht="13.35" customHeight="1">
      <c r="A160" s="80" t="n">
        <v>40</v>
      </c>
      <c r="B160" s="90" t="inlineStr">
        <is>
          <t>Non-controlling interests (NCI)</t>
        </is>
      </c>
      <c r="C160" s="90" t="n"/>
      <c r="D160" s="86" t="inlineStr">
        <is>
          <t>-</t>
        </is>
      </c>
      <c r="E160" s="87">
        <f>SUM(E161:E165)</f>
        <v/>
      </c>
      <c r="F160" s="87">
        <f>SUM(F161:F165)</f>
        <v/>
      </c>
      <c r="G160" s="87">
        <f>SUM(G161:G165)</f>
        <v/>
      </c>
      <c r="H160" s="87">
        <f>SUM(H161:H165)</f>
        <v/>
      </c>
      <c r="I160" s="88">
        <f>IFERROR(G160-H160,"N/A")</f>
        <v/>
      </c>
      <c r="J160" s="89">
        <f>IFERROR(([1]BS!$G160-[1]BS!$H160)/ABS([1]BS!$H160),"N/A")</f>
        <v/>
      </c>
    </row>
    <row r="161" ht="13.35" customHeight="1">
      <c r="A161" s="68" t="inlineStr">
        <is>
          <t>40.A</t>
        </is>
      </c>
      <c r="B161" s="68" t="inlineStr">
        <is>
          <t>NCI at the beginning of the period</t>
        </is>
      </c>
      <c r="C161" s="68" t="n"/>
      <c r="D161" s="78" t="inlineStr">
        <is>
          <t>-</t>
        </is>
      </c>
      <c r="E161" s="61" t="n"/>
      <c r="F161" s="61" t="n"/>
      <c r="G161" s="61" t="n"/>
      <c r="H161" s="61" t="n"/>
      <c r="I161" s="62">
        <f>IFERROR(G161-H161,"N/A")</f>
        <v/>
      </c>
      <c r="J161" s="63">
        <f>IFERROR(([1]BS!$G161-[1]BS!$H161)/ABS([1]BS!$H161),"N/A")</f>
        <v/>
      </c>
    </row>
    <row r="162" ht="13.35" customHeight="1">
      <c r="A162" s="68" t="inlineStr">
        <is>
          <t>40.B</t>
        </is>
      </c>
      <c r="B162" s="68" t="inlineStr">
        <is>
          <t>Dividends declared by subsidiaries</t>
        </is>
      </c>
      <c r="C162" s="68" t="n"/>
      <c r="D162" s="78" t="inlineStr">
        <is>
          <t>+</t>
        </is>
      </c>
      <c r="E162" s="61" t="n"/>
      <c r="F162" s="61" t="n"/>
      <c r="G162" s="61" t="n"/>
      <c r="H162" s="61" t="n"/>
      <c r="I162" s="62">
        <f>IFERROR(G162-H162,"N/A")</f>
        <v/>
      </c>
      <c r="J162" s="63">
        <f>IFERROR(([1]BS!$G162-[1]BS!$H162)/ABS([1]BS!$H162),"N/A")</f>
        <v/>
      </c>
    </row>
    <row r="163" ht="13.35" customHeight="1">
      <c r="A163" s="68" t="inlineStr">
        <is>
          <t>40.C</t>
        </is>
      </c>
      <c r="B163" s="68" t="inlineStr">
        <is>
          <t>Profit /(loss) to NCI for the year</t>
        </is>
      </c>
      <c r="C163" s="68" t="n"/>
      <c r="D163" s="78" t="inlineStr">
        <is>
          <t>+</t>
        </is>
      </c>
      <c r="E163" s="61" t="n"/>
      <c r="F163" s="61" t="n"/>
      <c r="G163" s="61" t="n"/>
      <c r="H163" s="61" t="n"/>
      <c r="I163" s="62">
        <f>IFERROR(G163-H163,"N/A")</f>
        <v/>
      </c>
      <c r="J163" s="63">
        <f>IFERROR(([1]BS!$G163-[1]BS!$H163)/ABS([1]BS!$H163),"N/A")</f>
        <v/>
      </c>
    </row>
    <row r="164" ht="13.35" customHeight="1">
      <c r="A164" s="68" t="inlineStr">
        <is>
          <t>40.D</t>
        </is>
      </c>
      <c r="B164" s="68" t="inlineStr">
        <is>
          <t>Other comprehensive income</t>
        </is>
      </c>
      <c r="C164" s="68" t="n"/>
      <c r="D164" s="78" t="inlineStr">
        <is>
          <t>-/+</t>
        </is>
      </c>
      <c r="E164" s="61" t="n">
        <v>-76.97754155339655</v>
      </c>
      <c r="F164" s="61" t="n">
        <v>-67.00545038013652</v>
      </c>
      <c r="G164" s="61" t="n">
        <v>-387.7844738607548</v>
      </c>
      <c r="H164" s="61" t="n">
        <v>0</v>
      </c>
      <c r="I164" s="62">
        <f>IFERROR(G164-H164,"N/A")</f>
        <v/>
      </c>
      <c r="J164" s="63">
        <f>IFERROR(([1]BS!$G164-[1]BS!$H164)/ABS([1]BS!$H164),"N/A")</f>
        <v/>
      </c>
    </row>
    <row r="165" ht="15" customHeight="1">
      <c r="A165" s="68" t="inlineStr">
        <is>
          <t>40.E</t>
        </is>
      </c>
      <c r="B165" s="68" t="inlineStr">
        <is>
          <t>Other change to NCI</t>
        </is>
      </c>
      <c r="C165" s="68" t="n"/>
      <c r="D165" s="78" t="inlineStr">
        <is>
          <t>-/+</t>
        </is>
      </c>
      <c r="E165" s="61" t="n">
        <v>0</v>
      </c>
      <c r="F165" s="61" t="n"/>
      <c r="G165" s="61" t="n">
        <v>0</v>
      </c>
      <c r="H165" s="61" t="n"/>
      <c r="I165" s="62">
        <f>IFERROR(G165-H165,"N/A")</f>
        <v/>
      </c>
      <c r="J165" s="63">
        <f>IFERROR(([1]BS!$G165-[1]BS!$H165)/ABS([1]BS!$H165),"N/A")</f>
        <v/>
      </c>
    </row>
    <row r="166">
      <c r="A166" s="44" t="inlineStr">
        <is>
          <t>TEL</t>
        </is>
      </c>
      <c r="B166" s="44" t="inlineStr">
        <is>
          <t>Total equity and liabilities</t>
        </is>
      </c>
      <c r="C166" s="44" t="n"/>
      <c r="D166" s="81" t="inlineStr">
        <is>
          <t>-</t>
        </is>
      </c>
      <c r="E166" s="82">
        <f>SUM(E158,E143)</f>
        <v/>
      </c>
      <c r="F166" s="82">
        <f>SUM(F158,F143)</f>
        <v/>
      </c>
      <c r="G166" s="82">
        <f>SUM(G158,G143)</f>
        <v/>
      </c>
      <c r="H166" s="82">
        <f>SUM(H158,H143)</f>
        <v/>
      </c>
      <c r="I166" s="83">
        <f>IFERROR(G166-H166,"N/A")</f>
        <v/>
      </c>
      <c r="J166" s="84">
        <f>IFERROR(([1]BS!$G166-[1]BS!$H166)/ABS([1]BS!$H166),"N/A")</f>
        <v/>
      </c>
    </row>
    <row r="167">
      <c r="A167" s="91" t="n"/>
      <c r="B167" s="92" t="n"/>
      <c r="C167" s="92" t="n"/>
      <c r="D167" s="92" t="n"/>
      <c r="E167" s="93" t="n"/>
      <c r="F167" s="93" t="n"/>
      <c r="G167" s="93" t="n"/>
      <c r="H167" s="93" t="n"/>
      <c r="I167" s="93" t="n"/>
    </row>
    <row r="168">
      <c r="E168" s="95" t="n"/>
      <c r="F168" s="95" t="n"/>
      <c r="G168" s="95" t="n"/>
      <c r="H168" s="95" t="n"/>
    </row>
    <row r="169"/>
    <row r="170">
      <c r="E170" s="96" t="n"/>
    </row>
  </sheetData>
  <mergeCells count="11">
    <mergeCell ref="C9:C10"/>
    <mergeCell ref="B9:B10"/>
    <mergeCell ref="G9:G10"/>
    <mergeCell ref="D9:D10"/>
    <mergeCell ref="E9:E10"/>
    <mergeCell ref="H9:H10"/>
    <mergeCell ref="F9:F10"/>
    <mergeCell ref="A9:A10"/>
    <mergeCell ref="G8:J8"/>
    <mergeCell ref="G11:J11"/>
    <mergeCell ref="I9:J9"/>
  </mergeCell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Z182"/>
  <sheetViews>
    <sheetView workbookViewId="0">
      <selection activeCell="A1" sqref="A1:XFD1048576"/>
    </sheetView>
  </sheetViews>
  <sheetFormatPr baseColWidth="8" defaultColWidth="9.42578125" defaultRowHeight="12"/>
  <cols>
    <col width="14.42578125" customWidth="1" style="99" min="1" max="1"/>
    <col width="60.5703125" customWidth="1" style="99" min="2" max="3"/>
    <col width="10.5703125" customWidth="1" style="99" min="4" max="4"/>
    <col width="21.42578125" customWidth="1" style="207" min="5" max="5"/>
    <col width="21" customWidth="1" style="208" min="6" max="7"/>
    <col width="28.5703125" customWidth="1" style="208" min="8" max="8"/>
    <col width="28.5703125" customWidth="1" style="209" min="9" max="9"/>
    <col width="31" customWidth="1" style="209" min="10" max="10"/>
    <col width="8.5703125" customWidth="1" style="99" min="11" max="11"/>
    <col width="31.42578125" customWidth="1" style="99" min="12" max="12"/>
    <col width="31.42578125" customWidth="1" style="106" min="13" max="13"/>
    <col width="31.42578125" customWidth="1" style="99" min="14" max="14"/>
    <col width="8.5703125" customWidth="1" style="99" min="15" max="15"/>
    <col width="31.5703125" customWidth="1" style="210" min="16" max="18"/>
    <col width="31.5703125" customWidth="1" style="211" min="19" max="19"/>
    <col width="28.5703125" customWidth="1" style="212" min="20" max="20"/>
    <col width="31.5703125" customWidth="1" style="99" min="21" max="21"/>
    <col width="8.5703125" customWidth="1" style="99" min="22" max="22"/>
    <col width="30.5703125" customWidth="1" style="99" min="23" max="24"/>
    <col width="32" customWidth="1" style="99" min="25" max="25"/>
    <col width="8.5703125" customWidth="1" style="99" min="26" max="26"/>
    <col width="9.42578125" customWidth="1" style="99" min="27" max="16384"/>
  </cols>
  <sheetData>
    <row r="1" ht="57.6" customHeight="1">
      <c r="A1" s="98" t="n"/>
      <c r="C1" s="100" t="n"/>
      <c r="E1" s="207" t="n"/>
      <c r="F1" s="208" t="n"/>
      <c r="G1" s="103" t="n"/>
      <c r="H1" s="208" t="n"/>
      <c r="I1" s="209" t="n"/>
      <c r="J1" s="209" t="n"/>
      <c r="L1" s="105" t="n"/>
      <c r="P1" s="99" t="n"/>
      <c r="Q1" s="99" t="n"/>
      <c r="R1" s="99" t="n"/>
      <c r="S1" s="99" t="n"/>
      <c r="T1" s="99" t="n"/>
    </row>
    <row r="2" ht="42.6" customFormat="1" customHeight="1" s="109">
      <c r="A2" s="107" t="n"/>
      <c r="B2" s="108" t="inlineStr">
        <is>
          <t>Profit and loss statement</t>
        </is>
      </c>
      <c r="E2" s="110" t="n"/>
      <c r="F2" s="111" t="n"/>
      <c r="G2" s="111" t="n"/>
      <c r="H2" s="111" t="n"/>
      <c r="I2" s="417" t="n"/>
      <c r="L2" s="113" t="n"/>
      <c r="M2" s="114" t="n"/>
    </row>
    <row r="3" ht="20.25" customFormat="1" customHeight="1" s="109">
      <c r="A3" s="115" t="n"/>
      <c r="E3" s="110" t="n"/>
      <c r="F3" s="111" t="n"/>
      <c r="G3" s="111" t="n"/>
      <c r="H3" s="111" t="n"/>
      <c r="I3" s="417" t="n"/>
      <c r="J3" s="417" t="n"/>
      <c r="L3" s="113" t="n"/>
      <c r="M3" s="114" t="n"/>
    </row>
    <row r="4" ht="15.75" customHeight="1">
      <c r="B4" s="18" t="inlineStr">
        <is>
          <t>Entity Name</t>
        </is>
      </c>
      <c r="C4" s="743" t="inlineStr">
        <is>
          <t>SOCAR Georgia Petroleum LLC</t>
        </is>
      </c>
      <c r="D4" s="118" t="n"/>
      <c r="E4" s="207" t="n"/>
      <c r="F4" s="208" t="n"/>
      <c r="G4" s="208" t="n"/>
      <c r="H4" s="208" t="n"/>
      <c r="I4" s="209" t="n"/>
      <c r="J4" s="209" t="n"/>
      <c r="L4" s="105" t="n"/>
      <c r="P4" s="99" t="n"/>
      <c r="Q4" s="99" t="n"/>
      <c r="R4" s="99" t="n"/>
      <c r="S4" s="99" t="n"/>
      <c r="T4" s="99" t="n"/>
      <c r="X4" s="109" t="n"/>
    </row>
    <row r="5" ht="15.75" customHeight="1">
      <c r="B5" s="18" t="inlineStr">
        <is>
          <t>Currency</t>
        </is>
      </c>
      <c r="C5" s="744">
        <f>IF([1]Segment_map!$J$4="","CURRENCY HAS NOT BEEN PICKED",[1]Segment_map!$J$4)</f>
        <v/>
      </c>
      <c r="D5" s="118">
        <f>"! Please, enter amounts in thousands " &amp;C5</f>
        <v/>
      </c>
      <c r="E5" s="207" t="n"/>
      <c r="F5" s="208" t="n"/>
      <c r="G5" s="208" t="n"/>
      <c r="H5" s="208" t="n"/>
      <c r="I5" s="209" t="n"/>
      <c r="J5" s="209" t="n"/>
      <c r="P5" s="99" t="n"/>
      <c r="Q5" s="99" t="n"/>
      <c r="R5" s="99" t="n"/>
      <c r="S5" s="99" t="n"/>
      <c r="T5" s="99" t="n"/>
    </row>
    <row r="6" ht="14.1" customFormat="1" customHeight="1" s="119">
      <c r="E6" s="723" t="inlineStr">
        <is>
          <t>Month</t>
        </is>
      </c>
      <c r="F6" s="865" t="n"/>
      <c r="G6" s="865" t="n"/>
      <c r="H6" s="865" t="n"/>
      <c r="I6" s="865" t="n"/>
      <c r="J6" s="865" t="n"/>
      <c r="K6" s="865" t="n"/>
      <c r="L6" s="865" t="n"/>
      <c r="M6" s="865" t="n"/>
      <c r="N6" s="865" t="n"/>
      <c r="O6" s="865" t="n"/>
      <c r="P6" s="724" t="inlineStr">
        <is>
          <t>Cumulative</t>
        </is>
      </c>
      <c r="Q6" s="865" t="n"/>
      <c r="R6" s="865" t="n"/>
      <c r="S6" s="865" t="n"/>
      <c r="T6" s="865" t="n"/>
      <c r="U6" s="865" t="n"/>
      <c r="V6" s="865" t="n"/>
      <c r="W6" s="865" t="n"/>
      <c r="X6" s="865" t="n"/>
      <c r="Y6" s="865" t="n"/>
      <c r="Z6" s="865" t="n"/>
    </row>
    <row r="7" ht="15" customFormat="1" customHeight="1" s="120">
      <c r="A7" s="727" t="inlineStr">
        <is>
          <t>Code</t>
        </is>
      </c>
      <c r="B7" s="727" t="inlineStr">
        <is>
          <t>Profit &amp; Loss Statement Line</t>
        </is>
      </c>
      <c r="C7" s="727" t="n"/>
      <c r="D7" s="727" t="inlineStr">
        <is>
          <t>+/-</t>
        </is>
      </c>
      <c r="E7" s="715" t="inlineStr">
        <is>
          <t>Same period of the previous year actual</t>
        </is>
      </c>
      <c r="F7" s="715" t="inlineStr">
        <is>
          <t>Current period actual</t>
        </is>
      </c>
      <c r="G7" s="715" t="inlineStr">
        <is>
          <t>Current period plan</t>
        </is>
      </c>
      <c r="H7" s="715" t="inlineStr">
        <is>
          <t>Deviations actual to plan of current period</t>
        </is>
      </c>
      <c r="I7" s="861" t="n"/>
      <c r="J7" s="861" t="n"/>
      <c r="K7" s="862" t="n"/>
      <c r="L7" s="715" t="inlineStr">
        <is>
          <t>Deviations of current from previous period</t>
        </is>
      </c>
      <c r="M7" s="861" t="n"/>
      <c r="N7" s="861" t="n"/>
      <c r="O7" s="862" t="n"/>
      <c r="P7" s="722" t="inlineStr">
        <is>
          <t>Same period of the previous year actual</t>
        </is>
      </c>
      <c r="Q7" s="722" t="inlineStr">
        <is>
          <t>Current period actual</t>
        </is>
      </c>
      <c r="R7" s="722" t="inlineStr">
        <is>
          <t>Current period plan</t>
        </is>
      </c>
      <c r="S7" s="722" t="inlineStr">
        <is>
          <t>Deviations actual to plan of current period</t>
        </is>
      </c>
      <c r="T7" s="861" t="n"/>
      <c r="U7" s="861" t="n"/>
      <c r="V7" s="862" t="n"/>
      <c r="W7" s="722" t="inlineStr">
        <is>
          <t>Deviations of current from previous period</t>
        </is>
      </c>
      <c r="X7" s="861" t="n"/>
      <c r="Y7" s="861" t="n"/>
      <c r="Z7" s="862" t="n"/>
    </row>
    <row r="8" ht="106.5" customFormat="1" customHeight="1" s="123">
      <c r="A8" s="864" t="n"/>
      <c r="B8" s="864" t="n"/>
      <c r="C8" s="864" t="n"/>
      <c r="D8" s="864" t="n"/>
      <c r="E8" s="864" t="n"/>
      <c r="F8" s="864" t="n"/>
      <c r="G8" s="864" t="n"/>
      <c r="H8" s="754" t="inlineStr">
        <is>
          <t>Deviation from current period plan in absolute</t>
        </is>
      </c>
      <c r="I8" s="41" t="n"/>
      <c r="J8" s="716" t="inlineStr">
        <is>
          <t>Comment to deviation from current period plan</t>
        </is>
      </c>
      <c r="K8" s="862" t="n"/>
      <c r="L8" s="754" t="inlineStr">
        <is>
          <t>Deviation from same period of the previous year actual in absolute</t>
        </is>
      </c>
      <c r="M8" s="41" t="inlineStr">
        <is>
          <t>Deviation from same period of the previous year actual %</t>
        </is>
      </c>
      <c r="N8" s="716" t="inlineStr">
        <is>
          <t>Comment to deviation from same period of the previous year actual</t>
        </is>
      </c>
      <c r="O8" s="862" t="n"/>
      <c r="P8" s="864" t="n"/>
      <c r="Q8" s="864" t="n"/>
      <c r="R8" s="864" t="n"/>
      <c r="S8" s="121" t="inlineStr">
        <is>
          <t>Deviation from current period plan in absolute</t>
        </is>
      </c>
      <c r="T8" s="121" t="n"/>
      <c r="U8" s="717" t="inlineStr">
        <is>
          <t>Comment to deviation from current period plan</t>
        </is>
      </c>
      <c r="V8" s="862" t="n"/>
      <c r="W8" s="122" t="inlineStr">
        <is>
          <t>Deviation from same period of the previous year actual in absolute</t>
        </is>
      </c>
      <c r="X8" s="122" t="inlineStr">
        <is>
          <t>Deviation from same period of the previous year actual %</t>
        </is>
      </c>
      <c r="Y8" s="717" t="inlineStr">
        <is>
          <t>Comment to deviation from same period of the previous year actual</t>
        </is>
      </c>
      <c r="Z8" s="862" t="n"/>
    </row>
    <row r="9" ht="15" customFormat="1" customHeight="1" s="120">
      <c r="A9" s="124" t="n"/>
      <c r="B9" s="125" t="n"/>
      <c r="C9" s="126" t="n"/>
      <c r="D9" s="126" t="n"/>
      <c r="E9" s="718" t="inlineStr">
        <is>
          <t>Reporting period (month)</t>
        </is>
      </c>
      <c r="F9" s="861" t="n"/>
      <c r="G9" s="861" t="n"/>
      <c r="H9" s="861" t="n"/>
      <c r="I9" s="861" t="n"/>
      <c r="J9" s="861" t="n"/>
      <c r="K9" s="861" t="n"/>
      <c r="L9" s="861" t="n"/>
      <c r="M9" s="861" t="n"/>
      <c r="N9" s="861" t="n"/>
      <c r="O9" s="862" t="n"/>
      <c r="P9" s="722" t="inlineStr">
        <is>
          <t>Cumulative from the beginning of the year</t>
        </is>
      </c>
      <c r="Q9" s="861" t="n"/>
      <c r="R9" s="861" t="n"/>
      <c r="S9" s="861" t="n"/>
      <c r="T9" s="861" t="n"/>
      <c r="U9" s="861" t="n"/>
      <c r="V9" s="861" t="n"/>
      <c r="W9" s="861" t="n"/>
      <c r="X9" s="861" t="n"/>
      <c r="Y9" s="861" t="n"/>
      <c r="Z9" s="862" t="n"/>
    </row>
    <row r="10" ht="12.75" customFormat="1" customHeight="1" s="128">
      <c r="A10" s="124" t="n">
        <v>1</v>
      </c>
      <c r="B10" s="125">
        <f>A10+1</f>
        <v/>
      </c>
      <c r="C10" s="126">
        <f>B10+1</f>
        <v/>
      </c>
      <c r="D10" s="126">
        <f>C10+1</f>
        <v/>
      </c>
      <c r="E10" s="127">
        <f>D10+1</f>
        <v/>
      </c>
      <c r="F10" s="127">
        <f>E10+1</f>
        <v/>
      </c>
      <c r="G10" s="127">
        <f>F10+1</f>
        <v/>
      </c>
      <c r="H10" s="127">
        <f>G10+1</f>
        <v/>
      </c>
      <c r="I10" s="127">
        <f>H10+1</f>
        <v/>
      </c>
      <c r="J10" s="127">
        <f>I10+1</f>
        <v/>
      </c>
      <c r="K10" s="127">
        <f>J10+1</f>
        <v/>
      </c>
      <c r="L10" s="127">
        <f>K10+1</f>
        <v/>
      </c>
      <c r="M10" s="127">
        <f>L10+1</f>
        <v/>
      </c>
      <c r="N10" s="127">
        <f>M10+1</f>
        <v/>
      </c>
      <c r="O10" s="127">
        <f>N10+1</f>
        <v/>
      </c>
      <c r="P10" s="127">
        <f>O10+1</f>
        <v/>
      </c>
      <c r="Q10" s="127">
        <f>P10+1</f>
        <v/>
      </c>
      <c r="R10" s="127">
        <f>Q10+1</f>
        <v/>
      </c>
      <c r="S10" s="127">
        <f>R10+1</f>
        <v/>
      </c>
      <c r="T10" s="127">
        <f>S10+1</f>
        <v/>
      </c>
      <c r="U10" s="127">
        <f>T10+1</f>
        <v/>
      </c>
      <c r="V10" s="127">
        <f>U10+1</f>
        <v/>
      </c>
      <c r="W10" s="127">
        <f>V10+1</f>
        <v/>
      </c>
      <c r="X10" s="127">
        <f>W10+1</f>
        <v/>
      </c>
      <c r="Y10" s="127">
        <f>X10+1</f>
        <v/>
      </c>
      <c r="Z10" s="127">
        <f>Y10+1</f>
        <v/>
      </c>
    </row>
    <row r="11" ht="12.75" customHeight="1">
      <c r="A11" s="129" t="inlineStr">
        <is>
          <t>01</t>
        </is>
      </c>
      <c r="B11" s="129" t="inlineStr">
        <is>
          <t>Revenue (net of tax)</t>
        </is>
      </c>
      <c r="C11" s="129" t="n"/>
      <c r="D11" s="130" t="inlineStr">
        <is>
          <t>+</t>
        </is>
      </c>
      <c r="E11" s="131">
        <f>SUM(E12,E20)</f>
        <v/>
      </c>
      <c r="F11" s="131" t="n">
        <v>-6433.73</v>
      </c>
      <c r="G11" s="131">
        <f>SUM(G12,G20)</f>
        <v/>
      </c>
      <c r="H11" s="132">
        <f>IFERROR(F11-G11,"N/A")</f>
        <v/>
      </c>
      <c r="I11" s="133">
        <f>IFERROR(('[1]P&amp;L'!$F11-'[1]P&amp;L'!$G11)/ABS('[1]P&amp;L'!$G11),"N/A")</f>
        <v/>
      </c>
      <c r="J11" s="134" t="n"/>
      <c r="K11" s="134" t="n"/>
      <c r="L11" s="135">
        <f>IFERROR(F11-E11,"N/A")</f>
        <v/>
      </c>
      <c r="M11" s="133">
        <f>IFERROR(('[1]P&amp;L'!$F11-'[1]P&amp;L'!$E11)/ABS('[1]P&amp;L'!$E11),"N/A")</f>
        <v/>
      </c>
      <c r="N11" s="134" t="n"/>
      <c r="O11" s="134" t="n"/>
      <c r="P11" s="131">
        <f>SUM(P12,P20)</f>
        <v/>
      </c>
      <c r="Q11" s="131" t="n">
        <v>-6433.73</v>
      </c>
      <c r="R11" s="131">
        <f>SUM(R12,R20)</f>
        <v/>
      </c>
      <c r="S11" s="134">
        <f>IFERROR(Q11-R11,"N/A")</f>
        <v/>
      </c>
      <c r="T11" s="133">
        <f>IFERROR(('[1]P&amp;L'!$Q11-'[1]P&amp;L'!$R11)/ABS('[1]P&amp;L'!$R11),"N/A")</f>
        <v/>
      </c>
      <c r="U11" s="134" t="n"/>
      <c r="V11" s="134" t="n"/>
      <c r="W11" s="135">
        <f>IFERROR(Q11-P11,"N/A")</f>
        <v/>
      </c>
      <c r="X11" s="133">
        <f>IFERROR(('[1]P&amp;L'!$Q11-'[1]P&amp;L'!$P11)/ABS('[1]P&amp;L'!$P11),"N/A")</f>
        <v/>
      </c>
      <c r="Y11" s="134" t="n"/>
      <c r="Z11" s="134" t="n"/>
    </row>
    <row r="12" ht="12.75" customHeight="1">
      <c r="A12" s="136" t="inlineStr">
        <is>
          <t>01.A</t>
        </is>
      </c>
      <c r="B12" s="136" t="inlineStr">
        <is>
          <t>Revenue from the sale of products  (net of VAT, export taxes, road tax, excises)</t>
        </is>
      </c>
      <c r="C12" s="136" t="n"/>
      <c r="D12" s="137" t="inlineStr">
        <is>
          <t>+</t>
        </is>
      </c>
      <c r="E12" s="138">
        <f>SUM(E13:E19)</f>
        <v/>
      </c>
      <c r="F12" s="138" t="n">
        <v>-6433.73</v>
      </c>
      <c r="G12" s="138">
        <f>SUM(G13:G19)</f>
        <v/>
      </c>
      <c r="H12" s="139">
        <f>IFERROR(F12-G12,"N/A")</f>
        <v/>
      </c>
      <c r="I12" s="140">
        <f>IFERROR(('[1]P&amp;L'!$F12-'[1]P&amp;L'!$G12)/ABS('[1]P&amp;L'!$G12),"N/A")</f>
        <v/>
      </c>
      <c r="J12" s="141" t="n"/>
      <c r="K12" s="141" t="n"/>
      <c r="L12" s="142">
        <f>IFERROR(F12-E12,"N/A")</f>
        <v/>
      </c>
      <c r="M12" s="140">
        <f>IFERROR(('[1]P&amp;L'!$F12-'[1]P&amp;L'!$E12)/ABS('[1]P&amp;L'!$E12),"N/A")</f>
        <v/>
      </c>
      <c r="N12" s="141" t="n"/>
      <c r="O12" s="141" t="n"/>
      <c r="P12" s="141">
        <f>SUM(P13:P19)</f>
        <v/>
      </c>
      <c r="Q12" s="141" t="n">
        <v>-6433.73</v>
      </c>
      <c r="R12" s="141">
        <f>SUM(R13:R19)</f>
        <v/>
      </c>
      <c r="S12" s="141">
        <f>IFERROR(Q12-R12,"N/A")</f>
        <v/>
      </c>
      <c r="T12" s="140">
        <f>IFERROR(('[1]P&amp;L'!$Q12-'[1]P&amp;L'!$R12)/ABS('[1]P&amp;L'!$R12),"N/A")</f>
        <v/>
      </c>
      <c r="U12" s="141" t="n"/>
      <c r="V12" s="143" t="n"/>
      <c r="W12" s="142">
        <f>IFERROR(Q12-P12,"N/A")</f>
        <v/>
      </c>
      <c r="X12" s="140">
        <f>IFERROR(('[1]P&amp;L'!$Q12-'[1]P&amp;L'!$P12)/ABS('[1]P&amp;L'!$P12),"N/A")</f>
        <v/>
      </c>
      <c r="Y12" s="141" t="n"/>
      <c r="Z12" s="143" t="n"/>
    </row>
    <row r="13" ht="12.75" customHeight="1">
      <c r="A13" s="146" t="inlineStr">
        <is>
          <t>01.A.01</t>
        </is>
      </c>
      <c r="B13" s="146" t="inlineStr">
        <is>
          <t>Crude liquids</t>
        </is>
      </c>
      <c r="C13" s="146" t="inlineStr">
        <is>
          <t>Xam neft (kondensat)</t>
        </is>
      </c>
      <c r="D13" s="147" t="inlineStr">
        <is>
          <t>+</t>
        </is>
      </c>
      <c r="E13" s="138">
        <f>'[1]Products revenue&amp;COGS_WSales_Tr'!G17</f>
        <v/>
      </c>
      <c r="F13" s="138">
        <f>'[1]Products revenue&amp;COGS_WSales_Tr'!H17</f>
        <v/>
      </c>
      <c r="G13" s="138">
        <f>'[1]Products revenue&amp;COGS_WSales_Tr'!I17</f>
        <v/>
      </c>
      <c r="H13" s="139">
        <f>IFERROR(F13-G13,"N/A")</f>
        <v/>
      </c>
      <c r="I13" s="140">
        <f>IFERROR(('[1]P&amp;L'!$F13-'[1]P&amp;L'!$G13)/ABS('[1]P&amp;L'!$G13),"N/A")</f>
        <v/>
      </c>
      <c r="J13" s="141" t="n"/>
      <c r="K13" s="141" t="n"/>
      <c r="L13" s="142">
        <f>IFERROR(F13-E13,"N/A")</f>
        <v/>
      </c>
      <c r="M13" s="140">
        <f>IFERROR(('[1]P&amp;L'!$F13-'[1]P&amp;L'!$E13)/ABS('[1]P&amp;L'!$E13),"N/A")</f>
        <v/>
      </c>
      <c r="N13" s="141" t="n"/>
      <c r="O13" s="141" t="n"/>
      <c r="P13" s="141">
        <f>'[1]Products revenue&amp;COGS_WSales_Tr'!N17</f>
        <v/>
      </c>
      <c r="Q13" s="141">
        <f>'[1]Products revenue&amp;COGS_WSales_Tr'!O17</f>
        <v/>
      </c>
      <c r="R13" s="141">
        <f>'[1]Products revenue&amp;COGS_WSales_Tr'!P17</f>
        <v/>
      </c>
      <c r="S13" s="141">
        <f>IFERROR(Q13-R13,"N/A")</f>
        <v/>
      </c>
      <c r="T13" s="140">
        <f>IFERROR(('[1]P&amp;L'!$Q13-'[1]P&amp;L'!$R13)/ABS('[1]P&amp;L'!$R13),"N/A")</f>
        <v/>
      </c>
      <c r="U13" s="141" t="n"/>
      <c r="V13" s="143" t="n"/>
      <c r="W13" s="142">
        <f>IFERROR(Q13-P13,"N/A")</f>
        <v/>
      </c>
      <c r="X13" s="140">
        <f>IFERROR(('[1]P&amp;L'!$Q13-'[1]P&amp;L'!$P13)/ABS('[1]P&amp;L'!$P13),"N/A")</f>
        <v/>
      </c>
      <c r="Y13" s="141" t="n"/>
      <c r="Z13" s="143" t="n"/>
    </row>
    <row r="14" ht="12.75" customHeight="1">
      <c r="A14" s="146" t="inlineStr">
        <is>
          <t>01.A.02</t>
        </is>
      </c>
      <c r="B14" s="146" t="inlineStr">
        <is>
          <t>Oil products</t>
        </is>
      </c>
      <c r="C14" s="146" t="n"/>
      <c r="D14" s="147" t="inlineStr">
        <is>
          <t>+</t>
        </is>
      </c>
      <c r="E14" s="138">
        <f>SUM('[1]Products revenue&amp;COGS_WSales_Tr'!G40,'[1]Products revenue&amp;COGS_Retail'!G18)</f>
        <v/>
      </c>
      <c r="F14" s="138" t="n">
        <v>7786.17</v>
      </c>
      <c r="G14" s="138">
        <f>SUM('[1]Products revenue&amp;COGS_WSales_Tr'!I40,'[1]Products revenue&amp;COGS_Retail'!I18)</f>
        <v/>
      </c>
      <c r="H14" s="139">
        <f>IFERROR(F14-G14,"N/A")</f>
        <v/>
      </c>
      <c r="I14" s="140">
        <f>IFERROR(('[1]P&amp;L'!$F14-'[1]P&amp;L'!$G14)/ABS('[1]P&amp;L'!$G14),"N/A")</f>
        <v/>
      </c>
      <c r="J14" s="141" t="n"/>
      <c r="K14" s="141" t="n"/>
      <c r="L14" s="142">
        <f>IFERROR(F14-E14,"N/A")</f>
        <v/>
      </c>
      <c r="M14" s="140">
        <f>IFERROR(('[1]P&amp;L'!$F14-'[1]P&amp;L'!$E14)/ABS('[1]P&amp;L'!$E14),"N/A")</f>
        <v/>
      </c>
      <c r="N14" s="141" t="n"/>
      <c r="O14" s="141" t="n"/>
      <c r="P14" s="141">
        <f>SUM('[1]Products revenue&amp;COGS_WSales_Tr'!N40,'[1]Products revenue&amp;COGS_Retail'!N18)</f>
        <v/>
      </c>
      <c r="Q14" s="141" t="n">
        <v>7786.17</v>
      </c>
      <c r="R14" s="141">
        <f>SUM('[1]Products revenue&amp;COGS_WSales_Tr'!P40,'[1]Products revenue&amp;COGS_Retail'!P18)</f>
        <v/>
      </c>
      <c r="S14" s="141">
        <f>IFERROR(Q14-R14,"N/A")</f>
        <v/>
      </c>
      <c r="T14" s="140">
        <f>IFERROR(('[1]P&amp;L'!$Q14-'[1]P&amp;L'!$R14)/ABS('[1]P&amp;L'!$R14),"N/A")</f>
        <v/>
      </c>
      <c r="U14" s="141" t="n"/>
      <c r="V14" s="143" t="n"/>
      <c r="W14" s="142">
        <f>IFERROR(Q14-P14,"N/A")</f>
        <v/>
      </c>
      <c r="X14" s="140">
        <f>IFERROR(('[1]P&amp;L'!$Q14-'[1]P&amp;L'!$P14)/ABS('[1]P&amp;L'!$P14),"N/A")</f>
        <v/>
      </c>
      <c r="Y14" s="141" t="n"/>
      <c r="Z14" s="143" t="n"/>
    </row>
    <row r="15" ht="12.75" customHeight="1">
      <c r="A15" s="146" t="inlineStr">
        <is>
          <t>01.A.03</t>
        </is>
      </c>
      <c r="B15" s="146" t="inlineStr">
        <is>
          <t>Petrochemicals</t>
        </is>
      </c>
      <c r="C15" s="146" t="n"/>
      <c r="D15" s="147" t="inlineStr">
        <is>
          <t>+</t>
        </is>
      </c>
      <c r="E15" s="138">
        <f>'[1]Products revenue&amp;COGS_WSales_Tr'!G143</f>
        <v/>
      </c>
      <c r="F15" s="138">
        <f>'[1]Products revenue&amp;COGS_WSales_Tr'!H143</f>
        <v/>
      </c>
      <c r="G15" s="138">
        <f>'[1]Products revenue&amp;COGS_WSales_Tr'!I143</f>
        <v/>
      </c>
      <c r="H15" s="139">
        <f>IFERROR(F15-G15,"N/A")</f>
        <v/>
      </c>
      <c r="I15" s="140">
        <f>IFERROR(('[1]P&amp;L'!$F15-'[1]P&amp;L'!$G15)/ABS('[1]P&amp;L'!$G15),"N/A")</f>
        <v/>
      </c>
      <c r="J15" s="141" t="n"/>
      <c r="K15" s="141" t="n"/>
      <c r="L15" s="142">
        <f>IFERROR(F15-E15,"N/A")</f>
        <v/>
      </c>
      <c r="M15" s="140">
        <f>IFERROR(('[1]P&amp;L'!$F15-'[1]P&amp;L'!$E15)/ABS('[1]P&amp;L'!$E15),"N/A")</f>
        <v/>
      </c>
      <c r="N15" s="141" t="n"/>
      <c r="O15" s="141" t="n"/>
      <c r="P15" s="141">
        <f>'[1]Products revenue&amp;COGS_WSales_Tr'!N143</f>
        <v/>
      </c>
      <c r="Q15" s="141">
        <f>'[1]Products revenue&amp;COGS_WSales_Tr'!O143</f>
        <v/>
      </c>
      <c r="R15" s="141">
        <f>'[1]Products revenue&amp;COGS_WSales_Tr'!P143</f>
        <v/>
      </c>
      <c r="S15" s="141">
        <f>IFERROR(Q15-R15,"N/A")</f>
        <v/>
      </c>
      <c r="T15" s="140">
        <f>IFERROR(('[1]P&amp;L'!$Q15-'[1]P&amp;L'!$R15)/ABS('[1]P&amp;L'!$R15),"N/A")</f>
        <v/>
      </c>
      <c r="U15" s="141" t="n"/>
      <c r="V15" s="143" t="n"/>
      <c r="W15" s="142">
        <f>IFERROR(Q15-P15,"N/A")</f>
        <v/>
      </c>
      <c r="X15" s="140">
        <f>IFERROR(('[1]P&amp;L'!$Q15-'[1]P&amp;L'!$P15)/ABS('[1]P&amp;L'!$P15),"N/A")</f>
        <v/>
      </c>
      <c r="Y15" s="141" t="n"/>
      <c r="Z15" s="143" t="n"/>
    </row>
    <row r="16" ht="12.75" customHeight="1">
      <c r="A16" s="146" t="inlineStr">
        <is>
          <t>01.A.04</t>
        </is>
      </c>
      <c r="B16" s="146" t="inlineStr">
        <is>
          <t>Natural Gas</t>
        </is>
      </c>
      <c r="C16" s="146" t="inlineStr">
        <is>
          <t>Təbii qaz</t>
        </is>
      </c>
      <c r="D16" s="147" t="inlineStr">
        <is>
          <t>+</t>
        </is>
      </c>
      <c r="E16" s="138">
        <f>SUM('[1]Products revenue&amp;COGS_WSales_Tr'!G289,'[1]Products revenue&amp;COGS_Gas Distr'!G17)</f>
        <v/>
      </c>
      <c r="F16" s="138">
        <f>SUM('[1]Products revenue&amp;COGS_WSales_Tr'!H289,'[1]Products revenue&amp;COGS_Gas Distr'!H17)</f>
        <v/>
      </c>
      <c r="G16" s="138">
        <f>SUM('[1]Products revenue&amp;COGS_WSales_Tr'!I289,'[1]Products revenue&amp;COGS_Gas Distr'!I17)</f>
        <v/>
      </c>
      <c r="H16" s="139">
        <f>IFERROR(F16-G16,"N/A")</f>
        <v/>
      </c>
      <c r="I16" s="140">
        <f>IFERROR(('[1]P&amp;L'!$F16-'[1]P&amp;L'!$G16)/ABS('[1]P&amp;L'!$G16),"N/A")</f>
        <v/>
      </c>
      <c r="J16" s="141" t="n"/>
      <c r="K16" s="141" t="n"/>
      <c r="L16" s="142">
        <f>IFERROR(F16-E16,"N/A")</f>
        <v/>
      </c>
      <c r="M16" s="140">
        <f>IFERROR(('[1]P&amp;L'!$F16-'[1]P&amp;L'!$E16)/ABS('[1]P&amp;L'!$E16),"N/A")</f>
        <v/>
      </c>
      <c r="N16" s="141" t="n"/>
      <c r="O16" s="141" t="n"/>
      <c r="P16" s="141">
        <f>SUM('[1]Products revenue&amp;COGS_WSales_Tr'!N289,'[1]Products revenue&amp;COGS_Gas Distr'!N17)</f>
        <v/>
      </c>
      <c r="Q16" s="141">
        <f>SUM('[1]Products revenue&amp;COGS_WSales_Tr'!O289,'[1]Products revenue&amp;COGS_Gas Distr'!O17)</f>
        <v/>
      </c>
      <c r="R16" s="141">
        <f>SUM('[1]Products revenue&amp;COGS_WSales_Tr'!P289,'[1]Products revenue&amp;COGS_Gas Distr'!P17)</f>
        <v/>
      </c>
      <c r="S16" s="141">
        <f>IFERROR(Q16-R16,"N/A")</f>
        <v/>
      </c>
      <c r="T16" s="140">
        <f>IFERROR(('[1]P&amp;L'!$Q16-'[1]P&amp;L'!$R16)/ABS('[1]P&amp;L'!$R16),"N/A")</f>
        <v/>
      </c>
      <c r="U16" s="141" t="n"/>
      <c r="V16" s="143" t="n"/>
      <c r="W16" s="142">
        <f>IFERROR(Q16-P16,"N/A")</f>
        <v/>
      </c>
      <c r="X16" s="140">
        <f>IFERROR(('[1]P&amp;L'!$Q16-'[1]P&amp;L'!$P16)/ABS('[1]P&amp;L'!$P16),"N/A")</f>
        <v/>
      </c>
      <c r="Y16" s="141" t="n"/>
      <c r="Z16" s="143" t="n"/>
    </row>
    <row r="17" ht="12.75" customHeight="1">
      <c r="A17" s="146" t="inlineStr">
        <is>
          <t>01.A.05</t>
        </is>
      </c>
      <c r="B17" s="146" t="inlineStr">
        <is>
          <t>Gas products</t>
        </is>
      </c>
      <c r="C17" s="146" t="n"/>
      <c r="D17" s="147" t="inlineStr">
        <is>
          <t>+</t>
        </is>
      </c>
      <c r="E17" s="138">
        <f>'[1]Products revenue&amp;COGS_WSales_Tr'!G236</f>
        <v/>
      </c>
      <c r="F17" s="138">
        <f>'[1]Products revenue&amp;COGS_WSales_Tr'!H236</f>
        <v/>
      </c>
      <c r="G17" s="138">
        <f>'[1]Products revenue&amp;COGS_WSales_Tr'!I236</f>
        <v/>
      </c>
      <c r="H17" s="139">
        <f>IFERROR(F17-G17,"N/A")</f>
        <v/>
      </c>
      <c r="I17" s="140">
        <f>IFERROR(('[1]P&amp;L'!$F17-'[1]P&amp;L'!$G17)/ABS('[1]P&amp;L'!$G17),"N/A")</f>
        <v/>
      </c>
      <c r="J17" s="141" t="n"/>
      <c r="K17" s="141" t="n"/>
      <c r="L17" s="142">
        <f>IFERROR(F17-E17,"N/A")</f>
        <v/>
      </c>
      <c r="M17" s="140">
        <f>IFERROR(('[1]P&amp;L'!$F17-'[1]P&amp;L'!$E17)/ABS('[1]P&amp;L'!$E17),"N/A")</f>
        <v/>
      </c>
      <c r="N17" s="141" t="n"/>
      <c r="O17" s="141" t="n"/>
      <c r="P17" s="138">
        <f>'[1]Products revenue&amp;COGS_WSales_Tr'!N236</f>
        <v/>
      </c>
      <c r="Q17" s="138">
        <f>'[1]Products revenue&amp;COGS_WSales_Tr'!O236</f>
        <v/>
      </c>
      <c r="R17" s="138">
        <f>'[1]Products revenue&amp;COGS_WSales_Tr'!P236</f>
        <v/>
      </c>
      <c r="S17" s="141">
        <f>IFERROR(Q17-R17,"N/A")</f>
        <v/>
      </c>
      <c r="T17" s="140">
        <f>IFERROR(('[1]P&amp;L'!$Q17-'[1]P&amp;L'!$R17)/ABS('[1]P&amp;L'!$R17),"N/A")</f>
        <v/>
      </c>
      <c r="U17" s="141" t="n"/>
      <c r="V17" s="143" t="n"/>
      <c r="W17" s="142">
        <f>IFERROR(Q17-P17,"N/A")</f>
        <v/>
      </c>
      <c r="X17" s="140">
        <f>IFERROR(('[1]P&amp;L'!$Q17-'[1]P&amp;L'!$P17)/ABS('[1]P&amp;L'!$P17),"N/A")</f>
        <v/>
      </c>
      <c r="Y17" s="141" t="n"/>
      <c r="Z17" s="143" t="n"/>
    </row>
    <row r="18" ht="12.75" customHeight="1">
      <c r="A18" s="146" t="inlineStr">
        <is>
          <t>01.A.06</t>
        </is>
      </c>
      <c r="B18" s="146" t="inlineStr">
        <is>
          <t>Gases (for retail)</t>
        </is>
      </c>
      <c r="C18" s="146" t="n"/>
      <c r="D18" s="148" t="inlineStr">
        <is>
          <t>+</t>
        </is>
      </c>
      <c r="E18" s="138">
        <f>'[1]Products revenue&amp;COGS_Retail'!G51</f>
        <v/>
      </c>
      <c r="F18" s="138">
        <f>'[1]Products revenue&amp;COGS_Retail'!H51</f>
        <v/>
      </c>
      <c r="G18" s="138">
        <f>'[1]Products revenue&amp;COGS_Retail'!I51</f>
        <v/>
      </c>
      <c r="H18" s="139">
        <f>IFERROR(F18-G18,"N/A")</f>
        <v/>
      </c>
      <c r="I18" s="140">
        <f>IFERROR(('[1]P&amp;L'!$F18-'[1]P&amp;L'!$G18)/ABS('[1]P&amp;L'!$G18),"N/A")</f>
        <v/>
      </c>
      <c r="J18" s="141" t="n"/>
      <c r="K18" s="141" t="n"/>
      <c r="L18" s="142">
        <f>IFERROR(F18-E18,"N/A")</f>
        <v/>
      </c>
      <c r="M18" s="140">
        <f>IFERROR(('[1]P&amp;L'!$F18-'[1]P&amp;L'!$E18)/ABS('[1]P&amp;L'!$E18),"N/A")</f>
        <v/>
      </c>
      <c r="N18" s="141" t="n"/>
      <c r="O18" s="141" t="n"/>
      <c r="P18" s="138">
        <f>'[1]Products revenue&amp;COGS_Retail'!N51</f>
        <v/>
      </c>
      <c r="Q18" s="138">
        <f>'[1]Products revenue&amp;COGS_Retail'!O51</f>
        <v/>
      </c>
      <c r="R18" s="138">
        <f>'[1]Products revenue&amp;COGS_Retail'!P51</f>
        <v/>
      </c>
      <c r="S18" s="141">
        <f>IFERROR(Q18-R18,"N/A")</f>
        <v/>
      </c>
      <c r="T18" s="140">
        <f>IFERROR(('[1]P&amp;L'!$Q18-'[1]P&amp;L'!$R18)/ABS('[1]P&amp;L'!$R18),"N/A")</f>
        <v/>
      </c>
      <c r="U18" s="141" t="n"/>
      <c r="V18" s="143" t="n"/>
      <c r="W18" s="142">
        <f>IFERROR(Q18-P18,"N/A")</f>
        <v/>
      </c>
      <c r="X18" s="140">
        <f>IFERROR(('[1]P&amp;L'!$Q18-'[1]P&amp;L'!$P18)/ABS('[1]P&amp;L'!$P18),"N/A")</f>
        <v/>
      </c>
      <c r="Y18" s="141" t="n"/>
      <c r="Z18" s="143" t="n"/>
    </row>
    <row r="19" ht="12.75" customFormat="1" customHeight="1" s="149">
      <c r="A19" s="146" t="inlineStr">
        <is>
          <t>01.A.07</t>
        </is>
      </c>
      <c r="B19" s="146" t="inlineStr">
        <is>
          <t>Other type of products</t>
        </is>
      </c>
      <c r="C19" s="146" t="n"/>
      <c r="D19" s="147" t="inlineStr">
        <is>
          <t>+</t>
        </is>
      </c>
      <c r="E19" s="138">
        <f>SUM('[1]Products revenue&amp;COGS_WSales_Tr'!G302,'[1]Products revenue&amp;COGS_Retail'!G84)</f>
        <v/>
      </c>
      <c r="F19" s="138" t="n">
        <v>288.54</v>
      </c>
      <c r="G19" s="138">
        <f>SUM('[1]Products revenue&amp;COGS_WSales_Tr'!I302,'[1]Products revenue&amp;COGS_Retail'!I84)</f>
        <v/>
      </c>
      <c r="H19" s="139">
        <f>IFERROR(F19-G19,"N/A")</f>
        <v/>
      </c>
      <c r="I19" s="140">
        <f>IFERROR(('[1]P&amp;L'!$F19-'[1]P&amp;L'!$G19)/ABS('[1]P&amp;L'!$G19),"N/A")</f>
        <v/>
      </c>
      <c r="J19" s="141" t="n"/>
      <c r="K19" s="141" t="n"/>
      <c r="L19" s="142">
        <f>IFERROR(F19-E19,"N/A")</f>
        <v/>
      </c>
      <c r="M19" s="140">
        <f>IFERROR(('[1]P&amp;L'!$F19-'[1]P&amp;L'!$E19)/ABS('[1]P&amp;L'!$E19),"N/A")</f>
        <v/>
      </c>
      <c r="N19" s="141" t="n"/>
      <c r="O19" s="141" t="n"/>
      <c r="P19" s="138">
        <f>SUM('[1]Products revenue&amp;COGS_WSales_Tr'!N302,'[1]Products revenue&amp;COGS_Retail'!N84)</f>
        <v/>
      </c>
      <c r="Q19" s="138" t="n">
        <v>288.54</v>
      </c>
      <c r="R19" s="138">
        <f>SUM('[1]Products revenue&amp;COGS_WSales_Tr'!P302,'[1]Products revenue&amp;COGS_Retail'!P84)</f>
        <v/>
      </c>
      <c r="S19" s="141">
        <f>IFERROR(Q19-R19,"N/A")</f>
        <v/>
      </c>
      <c r="T19" s="140">
        <f>IFERROR(('[1]P&amp;L'!$Q19-'[1]P&amp;L'!$R19)/ABS('[1]P&amp;L'!$R19),"N/A")</f>
        <v/>
      </c>
      <c r="U19" s="141" t="n"/>
      <c r="V19" s="143" t="n"/>
      <c r="W19" s="142">
        <f>IFERROR(Q19-P19,"N/A")</f>
        <v/>
      </c>
      <c r="X19" s="140">
        <f>IFERROR(('[1]P&amp;L'!$Q19-'[1]P&amp;L'!$P19)/ABS('[1]P&amp;L'!$P19),"N/A")</f>
        <v/>
      </c>
      <c r="Y19" s="141" t="n"/>
      <c r="Z19" s="143" t="n"/>
    </row>
    <row r="20" ht="14.1" customHeight="1">
      <c r="A20" s="136" t="inlineStr">
        <is>
          <t>01.B</t>
        </is>
      </c>
      <c r="B20" s="136" t="inlineStr">
        <is>
          <t xml:space="preserve">Revenue from the sale of services </t>
        </is>
      </c>
      <c r="C20" s="136" t="n"/>
      <c r="D20" s="137" t="inlineStr">
        <is>
          <t>+</t>
        </is>
      </c>
      <c r="E20" s="138">
        <f>'[1]Service revenue&amp;COGS'!G15</f>
        <v/>
      </c>
      <c r="F20" s="138">
        <f>'[1]Service revenue&amp;COGS'!H15</f>
        <v/>
      </c>
      <c r="G20" s="138">
        <f>'[1]Service revenue&amp;COGS'!I15</f>
        <v/>
      </c>
      <c r="H20" s="139">
        <f>IFERROR(F20-G20,"N/A")</f>
        <v/>
      </c>
      <c r="I20" s="140">
        <f>IFERROR(('[1]P&amp;L'!$F20-'[1]P&amp;L'!$G20)/ABS('[1]P&amp;L'!$G20),"N/A")</f>
        <v/>
      </c>
      <c r="J20" s="141" t="n"/>
      <c r="K20" s="141" t="n"/>
      <c r="L20" s="142">
        <f>IFERROR(F20-E20,"N/A")</f>
        <v/>
      </c>
      <c r="M20" s="140">
        <f>IFERROR(('[1]P&amp;L'!$F20-'[1]P&amp;L'!$E20)/ABS('[1]P&amp;L'!$E20),"N/A")</f>
        <v/>
      </c>
      <c r="N20" s="141" t="n"/>
      <c r="O20" s="141" t="n"/>
      <c r="P20" s="141">
        <f>'[1]Service revenue&amp;COGS'!N15</f>
        <v/>
      </c>
      <c r="Q20" s="141">
        <f>'[1]Service revenue&amp;COGS'!O15</f>
        <v/>
      </c>
      <c r="R20" s="141">
        <f>'[1]Service revenue&amp;COGS'!P15</f>
        <v/>
      </c>
      <c r="S20" s="141">
        <f>IFERROR(Q20-R20,"N/A")</f>
        <v/>
      </c>
      <c r="T20" s="140">
        <f>IFERROR(('[1]P&amp;L'!$Q20-'[1]P&amp;L'!$R20)/ABS('[1]P&amp;L'!$R20),"N/A")</f>
        <v/>
      </c>
      <c r="U20" s="141" t="n"/>
      <c r="V20" s="143" t="n"/>
      <c r="W20" s="142">
        <f>IFERROR(Q20-P20,"N/A")</f>
        <v/>
      </c>
      <c r="X20" s="140">
        <f>IFERROR(('[1]P&amp;L'!$Q20-'[1]P&amp;L'!$P20)/ABS('[1]P&amp;L'!$P20),"N/A")</f>
        <v/>
      </c>
      <c r="Y20" s="141" t="n"/>
      <c r="Z20" s="143" t="n"/>
    </row>
    <row r="21" ht="12.75" customHeight="1">
      <c r="A21" s="150" t="inlineStr">
        <is>
          <t>02</t>
        </is>
      </c>
      <c r="B21" s="150" t="inlineStr">
        <is>
          <t>Expenses</t>
        </is>
      </c>
      <c r="C21" s="150" t="n"/>
      <c r="D21" s="130" t="inlineStr">
        <is>
          <t>-</t>
        </is>
      </c>
      <c r="E21" s="131">
        <f>SUM(E22,E46,E66,E89,E109,E129,E149,E150)</f>
        <v/>
      </c>
      <c r="F21" s="131" t="n">
        <v>-19677.59</v>
      </c>
      <c r="G21" s="131">
        <f>SUM(G22,G46,G66,G89,G109,G129,G149,G150)</f>
        <v/>
      </c>
      <c r="H21" s="135">
        <f>IFERROR(F21-G21,"N/A")</f>
        <v/>
      </c>
      <c r="I21" s="133">
        <f>IFERROR(('[1]P&amp;L'!$F21-'[1]P&amp;L'!$G21)/ABS('[1]P&amp;L'!$G21),"N/A")</f>
        <v/>
      </c>
      <c r="J21" s="134" t="n"/>
      <c r="K21" s="134" t="n"/>
      <c r="L21" s="135">
        <f>IFERROR(F21-E21,"N/A")</f>
        <v/>
      </c>
      <c r="M21" s="133">
        <f>IFERROR(('[1]P&amp;L'!$F21-'[1]P&amp;L'!$E21)/ABS('[1]P&amp;L'!$E21),"N/A")</f>
        <v/>
      </c>
      <c r="N21" s="134" t="n"/>
      <c r="O21" s="134" t="n"/>
      <c r="P21" s="131">
        <f>SUM(P22,P46,P66,P89,P109,P129,P149,P150)</f>
        <v/>
      </c>
      <c r="Q21" s="131" t="n">
        <v>-19677.59</v>
      </c>
      <c r="R21" s="131">
        <f>SUM(R22,R46,R66,R89,R109,R129,R149,R150)</f>
        <v/>
      </c>
      <c r="S21" s="134">
        <f>IFERROR(Q21-R21,"N/A")</f>
        <v/>
      </c>
      <c r="T21" s="133">
        <f>IFERROR(('[1]P&amp;L'!$Q21-'[1]P&amp;L'!$R21)/ABS('[1]P&amp;L'!$R21),"N/A")</f>
        <v/>
      </c>
      <c r="U21" s="134" t="n"/>
      <c r="V21" s="134" t="n"/>
      <c r="W21" s="135">
        <f>IFERROR(Q21-P21,"N/A")</f>
        <v/>
      </c>
      <c r="X21" s="151">
        <f>IFERROR(('[1]P&amp;L'!$Q21-'[1]P&amp;L'!$P21)/ABS('[1]P&amp;L'!$P21),"N/A")</f>
        <v/>
      </c>
      <c r="Y21" s="134" t="n"/>
      <c r="Z21" s="134" t="n"/>
    </row>
    <row r="22" ht="12.75" customHeight="1">
      <c r="A22" s="152" t="inlineStr">
        <is>
          <t>02.A</t>
        </is>
      </c>
      <c r="B22" s="152" t="inlineStr">
        <is>
          <t>Cost of sales</t>
        </is>
      </c>
      <c r="C22" s="152" t="n"/>
      <c r="D22" s="153" t="inlineStr">
        <is>
          <t>-</t>
        </is>
      </c>
      <c r="E22" s="143">
        <f>SUM(E23,E24,E28:E44)</f>
        <v/>
      </c>
      <c r="F22" s="143" t="n">
        <v>-16476.76</v>
      </c>
      <c r="G22" s="143">
        <f>SUM(G23,G24,G28:G44)</f>
        <v/>
      </c>
      <c r="H22" s="154">
        <f>IFERROR(F22-G22,"N/A")</f>
        <v/>
      </c>
      <c r="I22" s="155">
        <f>IFERROR(('[1]P&amp;L'!$F22-'[1]P&amp;L'!$G22)/ABS('[1]P&amp;L'!$G22),"N/A")</f>
        <v/>
      </c>
      <c r="J22" s="143" t="n"/>
      <c r="K22" s="141" t="n"/>
      <c r="L22" s="154">
        <f>IFERROR(F22-E22,"N/A")</f>
        <v/>
      </c>
      <c r="M22" s="155">
        <f>IFERROR(('[1]P&amp;L'!$F22-'[1]P&amp;L'!$E22)/ABS('[1]P&amp;L'!$E22),"N/A")</f>
        <v/>
      </c>
      <c r="N22" s="143" t="n"/>
      <c r="O22" s="141" t="n"/>
      <c r="P22" s="143">
        <f>SUM(P23,P24,P28:P44)</f>
        <v/>
      </c>
      <c r="Q22" s="143" t="n">
        <v>-16476.76</v>
      </c>
      <c r="R22" s="143">
        <f>SUM(R23,R24,R28:R44)</f>
        <v/>
      </c>
      <c r="S22" s="143">
        <f>IFERROR(Q22-R22,"N/A")</f>
        <v/>
      </c>
      <c r="T22" s="155">
        <f>IFERROR(('[1]P&amp;L'!$Q22-'[1]P&amp;L'!$R22)/ABS('[1]P&amp;L'!$R22),"N/A")</f>
        <v/>
      </c>
      <c r="U22" s="143" t="n"/>
      <c r="V22" s="143" t="n"/>
      <c r="W22" s="154">
        <f>IFERROR(Q22-P22,"N/A")</f>
        <v/>
      </c>
      <c r="X22" s="155">
        <f>IFERROR(('[1]P&amp;L'!$Q22-'[1]P&amp;L'!$P22)/ABS('[1]P&amp;L'!$P22),"N/A")</f>
        <v/>
      </c>
      <c r="Y22" s="143" t="n"/>
      <c r="Z22" s="143" t="n"/>
    </row>
    <row r="23" ht="12.75" customHeight="1">
      <c r="A23" s="146" t="inlineStr">
        <is>
          <t>02.A.01</t>
        </is>
      </c>
      <c r="B23" s="146" t="inlineStr">
        <is>
          <t>Wages, salaries, SSPF and other employee expenses</t>
        </is>
      </c>
      <c r="C23" s="146" t="n"/>
      <c r="D23" s="147" t="inlineStr">
        <is>
          <t>-</t>
        </is>
      </c>
      <c r="E23" s="61" t="n"/>
      <c r="F23" s="61" t="n"/>
      <c r="G23" s="61" t="n"/>
      <c r="H23" s="156">
        <f>IFERROR(F23-G23,"N/A")</f>
        <v/>
      </c>
      <c r="I23" s="161">
        <f>IFERROR(('[1]P&amp;L'!$F23-'[1]P&amp;L'!$G23)/ABS('[1]P&amp;L'!$G23),"N/A")</f>
        <v/>
      </c>
      <c r="J23" s="158" t="n"/>
      <c r="K23" s="184" t="n"/>
      <c r="L23" s="160">
        <f>IFERROR(F23-E23,"N/A")</f>
        <v/>
      </c>
      <c r="M23" s="161">
        <f>IFERROR(('[1]P&amp;L'!$F23-'[1]P&amp;L'!$E23)/ABS('[1]P&amp;L'!$E23),"N/A")</f>
        <v/>
      </c>
      <c r="N23" s="158" t="n"/>
      <c r="O23" s="184" t="n"/>
      <c r="P23" s="61" t="n"/>
      <c r="Q23" s="61" t="n"/>
      <c r="R23" s="61" t="n"/>
      <c r="S23" s="175">
        <f>IFERROR(Q23-R23,"N/A")</f>
        <v/>
      </c>
      <c r="T23" s="161">
        <f>IFERROR(('[1]P&amp;L'!$Q23-'[1]P&amp;L'!$R23)/ABS('[1]P&amp;L'!$R23),"N/A")</f>
        <v/>
      </c>
      <c r="U23" s="158" t="n"/>
      <c r="V23" s="184" t="n"/>
      <c r="W23" s="160">
        <f>IFERROR(Q23-P23,"N/A")</f>
        <v/>
      </c>
      <c r="X23" s="161">
        <f>IFERROR(('[1]P&amp;L'!$Q23-'[1]P&amp;L'!$P23)/ABS('[1]P&amp;L'!$P23),"N/A")</f>
        <v/>
      </c>
      <c r="Y23" s="158" t="n"/>
      <c r="Z23" s="184" t="n"/>
    </row>
    <row r="24" ht="25.5" customHeight="1">
      <c r="A24" s="163" t="inlineStr">
        <is>
          <t>02.A.02</t>
        </is>
      </c>
      <c r="B24" s="163" t="inlineStr">
        <is>
          <t>Depreciation (property, plant and equipment and right-of-use assets) and amortization</t>
        </is>
      </c>
      <c r="C24" s="163" t="n"/>
      <c r="D24" s="153" t="inlineStr">
        <is>
          <t>-</t>
        </is>
      </c>
      <c r="E24" s="167">
        <f>SUM(E25:E27)</f>
        <v/>
      </c>
      <c r="F24" s="167">
        <f>SUM(F25:F27)</f>
        <v/>
      </c>
      <c r="G24" s="167">
        <f>SUM(G25:G27)</f>
        <v/>
      </c>
      <c r="H24" s="165">
        <f>IFERROR(F24-G24,"N/A")</f>
        <v/>
      </c>
      <c r="I24" s="166">
        <f>IFERROR(('[1]P&amp;L'!$F24-'[1]P&amp;L'!$G24)/ABS('[1]P&amp;L'!$G24),"N/A")</f>
        <v/>
      </c>
      <c r="J24" s="167" t="n"/>
      <c r="K24" s="141" t="n"/>
      <c r="L24" s="165">
        <f>IFERROR(F24-E24,"N/A")</f>
        <v/>
      </c>
      <c r="M24" s="166">
        <f>IFERROR(('[1]P&amp;L'!$F24-'[1]P&amp;L'!$E24)/ABS('[1]P&amp;L'!$E24),"N/A")</f>
        <v/>
      </c>
      <c r="N24" s="167" t="n"/>
      <c r="O24" s="141" t="n"/>
      <c r="P24" s="167">
        <f>SUM(P25:P27)</f>
        <v/>
      </c>
      <c r="Q24" s="167">
        <f>SUM(Q25:Q27)</f>
        <v/>
      </c>
      <c r="R24" s="167">
        <f>SUM(R25:R27)</f>
        <v/>
      </c>
      <c r="S24" s="167">
        <f>IFERROR(Q24-R24,"N/A")</f>
        <v/>
      </c>
      <c r="T24" s="166">
        <f>IFERROR(('[1]P&amp;L'!$Q24-'[1]P&amp;L'!$R24)/ABS('[1]P&amp;L'!$R24),"N/A")</f>
        <v/>
      </c>
      <c r="U24" s="167" t="n"/>
      <c r="V24" s="143" t="n"/>
      <c r="W24" s="165">
        <f>IFERROR(Q24-P24,"N/A")</f>
        <v/>
      </c>
      <c r="X24" s="166">
        <f>IFERROR(('[1]P&amp;L'!$Q24-'[1]P&amp;L'!$P24)/ABS('[1]P&amp;L'!$P24),"N/A")</f>
        <v/>
      </c>
      <c r="Y24" s="167" t="n"/>
      <c r="Z24" s="143" t="n"/>
    </row>
    <row r="25" ht="25.5" customHeight="1">
      <c r="A25" s="178" t="inlineStr">
        <is>
          <t>02.A.02.01</t>
        </is>
      </c>
      <c r="B25" s="178" t="inlineStr">
        <is>
          <t>Depreciation (property, plant and equipment)</t>
        </is>
      </c>
      <c r="C25" s="178" t="n"/>
      <c r="D25" s="147" t="inlineStr">
        <is>
          <t>-</t>
        </is>
      </c>
      <c r="E25" s="61" t="n">
        <v>0</v>
      </c>
      <c r="F25" s="61" t="n"/>
      <c r="G25" s="61" t="n">
        <v>0</v>
      </c>
      <c r="H25" s="156">
        <f>IFERROR(F25-G25,"N/A")</f>
        <v/>
      </c>
      <c r="I25" s="161">
        <f>IFERROR(('[1]P&amp;L'!$F25-'[1]P&amp;L'!$G25)/ABS('[1]P&amp;L'!$G25),"N/A")</f>
        <v/>
      </c>
      <c r="J25" s="158" t="n"/>
      <c r="K25" s="184" t="n"/>
      <c r="L25" s="160">
        <f>IFERROR(F25-E25,"N/A")</f>
        <v/>
      </c>
      <c r="M25" s="161">
        <f>IFERROR(('[1]P&amp;L'!$F25-'[1]P&amp;L'!$E25)/ABS('[1]P&amp;L'!$E25),"N/A")</f>
        <v/>
      </c>
      <c r="N25" s="158" t="n"/>
      <c r="O25" s="184" t="n"/>
      <c r="P25" s="61" t="n">
        <v>0</v>
      </c>
      <c r="Q25" s="61" t="n">
        <v>0</v>
      </c>
      <c r="R25" s="61" t="n">
        <v>0</v>
      </c>
      <c r="S25" s="175">
        <f>IFERROR(Q25-R25,"N/A")</f>
        <v/>
      </c>
      <c r="T25" s="161">
        <f>IFERROR(('[1]P&amp;L'!$Q25-'[1]P&amp;L'!$R25)/ABS('[1]P&amp;L'!$R25),"N/A")</f>
        <v/>
      </c>
      <c r="U25" s="158" t="n"/>
      <c r="V25" s="184" t="n"/>
      <c r="W25" s="160">
        <f>IFERROR(Q25-P25,"N/A")</f>
        <v/>
      </c>
      <c r="X25" s="161">
        <f>IFERROR(('[1]P&amp;L'!$Q25-'[1]P&amp;L'!$P25)/ABS('[1]P&amp;L'!$P25),"N/A")</f>
        <v/>
      </c>
      <c r="Y25" s="158" t="n"/>
      <c r="Z25" s="184" t="n"/>
    </row>
    <row r="26" ht="25.5" customHeight="1">
      <c r="A26" s="178" t="inlineStr">
        <is>
          <t>02.A.02.02</t>
        </is>
      </c>
      <c r="B26" s="178" t="inlineStr">
        <is>
          <t>Depreciation (right-of-use assets)</t>
        </is>
      </c>
      <c r="C26" s="178" t="n"/>
      <c r="D26" s="147" t="inlineStr">
        <is>
          <t>-</t>
        </is>
      </c>
      <c r="E26" s="61" t="n">
        <v>0</v>
      </c>
      <c r="F26" s="61" t="n"/>
      <c r="G26" s="61" t="n">
        <v>0</v>
      </c>
      <c r="H26" s="156">
        <f>IFERROR(F26-G26,"N/A")</f>
        <v/>
      </c>
      <c r="I26" s="161">
        <f>IFERROR(('[1]P&amp;L'!$F26-'[1]P&amp;L'!$G26)/ABS('[1]P&amp;L'!$G26),"N/A")</f>
        <v/>
      </c>
      <c r="J26" s="158" t="n"/>
      <c r="K26" s="184" t="n"/>
      <c r="L26" s="160">
        <f>IFERROR(F26-E26,"N/A")</f>
        <v/>
      </c>
      <c r="M26" s="161">
        <f>IFERROR(('[1]P&amp;L'!$F26-'[1]P&amp;L'!$E26)/ABS('[1]P&amp;L'!$E26),"N/A")</f>
        <v/>
      </c>
      <c r="N26" s="158" t="n"/>
      <c r="O26" s="184" t="n"/>
      <c r="P26" s="61" t="n">
        <v>0</v>
      </c>
      <c r="Q26" s="61" t="n">
        <v>0</v>
      </c>
      <c r="R26" s="61" t="n">
        <v>0</v>
      </c>
      <c r="S26" s="175">
        <f>IFERROR(Q26-R26,"N/A")</f>
        <v/>
      </c>
      <c r="T26" s="161">
        <f>IFERROR(('[1]P&amp;L'!$Q26-'[1]P&amp;L'!$R26)/ABS('[1]P&amp;L'!$R26),"N/A")</f>
        <v/>
      </c>
      <c r="U26" s="158" t="n"/>
      <c r="V26" s="184" t="n"/>
      <c r="W26" s="160">
        <f>IFERROR(Q26-P26,"N/A")</f>
        <v/>
      </c>
      <c r="X26" s="161">
        <f>IFERROR(('[1]P&amp;L'!$Q26-'[1]P&amp;L'!$P26)/ABS('[1]P&amp;L'!$P26),"N/A")</f>
        <v/>
      </c>
      <c r="Y26" s="158" t="n"/>
      <c r="Z26" s="184" t="n"/>
    </row>
    <row r="27" ht="25.5" customHeight="1">
      <c r="A27" s="178" t="inlineStr">
        <is>
          <t>02.A.02.03</t>
        </is>
      </c>
      <c r="B27" s="178" t="inlineStr">
        <is>
          <t>Amortization (intangible assets)</t>
        </is>
      </c>
      <c r="C27" s="178" t="inlineStr">
        <is>
          <t>Amortizasiya (qeyri-maddi aktivləri)</t>
        </is>
      </c>
      <c r="D27" s="147" t="inlineStr">
        <is>
          <t>-</t>
        </is>
      </c>
      <c r="E27" s="61" t="n">
        <v>0</v>
      </c>
      <c r="F27" s="61" t="n"/>
      <c r="G27" s="61" t="n">
        <v>0</v>
      </c>
      <c r="H27" s="156">
        <f>IFERROR(F27-G27,"N/A")</f>
        <v/>
      </c>
      <c r="I27" s="161">
        <f>IFERROR(('[1]P&amp;L'!$F27-'[1]P&amp;L'!$G27)/ABS('[1]P&amp;L'!$G27),"N/A")</f>
        <v/>
      </c>
      <c r="J27" s="158" t="n"/>
      <c r="K27" s="184" t="n"/>
      <c r="L27" s="160">
        <f>IFERROR(F27-E27,"N/A")</f>
        <v/>
      </c>
      <c r="M27" s="161">
        <f>IFERROR(('[1]P&amp;L'!$F27-'[1]P&amp;L'!$E27)/ABS('[1]P&amp;L'!$E27),"N/A")</f>
        <v/>
      </c>
      <c r="N27" s="158" t="n"/>
      <c r="O27" s="184" t="n"/>
      <c r="P27" s="61" t="n">
        <v>0</v>
      </c>
      <c r="Q27" s="61" t="n">
        <v>0</v>
      </c>
      <c r="R27" s="61" t="n">
        <v>0</v>
      </c>
      <c r="S27" s="175">
        <f>IFERROR(Q27-R27,"N/A")</f>
        <v/>
      </c>
      <c r="T27" s="161">
        <f>IFERROR(('[1]P&amp;L'!$Q27-'[1]P&amp;L'!$R27)/ABS('[1]P&amp;L'!$R27),"N/A")</f>
        <v/>
      </c>
      <c r="U27" s="158" t="n"/>
      <c r="V27" s="184" t="n"/>
      <c r="W27" s="160">
        <f>IFERROR(Q27-P27,"N/A")</f>
        <v/>
      </c>
      <c r="X27" s="161">
        <f>IFERROR(('[1]P&amp;L'!$Q27-'[1]P&amp;L'!$P27)/ABS('[1]P&amp;L'!$P27),"N/A")</f>
        <v/>
      </c>
      <c r="Y27" s="158" t="n"/>
      <c r="Z27" s="184" t="n"/>
    </row>
    <row r="28" ht="12.75" customHeight="1">
      <c r="A28" s="146" t="inlineStr">
        <is>
          <t>02.A.03</t>
        </is>
      </c>
      <c r="B28" s="146" t="inlineStr">
        <is>
          <t>Raw materials and consumables used</t>
        </is>
      </c>
      <c r="C28" s="146" t="n"/>
      <c r="D28" s="147" t="inlineStr">
        <is>
          <t>-</t>
        </is>
      </c>
      <c r="E28" s="61" t="n">
        <v>-94110.00805248013</v>
      </c>
      <c r="F28" s="61" t="n">
        <v>-16476.76</v>
      </c>
      <c r="G28" s="61" t="n">
        <v>-101439.4117647059</v>
      </c>
      <c r="H28" s="156">
        <f>IFERROR(F28-G28,"N/A")</f>
        <v/>
      </c>
      <c r="I28" s="161">
        <f>IFERROR(('[1]P&amp;L'!$F28-'[1]P&amp;L'!$G28)/ABS('[1]P&amp;L'!$G28),"N/A")</f>
        <v/>
      </c>
      <c r="J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K28" s="184" t="n"/>
      <c r="L28" s="160">
        <f>IFERROR(F28-E28,"N/A")</f>
        <v/>
      </c>
      <c r="M28" s="161">
        <f>IFERROR(('[1]P&amp;L'!$F28-'[1]P&amp;L'!$E28)/ABS('[1]P&amp;L'!$E28),"N/A")</f>
        <v/>
      </c>
      <c r="N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O28" s="184" t="n"/>
      <c r="P28" s="61" t="n">
        <v>-686463.1844140502</v>
      </c>
      <c r="Q28" s="61" t="n">
        <v>-16476.76</v>
      </c>
      <c r="R28" s="61" t="n">
        <v>-743355.2941176471</v>
      </c>
      <c r="S28" s="175">
        <f>IFERROR(Q28-R28,"N/A")</f>
        <v/>
      </c>
      <c r="T28" s="161">
        <f>IFERROR(('[1]P&amp;L'!$Q28-'[1]P&amp;L'!$R28)/ABS('[1]P&amp;L'!$R28),"N/A")</f>
        <v/>
      </c>
      <c r="U28" s="158" t="inlineStr">
        <is>
          <t>The company experiences a direct correlation between Sales deviation and COGS deviation, with the percentage change remaining relatively consistent. Overall, there are no significant deviations observed in this proportional relationship, indicating a stable cost structure in relation to sales fluctuations</t>
        </is>
      </c>
      <c r="V28" s="184" t="n"/>
      <c r="W28" s="160">
        <f>IFERROR(Q28-P28,"N/A")</f>
        <v/>
      </c>
      <c r="X28" s="161">
        <f>IFERROR(('[1]P&amp;L'!$Q28-'[1]P&amp;L'!$P28)/ABS('[1]P&amp;L'!$P28),"N/A")</f>
        <v/>
      </c>
      <c r="Y28" s="158" t="n"/>
      <c r="Z28" s="184" t="n"/>
    </row>
    <row r="29" ht="12.75" customHeight="1">
      <c r="A29" s="146" t="inlineStr">
        <is>
          <t>02.A.04</t>
        </is>
      </c>
      <c r="B29" s="146" t="inlineStr">
        <is>
          <t>Utilities expenses</t>
        </is>
      </c>
      <c r="C29" s="146" t="n"/>
      <c r="D29" s="147" t="inlineStr">
        <is>
          <t>-</t>
        </is>
      </c>
      <c r="E29" s="61" t="n">
        <v>0</v>
      </c>
      <c r="F29" s="61" t="n"/>
      <c r="G29" s="61" t="n">
        <v>0</v>
      </c>
      <c r="H29" s="156">
        <f>IFERROR(F29-G29,"N/A")</f>
        <v/>
      </c>
      <c r="I29" s="161">
        <f>IFERROR(('[1]P&amp;L'!$F29-'[1]P&amp;L'!$G29)/ABS('[1]P&amp;L'!$G29),"N/A")</f>
        <v/>
      </c>
      <c r="J29" s="158" t="n"/>
      <c r="K29" s="184" t="n"/>
      <c r="L29" s="160">
        <f>IFERROR(F29-E29,"N/A")</f>
        <v/>
      </c>
      <c r="M29" s="161">
        <f>IFERROR(('[1]P&amp;L'!$F29-'[1]P&amp;L'!$E29)/ABS('[1]P&amp;L'!$E29),"N/A")</f>
        <v/>
      </c>
      <c r="N29" s="158" t="n"/>
      <c r="O29" s="184" t="n"/>
      <c r="P29" s="61" t="n">
        <v>0</v>
      </c>
      <c r="Q29" s="61" t="n">
        <v>0</v>
      </c>
      <c r="R29" s="61" t="n">
        <v>0</v>
      </c>
      <c r="S29" s="175">
        <f>IFERROR(Q29-R29,"N/A")</f>
        <v/>
      </c>
      <c r="T29" s="161">
        <f>IFERROR(('[1]P&amp;L'!$Q29-'[1]P&amp;L'!$R29)/ABS('[1]P&amp;L'!$R29),"N/A")</f>
        <v/>
      </c>
      <c r="U29" s="158" t="n"/>
      <c r="V29" s="184" t="n"/>
      <c r="W29" s="160">
        <f>IFERROR(Q29-P29,"N/A")</f>
        <v/>
      </c>
      <c r="X29" s="161">
        <f>IFERROR(('[1]P&amp;L'!$Q29-'[1]P&amp;L'!$P29)/ABS('[1]P&amp;L'!$P29),"N/A")</f>
        <v/>
      </c>
      <c r="Y29" s="158" t="n"/>
      <c r="Z29" s="184" t="n"/>
    </row>
    <row r="30" ht="12.75" customHeight="1">
      <c r="A30" s="146" t="inlineStr">
        <is>
          <t>02.A.05</t>
        </is>
      </c>
      <c r="B30" s="146" t="inlineStr">
        <is>
          <t>Repairs and maintenance expenses</t>
        </is>
      </c>
      <c r="C30" s="146" t="n"/>
      <c r="D30" s="147" t="inlineStr">
        <is>
          <t>-</t>
        </is>
      </c>
      <c r="E30" s="61" t="n">
        <v>0</v>
      </c>
      <c r="F30" s="61" t="n"/>
      <c r="G30" s="61" t="n">
        <v>0</v>
      </c>
      <c r="H30" s="156">
        <f>IFERROR(F30-G30,"N/A")</f>
        <v/>
      </c>
      <c r="I30" s="161">
        <f>IFERROR(('[1]P&amp;L'!$F30-'[1]P&amp;L'!$G30)/ABS('[1]P&amp;L'!$G30),"N/A")</f>
        <v/>
      </c>
      <c r="J30" s="158" t="n"/>
      <c r="K30" s="184" t="n"/>
      <c r="L30" s="160">
        <f>IFERROR(F30-E30,"N/A")</f>
        <v/>
      </c>
      <c r="M30" s="161">
        <f>IFERROR(('[1]P&amp;L'!$F30-'[1]P&amp;L'!$E30)/ABS('[1]P&amp;L'!$E30),"N/A")</f>
        <v/>
      </c>
      <c r="N30" s="158" t="n"/>
      <c r="O30" s="184" t="n"/>
      <c r="P30" s="61" t="n">
        <v>0</v>
      </c>
      <c r="Q30" s="61" t="n">
        <v>0</v>
      </c>
      <c r="R30" s="61" t="n">
        <v>0</v>
      </c>
      <c r="S30" s="175">
        <f>IFERROR(Q30-R30,"N/A")</f>
        <v/>
      </c>
      <c r="T30" s="161">
        <f>IFERROR(('[1]P&amp;L'!$Q30-'[1]P&amp;L'!$R30)/ABS('[1]P&amp;L'!$R30),"N/A")</f>
        <v/>
      </c>
      <c r="U30" s="158" t="n"/>
      <c r="V30" s="184" t="n"/>
      <c r="W30" s="160">
        <f>IFERROR(Q30-P30,"N/A")</f>
        <v/>
      </c>
      <c r="X30" s="161">
        <f>IFERROR(('[1]P&amp;L'!$Q30-'[1]P&amp;L'!$P30)/ABS('[1]P&amp;L'!$P30),"N/A")</f>
        <v/>
      </c>
      <c r="Y30" s="158" t="n"/>
      <c r="Z30" s="184" t="n"/>
    </row>
    <row r="31" ht="12.75" customHeight="1">
      <c r="A31" s="146" t="inlineStr">
        <is>
          <t>02.A.06</t>
        </is>
      </c>
      <c r="B31" s="146" t="inlineStr">
        <is>
          <t>Taxes other than income (incl. mining tax)</t>
        </is>
      </c>
      <c r="C31" s="146" t="n"/>
      <c r="D31" s="147" t="inlineStr">
        <is>
          <t>-</t>
        </is>
      </c>
      <c r="E31" s="61" t="n">
        <v>0</v>
      </c>
      <c r="F31" s="61" t="n"/>
      <c r="G31" s="61" t="n">
        <v>0</v>
      </c>
      <c r="H31" s="156">
        <f>IFERROR(F31-G31,"N/A")</f>
        <v/>
      </c>
      <c r="I31" s="161">
        <f>IFERROR(('[1]P&amp;L'!$F31-'[1]P&amp;L'!$G31)/ABS('[1]P&amp;L'!$G31),"N/A")</f>
        <v/>
      </c>
      <c r="J31" s="158" t="n"/>
      <c r="K31" s="184" t="n"/>
      <c r="L31" s="160">
        <f>IFERROR(F31-E31,"N/A")</f>
        <v/>
      </c>
      <c r="M31" s="161">
        <f>IFERROR(('[1]P&amp;L'!$F31-'[1]P&amp;L'!$E31)/ABS('[1]P&amp;L'!$E31),"N/A")</f>
        <v/>
      </c>
      <c r="N31" s="158" t="n"/>
      <c r="O31" s="184" t="n"/>
      <c r="P31" s="61" t="n">
        <v>0</v>
      </c>
      <c r="Q31" s="61" t="n">
        <v>0</v>
      </c>
      <c r="R31" s="61" t="n">
        <v>0</v>
      </c>
      <c r="S31" s="175">
        <f>IFERROR(Q31-R31,"N/A")</f>
        <v/>
      </c>
      <c r="T31" s="161">
        <f>IFERROR(('[1]P&amp;L'!$Q31-'[1]P&amp;L'!$R31)/ABS('[1]P&amp;L'!$R31),"N/A")</f>
        <v/>
      </c>
      <c r="U31" s="158" t="n"/>
      <c r="V31" s="184" t="n"/>
      <c r="W31" s="160">
        <f>IFERROR(Q31-P31,"N/A")</f>
        <v/>
      </c>
      <c r="X31" s="161">
        <f>IFERROR(('[1]P&amp;L'!$Q31-'[1]P&amp;L'!$P31)/ABS('[1]P&amp;L'!$P31),"N/A")</f>
        <v/>
      </c>
      <c r="Y31" s="158" t="n"/>
      <c r="Z31" s="184" t="n"/>
    </row>
    <row r="32" ht="12.75" customHeight="1">
      <c r="A32" s="146" t="inlineStr">
        <is>
          <t>02.A.07</t>
        </is>
      </c>
      <c r="B32" s="146" t="inlineStr">
        <is>
          <t>Rent expenses</t>
        </is>
      </c>
      <c r="C32" s="146" t="n"/>
      <c r="D32" s="147" t="inlineStr">
        <is>
          <t>-</t>
        </is>
      </c>
      <c r="E32" s="61" t="n">
        <v>0</v>
      </c>
      <c r="F32" s="61" t="n"/>
      <c r="G32" s="61" t="n">
        <v>0</v>
      </c>
      <c r="H32" s="156">
        <f>IFERROR(F32-G32,"N/A")</f>
        <v/>
      </c>
      <c r="I32" s="161">
        <f>IFERROR(('[1]P&amp;L'!$F32-'[1]P&amp;L'!$G32)/ABS('[1]P&amp;L'!$G32),"N/A")</f>
        <v/>
      </c>
      <c r="J32" s="158" t="n"/>
      <c r="K32" s="184" t="n"/>
      <c r="L32" s="160">
        <f>IFERROR(F32-E32,"N/A")</f>
        <v/>
      </c>
      <c r="M32" s="161">
        <f>IFERROR(('[1]P&amp;L'!$F32-'[1]P&amp;L'!$E32)/ABS('[1]P&amp;L'!$E32),"N/A")</f>
        <v/>
      </c>
      <c r="N32" s="158" t="n"/>
      <c r="O32" s="184" t="n"/>
      <c r="P32" s="61" t="n">
        <v>0</v>
      </c>
      <c r="Q32" s="61" t="n">
        <v>0</v>
      </c>
      <c r="R32" s="61" t="n">
        <v>0</v>
      </c>
      <c r="S32" s="175">
        <f>IFERROR(Q32-R32,"N/A")</f>
        <v/>
      </c>
      <c r="T32" s="161">
        <f>IFERROR(('[1]P&amp;L'!$Q32-'[1]P&amp;L'!$R32)/ABS('[1]P&amp;L'!$R32),"N/A")</f>
        <v/>
      </c>
      <c r="U32" s="158" t="n"/>
      <c r="V32" s="184" t="n"/>
      <c r="W32" s="160">
        <f>IFERROR(Q32-P32,"N/A")</f>
        <v/>
      </c>
      <c r="X32" s="161">
        <f>IFERROR(('[1]P&amp;L'!$Q32-'[1]P&amp;L'!$P32)/ABS('[1]P&amp;L'!$P32),"N/A")</f>
        <v/>
      </c>
      <c r="Y32" s="158" t="n"/>
      <c r="Z32" s="184" t="n"/>
    </row>
    <row r="33" ht="12.75" customHeight="1">
      <c r="A33" s="146" t="inlineStr">
        <is>
          <t>02.A.08</t>
        </is>
      </c>
      <c r="B33" s="146" t="inlineStr">
        <is>
          <t xml:space="preserve">Insurance expenses </t>
        </is>
      </c>
      <c r="C33" s="146" t="n"/>
      <c r="D33" s="147" t="inlineStr">
        <is>
          <t>-</t>
        </is>
      </c>
      <c r="E33" s="61" t="n">
        <v>0</v>
      </c>
      <c r="F33" s="61" t="n"/>
      <c r="G33" s="61" t="n">
        <v>0</v>
      </c>
      <c r="H33" s="156">
        <f>IFERROR(F33-G33,"N/A")</f>
        <v/>
      </c>
      <c r="I33" s="161">
        <f>IFERROR(('[1]P&amp;L'!$F33-'[1]P&amp;L'!$G33)/ABS('[1]P&amp;L'!$G33),"N/A")</f>
        <v/>
      </c>
      <c r="J33" s="158" t="n"/>
      <c r="K33" s="184" t="n"/>
      <c r="L33" s="160">
        <f>IFERROR(F33-E33,"N/A")</f>
        <v/>
      </c>
      <c r="M33" s="161">
        <f>IFERROR(('[1]P&amp;L'!$F33-'[1]P&amp;L'!$E33)/ABS('[1]P&amp;L'!$E33),"N/A")</f>
        <v/>
      </c>
      <c r="N33" s="158" t="n"/>
      <c r="O33" s="184" t="n"/>
      <c r="P33" s="61" t="n">
        <v>0</v>
      </c>
      <c r="Q33" s="61" t="n">
        <v>0</v>
      </c>
      <c r="R33" s="61" t="n">
        <v>0</v>
      </c>
      <c r="S33" s="175">
        <f>IFERROR(Q33-R33,"N/A")</f>
        <v/>
      </c>
      <c r="T33" s="161">
        <f>IFERROR(('[1]P&amp;L'!$Q33-'[1]P&amp;L'!$R33)/ABS('[1]P&amp;L'!$R33),"N/A")</f>
        <v/>
      </c>
      <c r="U33" s="158" t="n"/>
      <c r="V33" s="184" t="n"/>
      <c r="W33" s="160">
        <f>IFERROR(Q33-P33,"N/A")</f>
        <v/>
      </c>
      <c r="X33" s="161">
        <f>IFERROR(('[1]P&amp;L'!$Q33-'[1]P&amp;L'!$P33)/ABS('[1]P&amp;L'!$P33),"N/A")</f>
        <v/>
      </c>
      <c r="Y33" s="158" t="n"/>
      <c r="Z33" s="184" t="n"/>
    </row>
    <row r="34" ht="12.75" customHeight="1">
      <c r="A34" s="146" t="inlineStr">
        <is>
          <t>02.A.09</t>
        </is>
      </c>
      <c r="B34" s="146" t="inlineStr">
        <is>
          <t xml:space="preserve">Business trip expenses </t>
        </is>
      </c>
      <c r="C34" s="146" t="n"/>
      <c r="D34" s="147" t="inlineStr">
        <is>
          <t>-</t>
        </is>
      </c>
      <c r="E34" s="61" t="n">
        <v>0</v>
      </c>
      <c r="F34" s="61" t="n"/>
      <c r="G34" s="61" t="n">
        <v>0</v>
      </c>
      <c r="H34" s="156">
        <f>IFERROR(F34-G34,"N/A")</f>
        <v/>
      </c>
      <c r="I34" s="161">
        <f>IFERROR(('[1]P&amp;L'!$F34-'[1]P&amp;L'!$G34)/ABS('[1]P&amp;L'!$G34),"N/A")</f>
        <v/>
      </c>
      <c r="J34" s="158" t="n"/>
      <c r="K34" s="184" t="n"/>
      <c r="L34" s="160">
        <f>IFERROR(F34-E34,"N/A")</f>
        <v/>
      </c>
      <c r="M34" s="161">
        <f>IFERROR(('[1]P&amp;L'!$F34-'[1]P&amp;L'!$E34)/ABS('[1]P&amp;L'!$E34),"N/A")</f>
        <v/>
      </c>
      <c r="N34" s="158" t="n"/>
      <c r="O34" s="184" t="n"/>
      <c r="P34" s="61" t="n">
        <v>0</v>
      </c>
      <c r="Q34" s="61" t="n">
        <v>0</v>
      </c>
      <c r="R34" s="61" t="n">
        <v>0</v>
      </c>
      <c r="S34" s="175">
        <f>IFERROR(Q34-R34,"N/A")</f>
        <v/>
      </c>
      <c r="T34" s="161">
        <f>IFERROR(('[1]P&amp;L'!$Q34-'[1]P&amp;L'!$R34)/ABS('[1]P&amp;L'!$R34),"N/A")</f>
        <v/>
      </c>
      <c r="U34" s="158" t="n"/>
      <c r="V34" s="184" t="n"/>
      <c r="W34" s="160">
        <f>IFERROR(Q34-P34,"N/A")</f>
        <v/>
      </c>
      <c r="X34" s="161">
        <f>IFERROR(('[1]P&amp;L'!$Q34-'[1]P&amp;L'!$P34)/ABS('[1]P&amp;L'!$P34),"N/A")</f>
        <v/>
      </c>
      <c r="Y34" s="158" t="n"/>
      <c r="Z34" s="184" t="n"/>
    </row>
    <row r="35" ht="12.75" customHeight="1">
      <c r="A35" s="176" t="inlineStr">
        <is>
          <t>02.A.10</t>
        </is>
      </c>
      <c r="B35" s="176" t="inlineStr">
        <is>
          <t>Storage expenses</t>
        </is>
      </c>
      <c r="C35" s="176" t="n"/>
      <c r="D35" s="147" t="inlineStr">
        <is>
          <t>-</t>
        </is>
      </c>
      <c r="E35" s="61" t="n">
        <v>0</v>
      </c>
      <c r="F35" s="61" t="n"/>
      <c r="G35" s="61" t="n">
        <v>0</v>
      </c>
      <c r="H35" s="156">
        <f>IFERROR(F35-G35,"N/A")</f>
        <v/>
      </c>
      <c r="I35" s="161">
        <f>IFERROR(('[1]P&amp;L'!$F35-'[1]P&amp;L'!$G35)/ABS('[1]P&amp;L'!$G35),"N/A")</f>
        <v/>
      </c>
      <c r="J35" s="158" t="n"/>
      <c r="K35" s="184" t="n"/>
      <c r="L35" s="160">
        <f>IFERROR(F35-E35,"N/A")</f>
        <v/>
      </c>
      <c r="M35" s="161">
        <f>IFERROR(('[1]P&amp;L'!$F35-'[1]P&amp;L'!$E35)/ABS('[1]P&amp;L'!$E35),"N/A")</f>
        <v/>
      </c>
      <c r="N35" s="158" t="n"/>
      <c r="O35" s="184" t="n"/>
      <c r="P35" s="61" t="n">
        <v>0</v>
      </c>
      <c r="Q35" s="61" t="n">
        <v>0</v>
      </c>
      <c r="R35" s="61" t="n">
        <v>0</v>
      </c>
      <c r="S35" s="175">
        <f>IFERROR(Q35-R35,"N/A")</f>
        <v/>
      </c>
      <c r="T35" s="161">
        <f>IFERROR(('[1]P&amp;L'!$Q35-'[1]P&amp;L'!$R35)/ABS('[1]P&amp;L'!$R35),"N/A")</f>
        <v/>
      </c>
      <c r="U35" s="158" t="n"/>
      <c r="V35" s="184" t="n"/>
      <c r="W35" s="160">
        <f>IFERROR(Q35-P35,"N/A")</f>
        <v/>
      </c>
      <c r="X35" s="161">
        <f>IFERROR(('[1]P&amp;L'!$Q35-'[1]P&amp;L'!$P35)/ABS('[1]P&amp;L'!$P35),"N/A")</f>
        <v/>
      </c>
      <c r="Y35" s="158" t="n"/>
      <c r="Z35" s="184" t="n"/>
    </row>
    <row r="36" ht="12.75" customHeight="1">
      <c r="A36" s="176" t="inlineStr">
        <is>
          <t>02.A.11</t>
        </is>
      </c>
      <c r="B36" s="176" t="inlineStr">
        <is>
          <t>Security services</t>
        </is>
      </c>
      <c r="C36" s="176" t="n"/>
      <c r="D36" s="147" t="inlineStr">
        <is>
          <t>-</t>
        </is>
      </c>
      <c r="E36" s="61" t="n">
        <v>0</v>
      </c>
      <c r="F36" s="61" t="n"/>
      <c r="G36" s="61" t="n">
        <v>0</v>
      </c>
      <c r="H36" s="156">
        <f>IFERROR(F36-G36,"N/A")</f>
        <v/>
      </c>
      <c r="I36" s="161">
        <f>IFERROR(('[1]P&amp;L'!$F36-'[1]P&amp;L'!$G36)/ABS('[1]P&amp;L'!$G36),"N/A")</f>
        <v/>
      </c>
      <c r="J36" s="158" t="n"/>
      <c r="K36" s="184" t="n"/>
      <c r="L36" s="160">
        <f>IFERROR(F36-E36,"N/A")</f>
        <v/>
      </c>
      <c r="M36" s="161">
        <f>IFERROR(('[1]P&amp;L'!$F36-'[1]P&amp;L'!$E36)/ABS('[1]P&amp;L'!$E36),"N/A")</f>
        <v/>
      </c>
      <c r="N36" s="158" t="n"/>
      <c r="O36" s="184" t="n"/>
      <c r="P36" s="61" t="n">
        <v>0</v>
      </c>
      <c r="Q36" s="61" t="n">
        <v>0</v>
      </c>
      <c r="R36" s="61" t="n">
        <v>0</v>
      </c>
      <c r="S36" s="175">
        <f>IFERROR(Q36-R36,"N/A")</f>
        <v/>
      </c>
      <c r="T36" s="161">
        <f>IFERROR(('[1]P&amp;L'!$Q36-'[1]P&amp;L'!$R36)/ABS('[1]P&amp;L'!$R36),"N/A")</f>
        <v/>
      </c>
      <c r="U36" s="158" t="n"/>
      <c r="V36" s="184" t="n"/>
      <c r="W36" s="160">
        <f>IFERROR(Q36-P36,"N/A")</f>
        <v/>
      </c>
      <c r="X36" s="161">
        <f>IFERROR(('[1]P&amp;L'!$Q36-'[1]P&amp;L'!$P36)/ABS('[1]P&amp;L'!$P36),"N/A")</f>
        <v/>
      </c>
      <c r="Y36" s="158" t="n"/>
      <c r="Z36" s="184" t="n"/>
    </row>
    <row r="37" ht="12.75" customHeight="1">
      <c r="A37" s="176" t="inlineStr">
        <is>
          <t>02.A.12</t>
        </is>
      </c>
      <c r="B37" s="176" t="inlineStr">
        <is>
          <t>Communication and IT services</t>
        </is>
      </c>
      <c r="C37" s="176" t="n"/>
      <c r="D37" s="147" t="inlineStr">
        <is>
          <t>-</t>
        </is>
      </c>
      <c r="E37" s="61" t="n">
        <v>0</v>
      </c>
      <c r="F37" s="61" t="n"/>
      <c r="G37" s="61" t="n">
        <v>0</v>
      </c>
      <c r="H37" s="156">
        <f>IFERROR(F37-G37,"N/A")</f>
        <v/>
      </c>
      <c r="I37" s="161">
        <f>IFERROR(('[1]P&amp;L'!$F37-'[1]P&amp;L'!$G37)/ABS('[1]P&amp;L'!$G37),"N/A")</f>
        <v/>
      </c>
      <c r="J37" s="158" t="n"/>
      <c r="K37" s="184" t="n"/>
      <c r="L37" s="160">
        <f>IFERROR(F37-E37,"N/A")</f>
        <v/>
      </c>
      <c r="M37" s="161">
        <f>IFERROR(('[1]P&amp;L'!$F37-'[1]P&amp;L'!$E37)/ABS('[1]P&amp;L'!$E37),"N/A")</f>
        <v/>
      </c>
      <c r="N37" s="158" t="n"/>
      <c r="O37" s="184" t="n"/>
      <c r="P37" s="61" t="n">
        <v>0</v>
      </c>
      <c r="Q37" s="61" t="n">
        <v>0</v>
      </c>
      <c r="R37" s="61" t="n">
        <v>0</v>
      </c>
      <c r="S37" s="175">
        <f>IFERROR(Q37-R37,"N/A")</f>
        <v/>
      </c>
      <c r="T37" s="161">
        <f>IFERROR(('[1]P&amp;L'!$Q37-'[1]P&amp;L'!$R37)/ABS('[1]P&amp;L'!$R37),"N/A")</f>
        <v/>
      </c>
      <c r="U37" s="158" t="n"/>
      <c r="V37" s="184" t="n"/>
      <c r="W37" s="160">
        <f>IFERROR(Q37-P37,"N/A")</f>
        <v/>
      </c>
      <c r="X37" s="161">
        <f>IFERROR(('[1]P&amp;L'!$Q37-'[1]P&amp;L'!$P37)/ABS('[1]P&amp;L'!$P37),"N/A")</f>
        <v/>
      </c>
      <c r="Y37" s="158" t="n"/>
      <c r="Z37" s="184" t="n"/>
    </row>
    <row r="38" ht="12.75" customHeight="1">
      <c r="A38" s="176" t="inlineStr">
        <is>
          <t>02.A.13</t>
        </is>
      </c>
      <c r="B38" s="176" t="inlineStr">
        <is>
          <t>Automobile and special machinery services</t>
        </is>
      </c>
      <c r="C38" s="176" t="n"/>
      <c r="D38" s="147" t="inlineStr">
        <is>
          <t>-</t>
        </is>
      </c>
      <c r="E38" s="61" t="n">
        <v>0</v>
      </c>
      <c r="F38" s="61" t="n"/>
      <c r="G38" s="61" t="n">
        <v>0</v>
      </c>
      <c r="H38" s="156">
        <f>IFERROR(F38-G38,"N/A")</f>
        <v/>
      </c>
      <c r="I38" s="161">
        <f>IFERROR(('[1]P&amp;L'!$F38-'[1]P&amp;L'!$G38)/ABS('[1]P&amp;L'!$G38),"N/A")</f>
        <v/>
      </c>
      <c r="J38" s="158" t="n"/>
      <c r="K38" s="184" t="n"/>
      <c r="L38" s="160">
        <f>IFERROR(F38-E38,"N/A")</f>
        <v/>
      </c>
      <c r="M38" s="161">
        <f>IFERROR(('[1]P&amp;L'!$F38-'[1]P&amp;L'!$E38)/ABS('[1]P&amp;L'!$E38),"N/A")</f>
        <v/>
      </c>
      <c r="N38" s="158" t="n"/>
      <c r="O38" s="184" t="n"/>
      <c r="P38" s="61" t="n">
        <v>0</v>
      </c>
      <c r="Q38" s="61" t="n">
        <v>0</v>
      </c>
      <c r="R38" s="61" t="n">
        <v>0</v>
      </c>
      <c r="S38" s="175">
        <f>IFERROR(Q38-R38,"N/A")</f>
        <v/>
      </c>
      <c r="T38" s="161">
        <f>IFERROR(('[1]P&amp;L'!$Q38-'[1]P&amp;L'!$R38)/ABS('[1]P&amp;L'!$R38),"N/A")</f>
        <v/>
      </c>
      <c r="U38" s="158" t="n"/>
      <c r="V38" s="184" t="n"/>
      <c r="W38" s="160">
        <f>IFERROR(Q38-P38,"N/A")</f>
        <v/>
      </c>
      <c r="X38" s="161">
        <f>IFERROR(('[1]P&amp;L'!$Q38-'[1]P&amp;L'!$P38)/ABS('[1]P&amp;L'!$P38),"N/A")</f>
        <v/>
      </c>
      <c r="Y38" s="158" t="n"/>
      <c r="Z38" s="184" t="n"/>
    </row>
    <row r="39" ht="12.75" customHeight="1">
      <c r="A39" s="176" t="inlineStr">
        <is>
          <t>02.A.14</t>
        </is>
      </c>
      <c r="B39" s="176" t="inlineStr">
        <is>
          <t>Refining services</t>
        </is>
      </c>
      <c r="C39" s="176" t="n"/>
      <c r="D39" s="147" t="inlineStr">
        <is>
          <t>-</t>
        </is>
      </c>
      <c r="E39" s="61" t="n">
        <v>0</v>
      </c>
      <c r="F39" s="61" t="n">
        <v>0</v>
      </c>
      <c r="G39" s="61" t="n">
        <v>0</v>
      </c>
      <c r="H39" s="156">
        <f>IFERROR(F39-G39,"N/A")</f>
        <v/>
      </c>
      <c r="I39" s="161">
        <f>IFERROR(('[1]P&amp;L'!$F39-'[1]P&amp;L'!$G39)/ABS('[1]P&amp;L'!$G39),"N/A")</f>
        <v/>
      </c>
      <c r="J39" s="158" t="n"/>
      <c r="K39" s="184" t="n"/>
      <c r="L39" s="160">
        <f>IFERROR(F39-E39,"N/A")</f>
        <v/>
      </c>
      <c r="M39" s="161">
        <f>IFERROR(('[1]P&amp;L'!$F39-'[1]P&amp;L'!$E39)/ABS('[1]P&amp;L'!$E39),"N/A")</f>
        <v/>
      </c>
      <c r="N39" s="158" t="n"/>
      <c r="O39" s="184" t="n"/>
      <c r="P39" s="61" t="n">
        <v>0</v>
      </c>
      <c r="Q39" s="61" t="n">
        <v>0</v>
      </c>
      <c r="R39" s="61" t="n">
        <v>0</v>
      </c>
      <c r="S39" s="175">
        <f>IFERROR(Q39-R39,"N/A")</f>
        <v/>
      </c>
      <c r="T39" s="161">
        <f>IFERROR(('[1]P&amp;L'!$Q39-'[1]P&amp;L'!$R39)/ABS('[1]P&amp;L'!$R39),"N/A")</f>
        <v/>
      </c>
      <c r="U39" s="158" t="n"/>
      <c r="V39" s="184" t="n"/>
      <c r="W39" s="160">
        <f>IFERROR(Q39-P39,"N/A")</f>
        <v/>
      </c>
      <c r="X39" s="161">
        <f>IFERROR(('[1]P&amp;L'!$Q39-'[1]P&amp;L'!$P39)/ABS('[1]P&amp;L'!$P39),"N/A")</f>
        <v/>
      </c>
      <c r="Y39" s="158" t="n"/>
      <c r="Z39" s="184" t="n"/>
    </row>
    <row r="40" ht="12.75" customHeight="1">
      <c r="A40" s="176" t="inlineStr">
        <is>
          <t>02.A.15</t>
        </is>
      </c>
      <c r="B40" s="176" t="inlineStr">
        <is>
          <t>Transportation of products (cost of sales)</t>
        </is>
      </c>
      <c r="C40" s="176" t="n"/>
      <c r="D40" s="147" t="inlineStr">
        <is>
          <t>-</t>
        </is>
      </c>
      <c r="E40" s="61" t="n">
        <v>0</v>
      </c>
      <c r="F40" s="61" t="n">
        <v>-775.7470997248408</v>
      </c>
      <c r="G40" s="61" t="n">
        <v>-742.3529411764706</v>
      </c>
      <c r="H40" s="156">
        <f>IFERROR(F40-G40,"N/A")</f>
        <v/>
      </c>
      <c r="I40" s="161">
        <f>IFERROR(('[1]P&amp;L'!$F40-'[1]P&amp;L'!$G40)/ABS('[1]P&amp;L'!$G40),"N/A")</f>
        <v/>
      </c>
      <c r="J40" s="158" t="n"/>
      <c r="K40" s="184" t="n"/>
      <c r="L40" s="160">
        <f>IFERROR(F40-E40,"N/A")</f>
        <v/>
      </c>
      <c r="M40" s="161">
        <f>IFERROR(('[1]P&amp;L'!$F40-'[1]P&amp;L'!$E40)/ABS('[1]P&amp;L'!$E40),"N/A")</f>
        <v/>
      </c>
      <c r="N40" s="158" t="inlineStr">
        <is>
          <t>N/A</t>
        </is>
      </c>
      <c r="O40" s="184" t="n"/>
      <c r="P40" s="61" t="n">
        <v>0</v>
      </c>
      <c r="Q40" s="61" t="n">
        <v>-5153.77468391286</v>
      </c>
      <c r="R40" s="61" t="n">
        <v>-5691.764705882353</v>
      </c>
      <c r="S40" s="175">
        <f>IFERROR(Q40-R40,"N/A")</f>
        <v/>
      </c>
      <c r="T40" s="161">
        <f>IFERROR(('[1]P&amp;L'!$Q40-'[1]P&amp;L'!$R40)/ABS('[1]P&amp;L'!$R40),"N/A")</f>
        <v/>
      </c>
      <c r="U40" s="158" t="n"/>
      <c r="V40" s="184" t="n"/>
      <c r="W40" s="160">
        <f>IFERROR(Q40-P40,"N/A")</f>
        <v/>
      </c>
      <c r="X40" s="161">
        <f>IFERROR(('[1]P&amp;L'!$Q40-'[1]P&amp;L'!$P40)/ABS('[1]P&amp;L'!$P40),"N/A")</f>
        <v/>
      </c>
      <c r="Y40" s="158" t="inlineStr">
        <is>
          <t>N/A</t>
        </is>
      </c>
      <c r="Z40" s="184" t="n"/>
    </row>
    <row r="41" ht="12.75" customHeight="1">
      <c r="A41" s="176" t="inlineStr">
        <is>
          <t>02.A.16</t>
        </is>
      </c>
      <c r="B41" s="176" t="inlineStr">
        <is>
          <t>Consulting and supervision services</t>
        </is>
      </c>
      <c r="C41" s="176" t="n"/>
      <c r="D41" s="147" t="inlineStr">
        <is>
          <t>-</t>
        </is>
      </c>
      <c r="E41" s="61" t="n">
        <v>0</v>
      </c>
      <c r="F41" s="61" t="n"/>
      <c r="G41" s="61" t="n">
        <v>0</v>
      </c>
      <c r="H41" s="156">
        <f>IFERROR(F41-G41,"N/A")</f>
        <v/>
      </c>
      <c r="I41" s="161">
        <f>IFERROR(('[1]P&amp;L'!$F41-'[1]P&amp;L'!$G41)/ABS('[1]P&amp;L'!$G41),"N/A")</f>
        <v/>
      </c>
      <c r="J41" s="158" t="n"/>
      <c r="K41" s="184" t="n"/>
      <c r="L41" s="160">
        <f>IFERROR(F41-E41,"N/A")</f>
        <v/>
      </c>
      <c r="M41" s="161">
        <f>IFERROR(('[1]P&amp;L'!$F41-'[1]P&amp;L'!$E41)/ABS('[1]P&amp;L'!$E41),"N/A")</f>
        <v/>
      </c>
      <c r="N41" s="158" t="n"/>
      <c r="O41" s="184" t="n"/>
      <c r="P41" s="61" t="n">
        <v>0</v>
      </c>
      <c r="Q41" s="61" t="n"/>
      <c r="R41" s="61" t="n">
        <v>0</v>
      </c>
      <c r="S41" s="175">
        <f>IFERROR(Q41-R41,"N/A")</f>
        <v/>
      </c>
      <c r="T41" s="161">
        <f>IFERROR(('[1]P&amp;L'!$Q41-'[1]P&amp;L'!$R41)/ABS('[1]P&amp;L'!$R41),"N/A")</f>
        <v/>
      </c>
      <c r="U41" s="158" t="n"/>
      <c r="V41" s="184" t="n"/>
      <c r="W41" s="160">
        <f>IFERROR(Q41-P41,"N/A")</f>
        <v/>
      </c>
      <c r="X41" s="161">
        <f>IFERROR(('[1]P&amp;L'!$Q41-'[1]P&amp;L'!$P41)/ABS('[1]P&amp;L'!$P41),"N/A")</f>
        <v/>
      </c>
      <c r="Y41" s="158" t="n"/>
      <c r="Z41" s="184" t="n"/>
    </row>
    <row r="42" ht="12.75" customHeight="1">
      <c r="A42" s="146" t="inlineStr">
        <is>
          <t>02.A.17</t>
        </is>
      </c>
      <c r="B42" s="146" t="inlineStr">
        <is>
          <t>Other (Cost of sales)</t>
        </is>
      </c>
      <c r="C42" s="146" t="n"/>
      <c r="D42" s="147" t="inlineStr">
        <is>
          <t>-</t>
        </is>
      </c>
      <c r="E42" s="61" t="n">
        <v>-3258.49887931892</v>
      </c>
      <c r="F42" s="61" t="n">
        <v>-711.1147819206477</v>
      </c>
      <c r="G42" s="61" t="n">
        <v>-1279.411764705882</v>
      </c>
      <c r="H42" s="156">
        <f>IFERROR(F42-G42,"N/A")</f>
        <v/>
      </c>
      <c r="I42" s="161">
        <f>IFERROR(('[1]P&amp;L'!$F42-'[1]P&amp;L'!$G42)/ABS('[1]P&amp;L'!$G42),"N/A")</f>
        <v/>
      </c>
      <c r="J42" s="158" t="inlineStr">
        <is>
          <t>N/A</t>
        </is>
      </c>
      <c r="K42" s="184" t="n"/>
      <c r="L42" s="160">
        <f>IFERROR(F42-E42,"N/A")</f>
        <v/>
      </c>
      <c r="M42" s="161">
        <f>IFERROR(('[1]P&amp;L'!$F42-'[1]P&amp;L'!$E42)/ABS('[1]P&amp;L'!$E42),"N/A")</f>
        <v/>
      </c>
      <c r="N42" s="158" t="inlineStr">
        <is>
          <t>N/A</t>
        </is>
      </c>
      <c r="O42" s="184" t="n"/>
      <c r="P42" s="61" t="n">
        <v>-23203.78752459897</v>
      </c>
      <c r="Q42" s="61" t="n">
        <v>-20737.65960399989</v>
      </c>
      <c r="R42" s="61" t="n">
        <v>-11082.94117647059</v>
      </c>
      <c r="S42" s="175">
        <f>IFERROR(Q42-R42,"N/A")</f>
        <v/>
      </c>
      <c r="T42" s="161">
        <f>IFERROR(('[1]P&amp;L'!$Q42-'[1]P&amp;L'!$R42)/ABS('[1]P&amp;L'!$R42),"N/A")</f>
        <v/>
      </c>
      <c r="U42" s="158" t="inlineStr">
        <is>
          <t>N/A</t>
        </is>
      </c>
      <c r="V42" s="184" t="n"/>
      <c r="W42" s="160">
        <f>IFERROR(Q42-P42,"N/A")</f>
        <v/>
      </c>
      <c r="X42" s="161">
        <f>IFERROR(('[1]P&amp;L'!$Q42-'[1]P&amp;L'!$P42)/ABS('[1]P&amp;L'!$P42),"N/A")</f>
        <v/>
      </c>
      <c r="Y42" s="158" t="inlineStr">
        <is>
          <t>N/A</t>
        </is>
      </c>
      <c r="Z42" s="184" t="n"/>
    </row>
    <row r="43" ht="12.75" customHeight="1">
      <c r="A43" s="146" t="inlineStr">
        <is>
          <t>02.A.18</t>
        </is>
      </c>
      <c r="B43" s="146" t="inlineStr">
        <is>
          <t>Change in work in progress balance</t>
        </is>
      </c>
      <c r="C43" s="146" t="n"/>
      <c r="D43" s="147" t="inlineStr">
        <is>
          <t>+/-</t>
        </is>
      </c>
      <c r="E43" s="61" t="n">
        <v>0</v>
      </c>
      <c r="F43" s="61" t="n">
        <v>0</v>
      </c>
      <c r="G43" s="61" t="n">
        <v>0</v>
      </c>
      <c r="H43" s="156">
        <f>IFERROR(F43-G43,"N/A")</f>
        <v/>
      </c>
      <c r="I43" s="161">
        <f>IFERROR(('[1]P&amp;L'!$F43-'[1]P&amp;L'!$G43)/ABS('[1]P&amp;L'!$G43),"N/A")</f>
        <v/>
      </c>
      <c r="J43" s="158" t="n"/>
      <c r="K43" s="184" t="n"/>
      <c r="L43" s="160">
        <f>IFERROR(F43-E43,"N/A")</f>
        <v/>
      </c>
      <c r="M43" s="161">
        <f>IFERROR(('[1]P&amp;L'!$F43-'[1]P&amp;L'!$E43)/ABS('[1]P&amp;L'!$E43),"N/A")</f>
        <v/>
      </c>
      <c r="N43" s="158" t="n"/>
      <c r="O43" s="184" t="n"/>
      <c r="P43" s="61" t="n">
        <v>0</v>
      </c>
      <c r="Q43" s="61" t="n">
        <v>0</v>
      </c>
      <c r="R43" s="61" t="n">
        <v>0</v>
      </c>
      <c r="S43" s="175">
        <f>IFERROR(Q43-R43,"N/A")</f>
        <v/>
      </c>
      <c r="T43" s="161">
        <f>IFERROR(('[1]P&amp;L'!$Q43-'[1]P&amp;L'!$R43)/ABS('[1]P&amp;L'!$R43),"N/A")</f>
        <v/>
      </c>
      <c r="U43" s="158" t="n"/>
      <c r="V43" s="184" t="n"/>
      <c r="W43" s="160">
        <f>IFERROR(Q43-P43,"N/A")</f>
        <v/>
      </c>
      <c r="X43" s="161">
        <f>IFERROR(('[1]P&amp;L'!$Q43-'[1]P&amp;L'!$P43)/ABS('[1]P&amp;L'!$P43),"N/A")</f>
        <v/>
      </c>
      <c r="Y43" s="158" t="n"/>
      <c r="Z43" s="184" t="n"/>
    </row>
    <row r="44" ht="12.75" customHeight="1">
      <c r="A44" s="146" t="inlineStr">
        <is>
          <t>02.A.19</t>
        </is>
      </c>
      <c r="B44" s="146" t="inlineStr">
        <is>
          <t>Change in finished goods balance</t>
        </is>
      </c>
      <c r="C44" s="146" t="n"/>
      <c r="D44" s="147" t="inlineStr">
        <is>
          <t>-/+</t>
        </is>
      </c>
      <c r="E44" s="61" t="n">
        <v>0</v>
      </c>
      <c r="F44" s="61" t="n"/>
      <c r="G44" s="61" t="n">
        <v>0</v>
      </c>
      <c r="H44" s="156">
        <f>IFERROR(F44-G44,"N/A")</f>
        <v/>
      </c>
      <c r="I44" s="161">
        <f>IFERROR(('[1]P&amp;L'!$F44-'[1]P&amp;L'!$G44)/ABS('[1]P&amp;L'!$G44),"N/A")</f>
        <v/>
      </c>
      <c r="J44" s="158" t="n"/>
      <c r="K44" s="184" t="n"/>
      <c r="L44" s="160">
        <f>IFERROR(F44-E44,"N/A")</f>
        <v/>
      </c>
      <c r="M44" s="161">
        <f>IFERROR(('[1]P&amp;L'!$F44-'[1]P&amp;L'!$E44)/ABS('[1]P&amp;L'!$E44),"N/A")</f>
        <v/>
      </c>
      <c r="N44" s="158" t="n"/>
      <c r="O44" s="184" t="n"/>
      <c r="P44" s="61" t="n">
        <v>0</v>
      </c>
      <c r="Q44" s="61" t="n"/>
      <c r="R44" s="61" t="n">
        <v>0</v>
      </c>
      <c r="S44" s="175">
        <f>IFERROR(Q44-R44,"N/A")</f>
        <v/>
      </c>
      <c r="T44" s="161">
        <f>IFERROR(('[1]P&amp;L'!$Q44-'[1]P&amp;L'!$R44)/ABS('[1]P&amp;L'!$R44),"N/A")</f>
        <v/>
      </c>
      <c r="U44" s="158" t="n"/>
      <c r="V44" s="184" t="n"/>
      <c r="W44" s="160">
        <f>IFERROR(Q44-P44,"N/A")</f>
        <v/>
      </c>
      <c r="X44" s="161">
        <f>IFERROR(('[1]P&amp;L'!$Q44-'[1]P&amp;L'!$P44)/ABS('[1]P&amp;L'!$P44),"N/A")</f>
        <v/>
      </c>
      <c r="Y44" s="158" t="n"/>
      <c r="Z44" s="184" t="n"/>
    </row>
    <row r="45" ht="12.75" customFormat="1" customHeight="1" s="174">
      <c r="A45" s="170" t="inlineStr">
        <is>
          <t>GP</t>
        </is>
      </c>
      <c r="B45" s="170" t="inlineStr">
        <is>
          <t>Gross profit</t>
        </is>
      </c>
      <c r="C45" s="170" t="n"/>
      <c r="D45" s="171" t="inlineStr">
        <is>
          <t>+</t>
        </is>
      </c>
      <c r="E45" s="172">
        <f>SUM(E11,E22)</f>
        <v/>
      </c>
      <c r="F45" s="172" t="n">
        <v>-6433.73</v>
      </c>
      <c r="G45" s="172">
        <f>SUM(G11,G22)</f>
        <v/>
      </c>
      <c r="H45" s="135">
        <f>IFERROR(F45-G45,"N/A")</f>
        <v/>
      </c>
      <c r="I45" s="133">
        <f>IFERROR(('[1]P&amp;L'!$F45-'[1]P&amp;L'!$G45)/ABS('[1]P&amp;L'!$G45),"N/A")</f>
        <v/>
      </c>
      <c r="J45" s="134" t="n"/>
      <c r="K45" s="134" t="n"/>
      <c r="L45" s="135">
        <f>IFERROR(F45-E45,"N/A")</f>
        <v/>
      </c>
      <c r="M45" s="133">
        <f>IFERROR(('[1]P&amp;L'!$F45-'[1]P&amp;L'!$E45)/ABS('[1]P&amp;L'!$E45),"N/A")</f>
        <v/>
      </c>
      <c r="N45" s="134" t="n"/>
      <c r="O45" s="134" t="n"/>
      <c r="P45" s="172">
        <f>SUM(P11,P22)</f>
        <v/>
      </c>
      <c r="Q45" s="172" t="n">
        <v>-6433.73</v>
      </c>
      <c r="R45" s="172">
        <f>SUM(R11,R22)</f>
        <v/>
      </c>
      <c r="S45" s="134">
        <f>IFERROR(Q45-R45,"N/A")</f>
        <v/>
      </c>
      <c r="T45" s="133">
        <f>IFERROR(('[1]P&amp;L'!$Q45-'[1]P&amp;L'!$R45)/ABS('[1]P&amp;L'!$R45),"N/A")</f>
        <v/>
      </c>
      <c r="U45" s="134" t="n"/>
      <c r="V45" s="134" t="n"/>
      <c r="W45" s="135">
        <f>IFERROR(Q45-P45,"N/A")</f>
        <v/>
      </c>
      <c r="X45" s="173">
        <f>IFERROR(('[1]P&amp;L'!$Q45-'[1]P&amp;L'!$P45)/ABS('[1]P&amp;L'!$P45),"N/A")</f>
        <v/>
      </c>
      <c r="Y45" s="134" t="n"/>
      <c r="Z45" s="134" t="n"/>
    </row>
    <row r="46" ht="12.75" customHeight="1">
      <c r="A46" s="152" t="inlineStr">
        <is>
          <t>02.B</t>
        </is>
      </c>
      <c r="B46" s="152" t="inlineStr">
        <is>
          <t>Administrative expenses</t>
        </is>
      </c>
      <c r="C46" s="152" t="n"/>
      <c r="D46" s="153" t="inlineStr">
        <is>
          <t>-</t>
        </is>
      </c>
      <c r="E46" s="143">
        <f>SUM(E47:E48,E52:E65)</f>
        <v/>
      </c>
      <c r="F46" s="143" t="n">
        <v>-1407.79</v>
      </c>
      <c r="G46" s="143">
        <f>SUM(G47:G48,G52:G65)</f>
        <v/>
      </c>
      <c r="H46" s="154">
        <f>IFERROR(F46-G46,"N/A")</f>
        <v/>
      </c>
      <c r="I46" s="155">
        <f>IFERROR(('[1]P&amp;L'!$F46-'[1]P&amp;L'!$G46)/ABS('[1]P&amp;L'!$G46),"N/A")</f>
        <v/>
      </c>
      <c r="J46" s="143" t="n"/>
      <c r="K46" s="143" t="n"/>
      <c r="L46" s="154">
        <f>IFERROR(F46-E46,"N/A")</f>
        <v/>
      </c>
      <c r="M46" s="155">
        <f>IFERROR(('[1]P&amp;L'!$F46-'[1]P&amp;L'!$E46)/ABS('[1]P&amp;L'!$E46),"N/A")</f>
        <v/>
      </c>
      <c r="N46" s="143" t="n"/>
      <c r="O46" s="143" t="n"/>
      <c r="P46" s="143">
        <f>SUM(P47:P48,P52:P65)</f>
        <v/>
      </c>
      <c r="Q46" s="143" t="n">
        <v>-1407.79</v>
      </c>
      <c r="R46" s="143">
        <f>SUM(R47:R48,R52:R65)</f>
        <v/>
      </c>
      <c r="S46" s="143">
        <f>IFERROR(Q46-R46,"N/A")</f>
        <v/>
      </c>
      <c r="T46" s="155">
        <f>IFERROR(('[1]P&amp;L'!$Q46-'[1]P&amp;L'!$R46)/ABS('[1]P&amp;L'!$R46),"N/A")</f>
        <v/>
      </c>
      <c r="U46" s="143" t="n"/>
      <c r="V46" s="143" t="n"/>
      <c r="W46" s="154">
        <f>IFERROR(Q46-P46,"N/A")</f>
        <v/>
      </c>
      <c r="X46" s="155">
        <f>IFERROR(('[1]P&amp;L'!$Q46-'[1]P&amp;L'!$P46)/ABS('[1]P&amp;L'!$P46),"N/A")</f>
        <v/>
      </c>
      <c r="Y46" s="143" t="n"/>
      <c r="Z46" s="143" t="n"/>
    </row>
    <row r="47" ht="12.75" customHeight="1">
      <c r="A47" s="146" t="inlineStr">
        <is>
          <t>02.B.01</t>
        </is>
      </c>
      <c r="B47" s="146" t="inlineStr">
        <is>
          <t>Wages, salaries, SSPF and other employee expenses</t>
        </is>
      </c>
      <c r="C47" s="146" t="n"/>
      <c r="D47" s="147" t="inlineStr">
        <is>
          <t>-</t>
        </is>
      </c>
      <c r="E47" s="61" t="n">
        <v>-5123.786184307914</v>
      </c>
      <c r="F47" s="61" t="n">
        <v>-3640.412434000155</v>
      </c>
      <c r="G47" s="61" t="n">
        <v>-5576.470588235295</v>
      </c>
      <c r="H47" s="156">
        <f>IFERROR(F47-G47,"N/A")</f>
        <v/>
      </c>
      <c r="I47" s="161">
        <f>IFERROR(('[1]P&amp;L'!$F47-'[1]P&amp;L'!$G47)/ABS('[1]P&amp;L'!$G47),"N/A")</f>
        <v/>
      </c>
      <c r="J47" s="158" t="inlineStr">
        <is>
          <t>There are no significant variances observed in salaries, and foreign exchange (FX) fluctuations appear to be the main contributing factor to the stable salary levels.</t>
        </is>
      </c>
      <c r="K47" s="184" t="n"/>
      <c r="L47" s="160">
        <f>IFERROR(F47-E47,"N/A")</f>
        <v/>
      </c>
      <c r="M47" s="161">
        <f>IFERROR(('[1]P&amp;L'!$F47-'[1]P&amp;L'!$E47)/ABS('[1]P&amp;L'!$E47),"N/A")</f>
        <v/>
      </c>
      <c r="N47" s="158" t="inlineStr">
        <is>
          <t>There are no significant variances observed in salaries, and foreign exchange (FX) fluctuations appear to be the main contributing factor to the stable salary levels.</t>
        </is>
      </c>
      <c r="O47" s="184" t="n"/>
      <c r="P47" s="61" t="n">
        <v>-32435.98260207254</v>
      </c>
      <c r="Q47" s="61" t="n">
        <v>-39845.07013689274</v>
      </c>
      <c r="R47" s="61" t="n">
        <v>-38711.76470588236</v>
      </c>
      <c r="S47" s="175">
        <f>IFERROR(Q47-R47,"N/A")</f>
        <v/>
      </c>
      <c r="T47" s="161">
        <f>IFERROR(('[1]P&amp;L'!$Q47-'[1]P&amp;L'!$R47)/ABS('[1]P&amp;L'!$R47),"N/A")</f>
        <v/>
      </c>
      <c r="U47" s="158" t="inlineStr">
        <is>
          <t>There are no significant variances observed in salaries, and foreign exchange (FX) fluctuations appear to be the main contributing factor to the stable salary levels.</t>
        </is>
      </c>
      <c r="V47" s="184" t="n"/>
      <c r="W47" s="160">
        <f>IFERROR(Q47-P47,"N/A")</f>
        <v/>
      </c>
      <c r="X47" s="161">
        <f>IFERROR(('[1]P&amp;L'!$Q47-'[1]P&amp;L'!$P47)/ABS('[1]P&amp;L'!$P47),"N/A")</f>
        <v/>
      </c>
      <c r="Y47" s="158" t="inlineStr">
        <is>
          <t>There are no significant variances observed in salaries, and foreign exchange (FX) fluctuations appear to be the main contributing factor to the stable salary levels.</t>
        </is>
      </c>
      <c r="Z47" s="184" t="n"/>
    </row>
    <row r="48" ht="25.5" customHeight="1">
      <c r="A48" s="163" t="inlineStr">
        <is>
          <t>02.B.02</t>
        </is>
      </c>
      <c r="B48" s="163" t="inlineStr">
        <is>
          <t>Depreciation (property, plant and equipment and right-of-use assets) and amortization</t>
        </is>
      </c>
      <c r="C48" s="163" t="n"/>
      <c r="D48" s="153" t="inlineStr">
        <is>
          <t>-</t>
        </is>
      </c>
      <c r="E48" s="167">
        <f>SUM(E49:E51)</f>
        <v/>
      </c>
      <c r="F48" s="167">
        <f>SUM(F49:F51)</f>
        <v/>
      </c>
      <c r="G48" s="167">
        <f>SUM(G49:G51)</f>
        <v/>
      </c>
      <c r="H48" s="165">
        <f>IFERROR(F48-G48,"N/A")</f>
        <v/>
      </c>
      <c r="I48" s="166">
        <f>IFERROR(('[1]P&amp;L'!$F48-'[1]P&amp;L'!$G48)/ABS('[1]P&amp;L'!$G48),"N/A")</f>
        <v/>
      </c>
      <c r="J48" s="167" t="n"/>
      <c r="K48" s="143" t="n"/>
      <c r="L48" s="165">
        <f>IFERROR(F48-E48,"N/A")</f>
        <v/>
      </c>
      <c r="M48" s="166">
        <f>IFERROR(('[1]P&amp;L'!$F48-'[1]P&amp;L'!$E48)/ABS('[1]P&amp;L'!$E48),"N/A")</f>
        <v/>
      </c>
      <c r="N48" s="167" t="n"/>
      <c r="O48" s="143" t="n"/>
      <c r="P48" s="167">
        <f>SUM(P49:P51)</f>
        <v/>
      </c>
      <c r="Q48" s="167">
        <f>SUM(Q49:Q51)</f>
        <v/>
      </c>
      <c r="R48" s="167">
        <f>SUM(R49:R51)</f>
        <v/>
      </c>
      <c r="S48" s="167">
        <f>IFERROR(Q48-R48,"N/A")</f>
        <v/>
      </c>
      <c r="T48" s="166">
        <f>IFERROR(('[1]P&amp;L'!$Q48-'[1]P&amp;L'!$R48)/ABS('[1]P&amp;L'!$R48),"N/A")</f>
        <v/>
      </c>
      <c r="U48" s="167" t="n"/>
      <c r="V48" s="143" t="n"/>
      <c r="W48" s="165">
        <f>IFERROR(Q48-P48,"N/A")</f>
        <v/>
      </c>
      <c r="X48" s="166">
        <f>IFERROR(('[1]P&amp;L'!$Q48-'[1]P&amp;L'!$P48)/ABS('[1]P&amp;L'!$P48),"N/A")</f>
        <v/>
      </c>
      <c r="Y48" s="167" t="n"/>
      <c r="Z48" s="143" t="n"/>
    </row>
    <row r="49" ht="25.5" customHeight="1">
      <c r="A49" s="178" t="inlineStr">
        <is>
          <t>02.B.02.01</t>
        </is>
      </c>
      <c r="B49" s="178" t="inlineStr">
        <is>
          <t>Depreciation (property, plant and equipment)</t>
        </is>
      </c>
      <c r="C49" s="178" t="n"/>
      <c r="D49" s="147" t="inlineStr">
        <is>
          <t>-</t>
        </is>
      </c>
      <c r="E49" s="61" t="n">
        <v>-850.5018393789907</v>
      </c>
      <c r="F49" s="61" t="n">
        <v>-2318.279738975253</v>
      </c>
      <c r="G49" s="61" t="n">
        <v>-1570.588235294118</v>
      </c>
      <c r="H49" s="156">
        <f>IFERROR(F49-G49,"N/A")</f>
        <v/>
      </c>
      <c r="I49" s="161">
        <f>IFERROR(('[1]P&amp;L'!$F49-'[1]P&amp;L'!$G49)/ABS('[1]P&amp;L'!$G49),"N/A")</f>
        <v/>
      </c>
      <c r="J49" s="158" t="inlineStr">
        <is>
          <t>N/A</t>
        </is>
      </c>
      <c r="K49" s="184" t="n"/>
      <c r="L49" s="160">
        <f>IFERROR(F49-E49,"N/A")</f>
        <v/>
      </c>
      <c r="M49" s="161">
        <f>IFERROR(('[1]P&amp;L'!$F49-'[1]P&amp;L'!$E49)/ABS('[1]P&amp;L'!$E49),"N/A")</f>
        <v/>
      </c>
      <c r="N49" s="158" t="n"/>
      <c r="O49" s="184" t="n"/>
      <c r="P49" s="61" t="n">
        <v>-24775.39608068173</v>
      </c>
      <c r="Q49" s="61" t="n">
        <v>-22693.75750725136</v>
      </c>
      <c r="R49" s="61" t="n">
        <v>-18617.05882352941</v>
      </c>
      <c r="S49" s="175">
        <f>IFERROR(Q49-R49,"N/A")</f>
        <v/>
      </c>
      <c r="T49" s="161">
        <f>IFERROR(('[1]P&amp;L'!$Q49-'[1]P&amp;L'!$R49)/ABS('[1]P&amp;L'!$R49),"N/A")</f>
        <v/>
      </c>
      <c r="U49" s="158" t="n"/>
      <c r="V49" s="184" t="n"/>
      <c r="W49" s="160">
        <f>IFERROR(Q49-P49,"N/A")</f>
        <v/>
      </c>
      <c r="X49" s="161">
        <f>IFERROR(('[1]P&amp;L'!$Q49-'[1]P&amp;L'!$P49)/ABS('[1]P&amp;L'!$P49),"N/A")</f>
        <v/>
      </c>
      <c r="Y49" s="158" t="n"/>
      <c r="Z49" s="184" t="n"/>
    </row>
    <row r="50" ht="25.5" customHeight="1">
      <c r="A50" s="178" t="inlineStr">
        <is>
          <t>02.B.02.02</t>
        </is>
      </c>
      <c r="B50" s="178" t="inlineStr">
        <is>
          <t>Depreciation (right-of-use assets)</t>
        </is>
      </c>
      <c r="C50" s="178" t="n"/>
      <c r="D50" s="147" t="inlineStr">
        <is>
          <t>-</t>
        </is>
      </c>
      <c r="E50" s="61" t="n">
        <v>0</v>
      </c>
      <c r="F50" s="61" t="n">
        <v>0</v>
      </c>
      <c r="G50" s="61" t="n">
        <v>0</v>
      </c>
      <c r="H50" s="156">
        <f>IFERROR(F50-G50,"N/A")</f>
        <v/>
      </c>
      <c r="I50" s="161">
        <f>IFERROR(('[1]P&amp;L'!$F50-'[1]P&amp;L'!$G50)/ABS('[1]P&amp;L'!$G50),"N/A")</f>
        <v/>
      </c>
      <c r="J50" s="158" t="n"/>
      <c r="K50" s="184" t="n"/>
      <c r="L50" s="160">
        <f>IFERROR(F50-E50,"N/A")</f>
        <v/>
      </c>
      <c r="M50" s="161">
        <f>IFERROR(('[1]P&amp;L'!$F50-'[1]P&amp;L'!$E50)/ABS('[1]P&amp;L'!$E50),"N/A")</f>
        <v/>
      </c>
      <c r="N50" s="158" t="n"/>
      <c r="O50" s="184" t="n"/>
      <c r="P50" s="61" t="n">
        <v>0</v>
      </c>
      <c r="Q50" s="61" t="n">
        <v>0</v>
      </c>
      <c r="R50" s="61" t="n">
        <v>0</v>
      </c>
      <c r="S50" s="175">
        <f>IFERROR(Q50-R50,"N/A")</f>
        <v/>
      </c>
      <c r="T50" s="161">
        <f>IFERROR(('[1]P&amp;L'!$Q50-'[1]P&amp;L'!$R50)/ABS('[1]P&amp;L'!$R50),"N/A")</f>
        <v/>
      </c>
      <c r="U50" s="158" t="n"/>
      <c r="V50" s="184" t="n"/>
      <c r="W50" s="160">
        <f>IFERROR(Q50-P50,"N/A")</f>
        <v/>
      </c>
      <c r="X50" s="161">
        <f>IFERROR(('[1]P&amp;L'!$Q50-'[1]P&amp;L'!$P50)/ABS('[1]P&amp;L'!$P50),"N/A")</f>
        <v/>
      </c>
      <c r="Y50" s="158" t="n"/>
      <c r="Z50" s="184" t="n"/>
    </row>
    <row r="51" ht="25.5" customHeight="1">
      <c r="A51" s="178" t="inlineStr">
        <is>
          <t>02.B.02.03</t>
        </is>
      </c>
      <c r="B51" s="178" t="inlineStr">
        <is>
          <t>Amortization (intangible assets)</t>
        </is>
      </c>
      <c r="C51" s="178" t="inlineStr">
        <is>
          <t>Amortizasiya (qeyri-maddi aktivləri)</t>
        </is>
      </c>
      <c r="D51" s="147" t="inlineStr">
        <is>
          <t>-</t>
        </is>
      </c>
      <c r="E51" s="61" t="n">
        <v>0</v>
      </c>
      <c r="F51" s="61" t="n">
        <v>0</v>
      </c>
      <c r="G51" s="61" t="n">
        <v>0</v>
      </c>
      <c r="H51" s="156">
        <f>IFERROR(F51-G51,"N/A")</f>
        <v/>
      </c>
      <c r="I51" s="161">
        <f>IFERROR(('[1]P&amp;L'!$F51-'[1]P&amp;L'!$G51)/ABS('[1]P&amp;L'!$G51),"N/A")</f>
        <v/>
      </c>
      <c r="J51" s="158" t="n"/>
      <c r="K51" s="184" t="n"/>
      <c r="L51" s="160">
        <f>IFERROR(F51-E51,"N/A")</f>
        <v/>
      </c>
      <c r="M51" s="161">
        <f>IFERROR(('[1]P&amp;L'!$F51-'[1]P&amp;L'!$E51)/ABS('[1]P&amp;L'!$E51),"N/A")</f>
        <v/>
      </c>
      <c r="N51" s="158" t="n"/>
      <c r="O51" s="184" t="n"/>
      <c r="P51" s="61" t="n">
        <v>0</v>
      </c>
      <c r="Q51" s="61" t="n">
        <v>0</v>
      </c>
      <c r="R51" s="61" t="n">
        <v>0</v>
      </c>
      <c r="S51" s="175">
        <f>IFERROR(Q51-R51,"N/A")</f>
        <v/>
      </c>
      <c r="T51" s="161">
        <f>IFERROR(('[1]P&amp;L'!$Q51-'[1]P&amp;L'!$R51)/ABS('[1]P&amp;L'!$R51),"N/A")</f>
        <v/>
      </c>
      <c r="U51" s="158" t="n"/>
      <c r="V51" s="184" t="n"/>
      <c r="W51" s="160">
        <f>IFERROR(Q51-P51,"N/A")</f>
        <v/>
      </c>
      <c r="X51" s="161">
        <f>IFERROR(('[1]P&amp;L'!$Q51-'[1]P&amp;L'!$P51)/ABS('[1]P&amp;L'!$P51),"N/A")</f>
        <v/>
      </c>
      <c r="Y51" s="158" t="n"/>
      <c r="Z51" s="184" t="n"/>
    </row>
    <row r="52" ht="12.75" customHeight="1">
      <c r="A52" s="146" t="inlineStr">
        <is>
          <t>02.B.03</t>
        </is>
      </c>
      <c r="B52" s="146" t="inlineStr">
        <is>
          <t>Raw materials and consumables used</t>
        </is>
      </c>
      <c r="C52" s="146" t="n"/>
      <c r="D52" s="147" t="inlineStr">
        <is>
          <t>-</t>
        </is>
      </c>
      <c r="E52" s="61" t="n">
        <v>0</v>
      </c>
      <c r="F52" s="61" t="n">
        <v>-122.1994365099781</v>
      </c>
      <c r="G52" s="61" t="n">
        <v>-175.8823529411765</v>
      </c>
      <c r="H52" s="156">
        <f>IFERROR(F52-G52,"N/A")</f>
        <v/>
      </c>
      <c r="I52" s="161">
        <f>IFERROR(('[1]P&amp;L'!$F52-'[1]P&amp;L'!$G52)/ABS('[1]P&amp;L'!$G52),"N/A")</f>
        <v/>
      </c>
      <c r="J52" s="158" t="inlineStr">
        <is>
          <t>Temporary Difference</t>
        </is>
      </c>
      <c r="K52" s="184" t="n"/>
      <c r="L52" s="160">
        <f>IFERROR(F52-E52,"N/A")</f>
        <v/>
      </c>
      <c r="M52" s="161">
        <f>IFERROR(('[1]P&amp;L'!$F52-'[1]P&amp;L'!$E52)/ABS('[1]P&amp;L'!$E52),"N/A")</f>
        <v/>
      </c>
      <c r="N52" s="158" t="inlineStr">
        <is>
          <t>N/A</t>
        </is>
      </c>
      <c r="O52" s="184" t="n"/>
      <c r="P52" s="61" t="n">
        <v>0</v>
      </c>
      <c r="Q52" s="61" t="n">
        <v>-1210.404497215142</v>
      </c>
      <c r="R52" s="61" t="n">
        <v>-2071.176470588235</v>
      </c>
      <c r="S52" s="175">
        <f>IFERROR(Q52-R52,"N/A")</f>
        <v/>
      </c>
      <c r="T52" s="161">
        <f>IFERROR(('[1]P&amp;L'!$Q52-'[1]P&amp;L'!$R52)/ABS('[1]P&amp;L'!$R52),"N/A")</f>
        <v/>
      </c>
      <c r="U52" s="158" t="n"/>
      <c r="V52" s="184" t="n"/>
      <c r="W52" s="160">
        <f>IFERROR(Q52-P52,"N/A")</f>
        <v/>
      </c>
      <c r="X52" s="161">
        <f>IFERROR(('[1]P&amp;L'!$Q52-'[1]P&amp;L'!$P52)/ABS('[1]P&amp;L'!$P52),"N/A")</f>
        <v/>
      </c>
      <c r="Y52" s="158" t="inlineStr">
        <is>
          <t>N/A</t>
        </is>
      </c>
      <c r="Z52" s="184" t="n"/>
    </row>
    <row r="53" ht="12.75" customHeight="1">
      <c r="A53" s="146" t="inlineStr">
        <is>
          <t>02.B.04</t>
        </is>
      </c>
      <c r="B53" s="146" t="inlineStr">
        <is>
          <t>Utilities expenses</t>
        </is>
      </c>
      <c r="C53" s="146" t="n"/>
      <c r="D53" s="147" t="inlineStr">
        <is>
          <t>-</t>
        </is>
      </c>
      <c r="E53" s="61" t="n">
        <v>-361.493736466397</v>
      </c>
      <c r="F53" s="61" t="n">
        <v>-269.9338865445371</v>
      </c>
      <c r="G53" s="61" t="n">
        <v>-278.2352941176471</v>
      </c>
      <c r="H53" s="156">
        <f>IFERROR(F53-G53,"N/A")</f>
        <v/>
      </c>
      <c r="I53" s="161">
        <f>IFERROR(('[1]P&amp;L'!$F53-'[1]P&amp;L'!$G53)/ABS('[1]P&amp;L'!$G53),"N/A")</f>
        <v/>
      </c>
      <c r="J53" s="158" t="n"/>
      <c r="K53" s="184" t="n"/>
      <c r="L53" s="160">
        <f>IFERROR(F53-E53,"N/A")</f>
        <v/>
      </c>
      <c r="M53" s="161">
        <f>IFERROR(('[1]P&amp;L'!$F53-'[1]P&amp;L'!$E53)/ABS('[1]P&amp;L'!$E53),"N/A")</f>
        <v/>
      </c>
      <c r="N53" s="158" t="n"/>
      <c r="O53" s="184" t="n"/>
      <c r="P53" s="61" t="n">
        <v>-3156.411937407331</v>
      </c>
      <c r="Q53" s="61" t="n">
        <v>-2911.121100679062</v>
      </c>
      <c r="R53" s="61" t="n">
        <v>-2857.058823529412</v>
      </c>
      <c r="S53" s="175">
        <f>IFERROR(Q53-R53,"N/A")</f>
        <v/>
      </c>
      <c r="T53" s="161">
        <f>IFERROR(('[1]P&amp;L'!$Q53-'[1]P&amp;L'!$R53)/ABS('[1]P&amp;L'!$R53),"N/A")</f>
        <v/>
      </c>
      <c r="U53" s="158" t="n"/>
      <c r="V53" s="184" t="n"/>
      <c r="W53" s="160">
        <f>IFERROR(Q53-P53,"N/A")</f>
        <v/>
      </c>
      <c r="X53" s="161">
        <f>IFERROR(('[1]P&amp;L'!$Q53-'[1]P&amp;L'!$P53)/ABS('[1]P&amp;L'!$P53),"N/A")</f>
        <v/>
      </c>
      <c r="Y53" s="158" t="n"/>
      <c r="Z53" s="184" t="n"/>
    </row>
    <row r="54" ht="12.75" customHeight="1">
      <c r="A54" s="146" t="inlineStr">
        <is>
          <t>02.B.05</t>
        </is>
      </c>
      <c r="B54" s="146" t="inlineStr">
        <is>
          <t>Repairs and maintenance expenses</t>
        </is>
      </c>
      <c r="C54" s="146" t="n"/>
      <c r="D54" s="147" t="inlineStr">
        <is>
          <t>-</t>
        </is>
      </c>
      <c r="E54" s="61" t="n">
        <v>-172.9544845625967</v>
      </c>
      <c r="F54" s="61" t="n">
        <v>-175.6212091916422</v>
      </c>
      <c r="G54" s="61" t="n">
        <v>-160</v>
      </c>
      <c r="H54" s="156">
        <f>IFERROR(F54-G54,"N/A")</f>
        <v/>
      </c>
      <c r="I54" s="161">
        <f>IFERROR(('[1]P&amp;L'!$F54-'[1]P&amp;L'!$G54)/ABS('[1]P&amp;L'!$G54),"N/A")</f>
        <v/>
      </c>
      <c r="J54" s="158" t="n"/>
      <c r="K54" s="184" t="n"/>
      <c r="L54" s="160">
        <f>IFERROR(F54-E54,"N/A")</f>
        <v/>
      </c>
      <c r="M54" s="161">
        <f>IFERROR(('[1]P&amp;L'!$F54-'[1]P&amp;L'!$E54)/ABS('[1]P&amp;L'!$E54),"N/A")</f>
        <v/>
      </c>
      <c r="N54" s="158" t="n"/>
      <c r="O54" s="184" t="n"/>
      <c r="P54" s="61" t="n">
        <v>-1904.75521365216</v>
      </c>
      <c r="Q54" s="61" t="n">
        <v>-2403.202933834401</v>
      </c>
      <c r="R54" s="61" t="n">
        <v>-2634.117647058823</v>
      </c>
      <c r="S54" s="175">
        <f>IFERROR(Q54-R54,"N/A")</f>
        <v/>
      </c>
      <c r="T54" s="161">
        <f>IFERROR(('[1]P&amp;L'!$Q54-'[1]P&amp;L'!$R54)/ABS('[1]P&amp;L'!$R54),"N/A")</f>
        <v/>
      </c>
      <c r="U54" s="158" t="n"/>
      <c r="V54" s="184" t="n"/>
      <c r="W54" s="160">
        <f>IFERROR(Q54-P54,"N/A")</f>
        <v/>
      </c>
      <c r="X54" s="161">
        <f>IFERROR(('[1]P&amp;L'!$Q54-'[1]P&amp;L'!$P54)/ABS('[1]P&amp;L'!$P54),"N/A")</f>
        <v/>
      </c>
      <c r="Y54" s="158" t="n"/>
      <c r="Z54" s="184" t="n"/>
    </row>
    <row r="55" ht="25.5" customHeight="1">
      <c r="A55" s="146" t="inlineStr">
        <is>
          <t>02.B.06</t>
        </is>
      </c>
      <c r="B55" s="146" t="inlineStr">
        <is>
          <t>Taxes other than income</t>
        </is>
      </c>
      <c r="C55" s="146" t="n"/>
      <c r="D55" s="147" t="inlineStr">
        <is>
          <t>-</t>
        </is>
      </c>
      <c r="E55" s="61" t="n">
        <v>-4037.002231680237</v>
      </c>
      <c r="F55" s="61" t="n">
        <v>-494.8262778047825</v>
      </c>
      <c r="G55" s="61" t="n">
        <v>-42.35294117647059</v>
      </c>
      <c r="H55" s="156">
        <f>IFERROR(F55-G55,"N/A")</f>
        <v/>
      </c>
      <c r="I55" s="161">
        <f>IFERROR(('[1]P&amp;L'!$F55-'[1]P&amp;L'!$G55)/ABS('[1]P&amp;L'!$G55),"N/A")</f>
        <v/>
      </c>
      <c r="J55" s="158" t="n"/>
      <c r="K55" s="184" t="n"/>
      <c r="L55" s="160">
        <f>IFERROR(F55-E55,"N/A")</f>
        <v/>
      </c>
      <c r="M55" s="161">
        <f>IFERROR(('[1]P&amp;L'!$F55-'[1]P&amp;L'!$E55)/ABS('[1]P&amp;L'!$E55),"N/A")</f>
        <v/>
      </c>
      <c r="N55" s="158" t="n"/>
      <c r="O55" s="184" t="n"/>
      <c r="P55" s="61" t="n">
        <v>-4164.032104427698</v>
      </c>
      <c r="Q55" s="61" t="n">
        <v>-4614.420331672492</v>
      </c>
      <c r="R55" s="61" t="n">
        <v>-3711.764705882353</v>
      </c>
      <c r="S55" s="175">
        <f>IFERROR(Q55-R55,"N/A")</f>
        <v/>
      </c>
      <c r="T55" s="161">
        <f>IFERROR(('[1]P&amp;L'!$Q55-'[1]P&amp;L'!$R55)/ABS('[1]P&amp;L'!$R55),"N/A")</f>
        <v/>
      </c>
      <c r="U55" s="158" t="n"/>
      <c r="V55" s="184" t="n"/>
      <c r="W55" s="160">
        <f>IFERROR(Q55-P55,"N/A")</f>
        <v/>
      </c>
      <c r="X55" s="161">
        <f>IFERROR(('[1]P&amp;L'!$Q55-'[1]P&amp;L'!$P55)/ABS('[1]P&amp;L'!$P55),"N/A")</f>
        <v/>
      </c>
      <c r="Y55" s="158" t="n"/>
      <c r="Z55" s="184" t="n"/>
    </row>
    <row r="56" ht="12.75" customHeight="1">
      <c r="A56" s="146" t="inlineStr">
        <is>
          <t>02.B.07</t>
        </is>
      </c>
      <c r="B56" s="146" t="inlineStr">
        <is>
          <t>Rent expenses</t>
        </is>
      </c>
      <c r="C56" s="146" t="n"/>
      <c r="D56" s="147" t="inlineStr">
        <is>
          <t>-</t>
        </is>
      </c>
      <c r="E56" s="61" t="n">
        <v>-361.874826054774</v>
      </c>
      <c r="F56" s="61" t="n">
        <v>-389.5826801517075</v>
      </c>
      <c r="G56" s="61" t="n">
        <v>-314.7058823529412</v>
      </c>
      <c r="H56" s="156">
        <f>IFERROR(F56-G56,"N/A")</f>
        <v/>
      </c>
      <c r="I56" s="161">
        <f>IFERROR(('[1]P&amp;L'!$F56-'[1]P&amp;L'!$G56)/ABS('[1]P&amp;L'!$G56),"N/A")</f>
        <v/>
      </c>
      <c r="J56" s="158" t="inlineStr">
        <is>
          <t>The increase in rent expenses is attributed to the prevailing economic conditions. As a result of the economic environment, there has been an upward trend in rental costs, impacting the company's expenses</t>
        </is>
      </c>
      <c r="K56" s="184" t="n"/>
      <c r="L56" s="160">
        <f>IFERROR(F56-E56,"N/A")</f>
        <v/>
      </c>
      <c r="M56" s="161">
        <f>IFERROR(('[1]P&amp;L'!$F56-'[1]P&amp;L'!$E56)/ABS('[1]P&amp;L'!$E56),"N/A")</f>
        <v/>
      </c>
      <c r="N56" s="158" t="inlineStr">
        <is>
          <t>The increase in rent expenses is attributed to the prevailing economic conditions. As a result of the economic environment, there has been an upward trend in rental costs, impacting the company's expenses</t>
        </is>
      </c>
      <c r="O56" s="184" t="n"/>
      <c r="P56" s="61" t="n">
        <v>-4289.039909420518</v>
      </c>
      <c r="Q56" s="61" t="n">
        <v>-4593.345411615974</v>
      </c>
      <c r="R56" s="61" t="n">
        <v>-3744.705882352941</v>
      </c>
      <c r="S56" s="175">
        <f>IFERROR(Q56-R56,"N/A")</f>
        <v/>
      </c>
      <c r="T56" s="161">
        <f>IFERROR(('[1]P&amp;L'!$Q56-'[1]P&amp;L'!$R56)/ABS('[1]P&amp;L'!$R56),"N/A")</f>
        <v/>
      </c>
      <c r="U56" s="158" t="inlineStr">
        <is>
          <t>The increase in rent expenses is attributed to the prevailing economic conditions. As a result of the economic environment, there has been an upward trend in rental costs, impacting the company's expenses</t>
        </is>
      </c>
      <c r="V56" s="184" t="n"/>
      <c r="W56" s="160">
        <f>IFERROR(Q56-P56,"N/A")</f>
        <v/>
      </c>
      <c r="X56" s="161">
        <f>IFERROR(('[1]P&amp;L'!$Q56-'[1]P&amp;L'!$P56)/ABS('[1]P&amp;L'!$P56),"N/A")</f>
        <v/>
      </c>
      <c r="Y56" s="158" t="n"/>
      <c r="Z56" s="184" t="n"/>
    </row>
    <row r="57" ht="12.75" customHeight="1">
      <c r="A57" s="146" t="inlineStr">
        <is>
          <t>02.B.08</t>
        </is>
      </c>
      <c r="B57" s="146" t="inlineStr">
        <is>
          <t xml:space="preserve">Insurance expenses </t>
        </is>
      </c>
      <c r="C57" s="146" t="n"/>
      <c r="D57" s="147" t="inlineStr">
        <is>
          <t>-</t>
        </is>
      </c>
      <c r="E57" s="61" t="n">
        <v>-79.26584011843106</v>
      </c>
      <c r="F57" s="61" t="n">
        <v>-20.93935450286311</v>
      </c>
      <c r="G57" s="61" t="n">
        <v>-32.35294117647059</v>
      </c>
      <c r="H57" s="156">
        <f>IFERROR(F57-G57,"N/A")</f>
        <v/>
      </c>
      <c r="I57" s="161">
        <f>IFERROR(('[1]P&amp;L'!$F57-'[1]P&amp;L'!$G57)/ABS('[1]P&amp;L'!$G57),"N/A")</f>
        <v/>
      </c>
      <c r="J57" s="158" t="n"/>
      <c r="K57" s="184" t="n"/>
      <c r="L57" s="160">
        <f>IFERROR(F57-E57,"N/A")</f>
        <v/>
      </c>
      <c r="M57" s="161">
        <f>IFERROR(('[1]P&amp;L'!$F57-'[1]P&amp;L'!$E57)/ABS('[1]P&amp;L'!$E57),"N/A")</f>
        <v/>
      </c>
      <c r="N57" s="158" t="n"/>
      <c r="O57" s="184" t="n"/>
      <c r="P57" s="61" t="n">
        <v>-975.2751073279051</v>
      </c>
      <c r="Q57" s="61" t="n">
        <v>-245.9560422399048</v>
      </c>
      <c r="R57" s="61" t="n">
        <v>-370</v>
      </c>
      <c r="S57" s="175">
        <f>IFERROR(Q57-R57,"N/A")</f>
        <v/>
      </c>
      <c r="T57" s="161">
        <f>IFERROR(('[1]P&amp;L'!$Q57-'[1]P&amp;L'!$R57)/ABS('[1]P&amp;L'!$R57),"N/A")</f>
        <v/>
      </c>
      <c r="U57" s="158" t="n"/>
      <c r="V57" s="184" t="n"/>
      <c r="W57" s="160">
        <f>IFERROR(Q57-P57,"N/A")</f>
        <v/>
      </c>
      <c r="X57" s="161">
        <f>IFERROR(('[1]P&amp;L'!$Q57-'[1]P&amp;L'!$P57)/ABS('[1]P&amp;L'!$P57),"N/A")</f>
        <v/>
      </c>
      <c r="Y57" s="158" t="n"/>
      <c r="Z57" s="184" t="n"/>
    </row>
    <row r="58" ht="12.75" customHeight="1">
      <c r="A58" s="146" t="inlineStr">
        <is>
          <t>02.B.09</t>
        </is>
      </c>
      <c r="B58" s="146" t="inlineStr">
        <is>
          <t xml:space="preserve">Business trip expenses </t>
        </is>
      </c>
      <c r="C58" s="146" t="n"/>
      <c r="D58" s="147" t="inlineStr">
        <is>
          <t>-</t>
        </is>
      </c>
      <c r="E58" s="61" t="n">
        <v>-39.67427371090056</v>
      </c>
      <c r="F58" s="61" t="n">
        <v>-34.65508630666088</v>
      </c>
      <c r="G58" s="61" t="n">
        <v>-23.52941176470588</v>
      </c>
      <c r="H58" s="156">
        <f>IFERROR(F58-G58,"N/A")</f>
        <v/>
      </c>
      <c r="I58" s="161">
        <f>IFERROR(('[1]P&amp;L'!$F58-'[1]P&amp;L'!$G58)/ABS('[1]P&amp;L'!$G58),"N/A")</f>
        <v/>
      </c>
      <c r="J58" s="158" t="n"/>
      <c r="K58" s="184" t="n"/>
      <c r="L58" s="160">
        <f>IFERROR(F58-E58,"N/A")</f>
        <v/>
      </c>
      <c r="M58" s="161">
        <f>IFERROR(('[1]P&amp;L'!$F58-'[1]P&amp;L'!$E58)/ABS('[1]P&amp;L'!$E58),"N/A")</f>
        <v/>
      </c>
      <c r="N58" s="158" t="n"/>
      <c r="O58" s="184" t="n"/>
      <c r="P58" s="61" t="n">
        <v>-408.9335642823722</v>
      </c>
      <c r="Q58" s="61" t="n">
        <v>-435.7914384629014</v>
      </c>
      <c r="R58" s="61" t="n">
        <v>-396.4705882352941</v>
      </c>
      <c r="S58" s="175">
        <f>IFERROR(Q58-R58,"N/A")</f>
        <v/>
      </c>
      <c r="T58" s="161">
        <f>IFERROR(('[1]P&amp;L'!$Q58-'[1]P&amp;L'!$R58)/ABS('[1]P&amp;L'!$R58),"N/A")</f>
        <v/>
      </c>
      <c r="U58" s="158" t="n"/>
      <c r="V58" s="184" t="n"/>
      <c r="W58" s="160">
        <f>IFERROR(Q58-P58,"N/A")</f>
        <v/>
      </c>
      <c r="X58" s="161">
        <f>IFERROR(('[1]P&amp;L'!$Q58-'[1]P&amp;L'!$P58)/ABS('[1]P&amp;L'!$P58),"N/A")</f>
        <v/>
      </c>
      <c r="Y58" s="158" t="n"/>
      <c r="Z58" s="184" t="n"/>
    </row>
    <row r="59" ht="12.75" customHeight="1">
      <c r="A59" s="176" t="inlineStr">
        <is>
          <t>02.B.10</t>
        </is>
      </c>
      <c r="B59" s="176" t="inlineStr">
        <is>
          <t>Storage expense</t>
        </is>
      </c>
      <c r="C59" s="176" t="n"/>
      <c r="D59" s="147" t="inlineStr">
        <is>
          <t>-</t>
        </is>
      </c>
      <c r="E59" s="61" t="n">
        <v>0</v>
      </c>
      <c r="F59" s="61" t="n">
        <v>0</v>
      </c>
      <c r="G59" s="61" t="n">
        <v>-5.882352941176471</v>
      </c>
      <c r="H59" s="156">
        <f>IFERROR(F59-G59,"N/A")</f>
        <v/>
      </c>
      <c r="I59" s="161">
        <f>IFERROR(('[1]P&amp;L'!$F59-'[1]P&amp;L'!$G59)/ABS('[1]P&amp;L'!$G59),"N/A")</f>
        <v/>
      </c>
      <c r="J59" s="158" t="n"/>
      <c r="K59" s="184" t="n"/>
      <c r="L59" s="160">
        <f>IFERROR(F59-E59,"N/A")</f>
        <v/>
      </c>
      <c r="M59" s="161">
        <f>IFERROR(('[1]P&amp;L'!$F59-'[1]P&amp;L'!$E59)/ABS('[1]P&amp;L'!$E59),"N/A")</f>
        <v/>
      </c>
      <c r="N59" s="158" t="n"/>
      <c r="O59" s="184" t="n"/>
      <c r="P59" s="61" t="n">
        <v>0</v>
      </c>
      <c r="Q59" s="61" t="n">
        <v>0</v>
      </c>
      <c r="R59" s="61" t="n">
        <v>-23.52941176470588</v>
      </c>
      <c r="S59" s="175">
        <f>IFERROR(Q59-R59,"N/A")</f>
        <v/>
      </c>
      <c r="T59" s="161">
        <f>IFERROR(('[1]P&amp;L'!$Q59-'[1]P&amp;L'!$R59)/ABS('[1]P&amp;L'!$R59),"N/A")</f>
        <v/>
      </c>
      <c r="U59" s="158" t="n"/>
      <c r="V59" s="184" t="n"/>
      <c r="W59" s="160">
        <f>IFERROR(Q59-P59,"N/A")</f>
        <v/>
      </c>
      <c r="X59" s="161">
        <f>IFERROR(('[1]P&amp;L'!$Q59-'[1]P&amp;L'!$P59)/ABS('[1]P&amp;L'!$P59),"N/A")</f>
        <v/>
      </c>
      <c r="Y59" s="158" t="n"/>
      <c r="Z59" s="184" t="n"/>
    </row>
    <row r="60" ht="12.75" customHeight="1">
      <c r="A60" s="176" t="inlineStr">
        <is>
          <t>02.B.11</t>
        </is>
      </c>
      <c r="B60" s="176" t="inlineStr">
        <is>
          <t>Security services</t>
        </is>
      </c>
      <c r="C60" s="176" t="n"/>
      <c r="D60" s="147" t="inlineStr">
        <is>
          <t>-</t>
        </is>
      </c>
      <c r="E60" s="61" t="n">
        <v>0</v>
      </c>
      <c r="F60" s="61" t="n">
        <v>-74.83252026474317</v>
      </c>
      <c r="G60" s="61" t="n">
        <v>-53.52941176470588</v>
      </c>
      <c r="H60" s="156">
        <f>IFERROR(F60-G60,"N/A")</f>
        <v/>
      </c>
      <c r="I60" s="161">
        <f>IFERROR(('[1]P&amp;L'!$F60-'[1]P&amp;L'!$G60)/ABS('[1]P&amp;L'!$G60),"N/A")</f>
        <v/>
      </c>
      <c r="J60" s="158" t="n"/>
      <c r="K60" s="184" t="n"/>
      <c r="L60" s="160">
        <f>IFERROR(F60-E60,"N/A")</f>
        <v/>
      </c>
      <c r="M60" s="161">
        <f>IFERROR(('[1]P&amp;L'!$F60-'[1]P&amp;L'!$E60)/ABS('[1]P&amp;L'!$E60),"N/A")</f>
        <v/>
      </c>
      <c r="N60" s="158" t="n"/>
      <c r="O60" s="184" t="n"/>
      <c r="P60" s="61" t="n">
        <v>0</v>
      </c>
      <c r="Q60" s="61" t="n">
        <v>-841.110567412808</v>
      </c>
      <c r="R60" s="61" t="n">
        <v>-625.8823529411765</v>
      </c>
      <c r="S60" s="175">
        <f>IFERROR(Q60-R60,"N/A")</f>
        <v/>
      </c>
      <c r="T60" s="161">
        <f>IFERROR(('[1]P&amp;L'!$Q60-'[1]P&amp;L'!$R60)/ABS('[1]P&amp;L'!$R60),"N/A")</f>
        <v/>
      </c>
      <c r="U60" s="158" t="n"/>
      <c r="V60" s="184" t="n"/>
      <c r="W60" s="160">
        <f>IFERROR(Q60-P60,"N/A")</f>
        <v/>
      </c>
      <c r="X60" s="161">
        <f>IFERROR(('[1]P&amp;L'!$Q60-'[1]P&amp;L'!$P60)/ABS('[1]P&amp;L'!$P60),"N/A")</f>
        <v/>
      </c>
      <c r="Y60" s="158" t="n"/>
      <c r="Z60" s="184" t="n"/>
    </row>
    <row r="61" ht="12.75" customHeight="1">
      <c r="A61" s="176" t="inlineStr">
        <is>
          <t>02.B.12</t>
        </is>
      </c>
      <c r="B61" s="176" t="inlineStr">
        <is>
          <t>Communication and IT services</t>
        </is>
      </c>
      <c r="C61" s="176" t="n"/>
      <c r="D61" s="147" t="inlineStr">
        <is>
          <t>-</t>
        </is>
      </c>
      <c r="E61" s="61" t="n">
        <v>0</v>
      </c>
      <c r="F61" s="61" t="n">
        <v>-168.0953000669296</v>
      </c>
      <c r="G61" s="61" t="n">
        <v>-50</v>
      </c>
      <c r="H61" s="156">
        <f>IFERROR(F61-G61,"N/A")</f>
        <v/>
      </c>
      <c r="I61" s="161">
        <f>IFERROR(('[1]P&amp;L'!$F61-'[1]P&amp;L'!$G61)/ABS('[1]P&amp;L'!$G61),"N/A")</f>
        <v/>
      </c>
      <c r="J61" s="158" t="n"/>
      <c r="K61" s="184" t="n"/>
      <c r="L61" s="160">
        <f>IFERROR(F61-E61,"N/A")</f>
        <v/>
      </c>
      <c r="M61" s="161">
        <f>IFERROR(('[1]P&amp;L'!$F61-'[1]P&amp;L'!$E61)/ABS('[1]P&amp;L'!$E61),"N/A")</f>
        <v/>
      </c>
      <c r="N61" s="158" t="n"/>
      <c r="O61" s="184" t="n"/>
      <c r="P61" s="61" t="n">
        <v>0</v>
      </c>
      <c r="Q61" s="61" t="n">
        <v>-1636.358961169588</v>
      </c>
      <c r="R61" s="61" t="n">
        <v>-600</v>
      </c>
      <c r="S61" s="175">
        <f>IFERROR(Q61-R61,"N/A")</f>
        <v/>
      </c>
      <c r="T61" s="161">
        <f>IFERROR(('[1]P&amp;L'!$Q61-'[1]P&amp;L'!$R61)/ABS('[1]P&amp;L'!$R61),"N/A")</f>
        <v/>
      </c>
      <c r="U61" s="158" t="n"/>
      <c r="V61" s="184" t="n"/>
      <c r="W61" s="160">
        <f>IFERROR(Q61-P61,"N/A")</f>
        <v/>
      </c>
      <c r="X61" s="161">
        <f>IFERROR(('[1]P&amp;L'!$Q61-'[1]P&amp;L'!$P61)/ABS('[1]P&amp;L'!$P61),"N/A")</f>
        <v/>
      </c>
      <c r="Y61" s="158" t="n"/>
      <c r="Z61" s="184" t="n"/>
    </row>
    <row r="62" ht="12.75" customHeight="1">
      <c r="A62" s="176" t="inlineStr">
        <is>
          <t>02.B.13</t>
        </is>
      </c>
      <c r="B62" s="176" t="inlineStr">
        <is>
          <t>Automobile and special machinery services</t>
        </is>
      </c>
      <c r="C62" s="176" t="n"/>
      <c r="D62" s="147" t="inlineStr">
        <is>
          <t>-</t>
        </is>
      </c>
      <c r="E62" s="61" t="n">
        <v>0</v>
      </c>
      <c r="F62" s="61" t="n">
        <v>-63.46500917770702</v>
      </c>
      <c r="G62" s="61" t="n">
        <v>-42.35294117647059</v>
      </c>
      <c r="H62" s="156">
        <f>IFERROR(F62-G62,"N/A")</f>
        <v/>
      </c>
      <c r="I62" s="161">
        <f>IFERROR(('[1]P&amp;L'!$F62-'[1]P&amp;L'!$G62)/ABS('[1]P&amp;L'!$G62),"N/A")</f>
        <v/>
      </c>
      <c r="J62" s="158" t="n"/>
      <c r="K62" s="184" t="n"/>
      <c r="L62" s="160">
        <f>IFERROR(F62-E62,"N/A")</f>
        <v/>
      </c>
      <c r="M62" s="161">
        <f>IFERROR(('[1]P&amp;L'!$F62-'[1]P&amp;L'!$E62)/ABS('[1]P&amp;L'!$E62),"N/A")</f>
        <v/>
      </c>
      <c r="N62" s="158" t="n"/>
      <c r="O62" s="184" t="n"/>
      <c r="P62" s="61" t="n">
        <v>0</v>
      </c>
      <c r="Q62" s="61" t="n">
        <v>-558.5102540756318</v>
      </c>
      <c r="R62" s="61" t="n">
        <v>-416.4705882352941</v>
      </c>
      <c r="S62" s="175">
        <f>IFERROR(Q62-R62,"N/A")</f>
        <v/>
      </c>
      <c r="T62" s="161">
        <f>IFERROR(('[1]P&amp;L'!$Q62-'[1]P&amp;L'!$R62)/ABS('[1]P&amp;L'!$R62),"N/A")</f>
        <v/>
      </c>
      <c r="U62" s="158" t="n"/>
      <c r="V62" s="184" t="n"/>
      <c r="W62" s="160">
        <f>IFERROR(Q62-P62,"N/A")</f>
        <v/>
      </c>
      <c r="X62" s="161">
        <f>IFERROR(('[1]P&amp;L'!$Q62-'[1]P&amp;L'!$P62)/ABS('[1]P&amp;L'!$P62),"N/A")</f>
        <v/>
      </c>
      <c r="Y62" s="158" t="n"/>
      <c r="Z62" s="184" t="n"/>
    </row>
    <row r="63" ht="12.75" customHeight="1">
      <c r="A63" s="176" t="inlineStr">
        <is>
          <t>02.B.14</t>
        </is>
      </c>
      <c r="B63" s="176" t="inlineStr">
        <is>
          <t>Management services</t>
        </is>
      </c>
      <c r="C63" s="176" t="n"/>
      <c r="D63" s="147" t="inlineStr">
        <is>
          <t>-</t>
        </is>
      </c>
      <c r="E63" s="61" t="n">
        <v>0</v>
      </c>
      <c r="F63" s="61" t="n">
        <v>0</v>
      </c>
      <c r="G63" s="61" t="n">
        <v>0</v>
      </c>
      <c r="H63" s="156">
        <f>IFERROR(F63-G63,"N/A")</f>
        <v/>
      </c>
      <c r="I63" s="161">
        <f>IFERROR(('[1]P&amp;L'!$F63-'[1]P&amp;L'!$G63)/ABS('[1]P&amp;L'!$G63),"N/A")</f>
        <v/>
      </c>
      <c r="J63" s="158" t="n"/>
      <c r="K63" s="184" t="n"/>
      <c r="L63" s="160">
        <f>IFERROR(F63-E63,"N/A")</f>
        <v/>
      </c>
      <c r="M63" s="161">
        <f>IFERROR(('[1]P&amp;L'!$F63-'[1]P&amp;L'!$E63)/ABS('[1]P&amp;L'!$E63),"N/A")</f>
        <v/>
      </c>
      <c r="N63" s="158" t="n"/>
      <c r="O63" s="184" t="n"/>
      <c r="P63" s="61" t="n">
        <v>0</v>
      </c>
      <c r="Q63" s="61" t="n">
        <v>0</v>
      </c>
      <c r="R63" s="61" t="n">
        <v>0</v>
      </c>
      <c r="S63" s="175">
        <f>IFERROR(Q63-R63,"N/A")</f>
        <v/>
      </c>
      <c r="T63" s="161">
        <f>IFERROR(('[1]P&amp;L'!$Q63-'[1]P&amp;L'!$R63)/ABS('[1]P&amp;L'!$R63),"N/A")</f>
        <v/>
      </c>
      <c r="U63" s="158" t="n"/>
      <c r="V63" s="184" t="n"/>
      <c r="W63" s="160">
        <f>IFERROR(Q63-P63,"N/A")</f>
        <v/>
      </c>
      <c r="X63" s="161">
        <f>IFERROR(('[1]P&amp;L'!$Q63-'[1]P&amp;L'!$P63)/ABS('[1]P&amp;L'!$P63),"N/A")</f>
        <v/>
      </c>
      <c r="Y63" s="158" t="n"/>
      <c r="Z63" s="184" t="n"/>
    </row>
    <row r="64" ht="12.75" customHeight="1">
      <c r="A64" s="176" t="inlineStr">
        <is>
          <t>02.B.15</t>
        </is>
      </c>
      <c r="B64" s="176" t="inlineStr">
        <is>
          <t>Consulting and supervision services</t>
        </is>
      </c>
      <c r="C64" s="176" t="n"/>
      <c r="D64" s="147" t="inlineStr">
        <is>
          <t>-</t>
        </is>
      </c>
      <c r="E64" s="61" t="n">
        <v>0</v>
      </c>
      <c r="F64" s="61" t="n">
        <v>-89.41751319997024</v>
      </c>
      <c r="G64" s="61" t="n">
        <v>-71.76470588235294</v>
      </c>
      <c r="H64" s="156">
        <f>IFERROR(F64-G64,"N/A")</f>
        <v/>
      </c>
      <c r="I64" s="161">
        <f>IFERROR(('[1]P&amp;L'!$F64-'[1]P&amp;L'!$G64)/ABS('[1]P&amp;L'!$G64),"N/A")</f>
        <v/>
      </c>
      <c r="J64" s="158" t="n"/>
      <c r="K64" s="184" t="n"/>
      <c r="L64" s="160">
        <f>IFERROR(F64-E64,"N/A")</f>
        <v/>
      </c>
      <c r="M64" s="161">
        <f>IFERROR(('[1]P&amp;L'!$F64-'[1]P&amp;L'!$E64)/ABS('[1]P&amp;L'!$E64),"N/A")</f>
        <v/>
      </c>
      <c r="N64" s="158" t="n"/>
      <c r="O64" s="184" t="n"/>
      <c r="P64" s="61" t="n">
        <v>0</v>
      </c>
      <c r="Q64" s="61" t="n">
        <v>-1257.819807391983</v>
      </c>
      <c r="R64" s="61" t="n">
        <v>-1259.411764705882</v>
      </c>
      <c r="S64" s="175">
        <f>IFERROR(Q64-R64,"N/A")</f>
        <v/>
      </c>
      <c r="T64" s="161">
        <f>IFERROR(('[1]P&amp;L'!$Q64-'[1]P&amp;L'!$R64)/ABS('[1]P&amp;L'!$R64),"N/A")</f>
        <v/>
      </c>
      <c r="U64" s="158" t="n"/>
      <c r="V64" s="184" t="n"/>
      <c r="W64" s="160">
        <f>IFERROR(Q64-P64,"N/A")</f>
        <v/>
      </c>
      <c r="X64" s="161">
        <f>IFERROR(('[1]P&amp;L'!$Q64-'[1]P&amp;L'!$P64)/ABS('[1]P&amp;L'!$P64),"N/A")</f>
        <v/>
      </c>
      <c r="Y64" s="158" t="n"/>
      <c r="Z64" s="184" t="n"/>
    </row>
    <row r="65" ht="12.75" customHeight="1">
      <c r="A65" s="146" t="inlineStr">
        <is>
          <t>02.B.16</t>
        </is>
      </c>
      <c r="B65" s="146" t="inlineStr">
        <is>
          <t>Other (Administrative)</t>
        </is>
      </c>
      <c r="C65" s="146" t="n"/>
      <c r="D65" s="147" t="inlineStr">
        <is>
          <t>-</t>
        </is>
      </c>
      <c r="E65" s="61" t="n">
        <v>-1419.34838112024</v>
      </c>
      <c r="F65" s="61" t="n">
        <v>-726.5458742907139</v>
      </c>
      <c r="G65" s="61" t="n">
        <v>-625.2941176470588</v>
      </c>
      <c r="H65" s="156">
        <f>IFERROR(F65-G65,"N/A")</f>
        <v/>
      </c>
      <c r="I65" s="161">
        <f>IFERROR(('[1]P&amp;L'!$F65-'[1]P&amp;L'!$G65)/ABS('[1]P&amp;L'!$G65),"N/A")</f>
        <v/>
      </c>
      <c r="J65" s="158" t="inlineStr">
        <is>
          <t xml:space="preserve">The variation in other administrative expenses from month to month is considered a temporary difference and not due to any emergency expenses. </t>
        </is>
      </c>
      <c r="K65" s="184" t="n"/>
      <c r="L65" s="160">
        <f>IFERROR(F65-E65,"N/A")</f>
        <v/>
      </c>
      <c r="M65" s="161">
        <f>IFERROR(('[1]P&amp;L'!$F65-'[1]P&amp;L'!$E65)/ABS('[1]P&amp;L'!$E65),"N/A")</f>
        <v/>
      </c>
      <c r="N65" s="158" t="n"/>
      <c r="O65" s="184" t="n"/>
      <c r="P65" s="61" t="n">
        <v>-11942.37498445618</v>
      </c>
      <c r="Q65" s="61" t="n">
        <v>-7708.465778834845</v>
      </c>
      <c r="R65" s="61" t="n">
        <v>-6753.529411764705</v>
      </c>
      <c r="S65" s="175">
        <f>IFERROR(Q65-R65,"N/A")</f>
        <v/>
      </c>
      <c r="T65" s="161">
        <f>IFERROR(('[1]P&amp;L'!$Q65-'[1]P&amp;L'!$R65)/ABS('[1]P&amp;L'!$R65),"N/A")</f>
        <v/>
      </c>
      <c r="U65" s="158" t="inlineStr">
        <is>
          <t>The company anticipates that these temporary differences will be normalized by the end of this year</t>
        </is>
      </c>
      <c r="V65" s="184" t="n"/>
      <c r="W65" s="160">
        <f>IFERROR(Q65-P65,"N/A")</f>
        <v/>
      </c>
      <c r="X65" s="161">
        <f>IFERROR(('[1]P&amp;L'!$Q65-'[1]P&amp;L'!$P65)/ABS('[1]P&amp;L'!$P65),"N/A")</f>
        <v/>
      </c>
      <c r="Y65" s="158" t="n"/>
      <c r="Z65" s="184" t="n"/>
    </row>
    <row r="66" ht="12.75" customHeight="1">
      <c r="A66" s="152" t="inlineStr">
        <is>
          <t>02.C</t>
        </is>
      </c>
      <c r="B66" s="152" t="inlineStr">
        <is>
          <t>S&amp;D expenses</t>
        </is>
      </c>
      <c r="C66" s="152" t="n"/>
      <c r="D66" s="153" t="inlineStr">
        <is>
          <t>-</t>
        </is>
      </c>
      <c r="E66" s="143">
        <f>SUM(E67:E68,E72:E83,E87:E88)</f>
        <v/>
      </c>
      <c r="F66" s="143">
        <f>SUM(F67:F68,F72:F83,F87:F88)</f>
        <v/>
      </c>
      <c r="G66" s="143">
        <f>SUM(G67:G68,G72:G83,G87:G88)</f>
        <v/>
      </c>
      <c r="H66" s="154">
        <f>IFERROR(F66-G66,"N/A")</f>
        <v/>
      </c>
      <c r="I66" s="155">
        <f>IFERROR(('[1]P&amp;L'!$F66-'[1]P&amp;L'!$G66)/ABS('[1]P&amp;L'!$G66),"N/A")</f>
        <v/>
      </c>
      <c r="J66" s="143" t="n"/>
      <c r="K66" s="143" t="n"/>
      <c r="L66" s="154">
        <f>IFERROR(F66-E66,"N/A")</f>
        <v/>
      </c>
      <c r="M66" s="155">
        <f>IFERROR(('[1]P&amp;L'!$F66-'[1]P&amp;L'!$E66)/ABS('[1]P&amp;L'!$E66),"N/A")</f>
        <v/>
      </c>
      <c r="N66" s="143" t="n"/>
      <c r="O66" s="143" t="n"/>
      <c r="P66" s="143">
        <f>SUM(P67:P68,P72:P83,P87:P88)</f>
        <v/>
      </c>
      <c r="Q66" s="143">
        <f>SUM(Q67:Q68,Q72:Q83,Q87:Q88)</f>
        <v/>
      </c>
      <c r="R66" s="143">
        <f>SUM(R67:R68,R72:R83,R87:R88)</f>
        <v/>
      </c>
      <c r="S66" s="143">
        <f>IFERROR(Q66-R66,"N/A")</f>
        <v/>
      </c>
      <c r="T66" s="155">
        <f>IFERROR(('[1]P&amp;L'!$Q66-'[1]P&amp;L'!$R66)/ABS('[1]P&amp;L'!$R66),"N/A")</f>
        <v/>
      </c>
      <c r="U66" s="143" t="n"/>
      <c r="V66" s="143" t="n"/>
      <c r="W66" s="154">
        <f>IFERROR(Q66-P66,"N/A")</f>
        <v/>
      </c>
      <c r="X66" s="155">
        <f>IFERROR(('[1]P&amp;L'!$Q66-'[1]P&amp;L'!$P66)/ABS('[1]P&amp;L'!$P66),"N/A")</f>
        <v/>
      </c>
      <c r="Y66" s="143" t="n"/>
      <c r="Z66" s="143" t="n"/>
    </row>
    <row r="67" ht="12.75" customHeight="1">
      <c r="A67" s="146" t="inlineStr">
        <is>
          <t>02.C.01</t>
        </is>
      </c>
      <c r="B67" s="146" t="inlineStr">
        <is>
          <t>Wages, salaries, SSPF and other employee expenses</t>
        </is>
      </c>
      <c r="C67" s="146" t="n"/>
      <c r="D67" s="147" t="inlineStr">
        <is>
          <t>-</t>
        </is>
      </c>
      <c r="E67" s="61" t="n"/>
      <c r="F67" s="61" t="n"/>
      <c r="G67" s="61" t="n"/>
      <c r="H67" s="156">
        <f>IFERROR(F67-G67,"N/A")</f>
        <v/>
      </c>
      <c r="I67" s="161">
        <f>IFERROR(('[1]P&amp;L'!$F67-'[1]P&amp;L'!$G67)/ABS('[1]P&amp;L'!$G67),"N/A")</f>
        <v/>
      </c>
      <c r="J67" s="158" t="n"/>
      <c r="K67" s="184" t="n"/>
      <c r="L67" s="160">
        <f>IFERROR(F67-E67,"N/A")</f>
        <v/>
      </c>
      <c r="M67" s="161">
        <f>IFERROR(('[1]P&amp;L'!$F67-'[1]P&amp;L'!$E67)/ABS('[1]P&amp;L'!$E67),"N/A")</f>
        <v/>
      </c>
      <c r="N67" s="158" t="n"/>
      <c r="O67" s="184" t="n"/>
      <c r="P67" s="61" t="n"/>
      <c r="Q67" s="61" t="n"/>
      <c r="R67" s="61" t="n"/>
      <c r="S67" s="197">
        <f>IFERROR(Q67-R67,"N/A")</f>
        <v/>
      </c>
      <c r="T67" s="161">
        <f>IFERROR(('[1]P&amp;L'!$Q67-'[1]P&amp;L'!$R67)/ABS('[1]P&amp;L'!$R67),"N/A")</f>
        <v/>
      </c>
      <c r="U67" s="158" t="n"/>
      <c r="V67" s="184" t="n"/>
      <c r="W67" s="160">
        <f>IFERROR(Q67-P67,"N/A")</f>
        <v/>
      </c>
      <c r="X67" s="161">
        <f>IFERROR(('[1]P&amp;L'!$Q67-'[1]P&amp;L'!$P67)/ABS('[1]P&amp;L'!$P67),"N/A")</f>
        <v/>
      </c>
      <c r="Y67" s="158" t="n"/>
      <c r="Z67" s="184" t="n"/>
    </row>
    <row r="68" ht="25.5" customHeight="1">
      <c r="A68" s="163" t="inlineStr">
        <is>
          <t>02.C.02</t>
        </is>
      </c>
      <c r="B68" s="163" t="inlineStr">
        <is>
          <t>Depreciation (property, plant and equipment and right-of-use assets) and amortization</t>
        </is>
      </c>
      <c r="C68" s="163" t="n"/>
      <c r="D68" s="153" t="inlineStr">
        <is>
          <t>-</t>
        </is>
      </c>
      <c r="E68" s="167">
        <f>SUM(E69:E71)</f>
        <v/>
      </c>
      <c r="F68" s="167">
        <f>SUM(F69:F71)</f>
        <v/>
      </c>
      <c r="G68" s="167">
        <f>SUM(G69:G71)</f>
        <v/>
      </c>
      <c r="H68" s="165">
        <f>IFERROR(F68-G68,"N/A")</f>
        <v/>
      </c>
      <c r="I68" s="166">
        <f>IFERROR(('[1]P&amp;L'!$F68-'[1]P&amp;L'!$G68)/ABS('[1]P&amp;L'!$G68),"N/A")</f>
        <v/>
      </c>
      <c r="J68" s="167" t="n"/>
      <c r="K68" s="143" t="n"/>
      <c r="L68" s="165">
        <f>IFERROR(F68-E68,"N/A")</f>
        <v/>
      </c>
      <c r="M68" s="166">
        <f>IFERROR(('[1]P&amp;L'!$F68-'[1]P&amp;L'!$E68)/ABS('[1]P&amp;L'!$E68),"N/A")</f>
        <v/>
      </c>
      <c r="N68" s="167" t="n"/>
      <c r="O68" s="143" t="n"/>
      <c r="P68" s="167">
        <f>SUM(P69:P71)</f>
        <v/>
      </c>
      <c r="Q68" s="167">
        <f>SUM(Q69:Q71)</f>
        <v/>
      </c>
      <c r="R68" s="167">
        <f>SUM(R69:R71)</f>
        <v/>
      </c>
      <c r="S68" s="167">
        <f>IFERROR(Q68-R68,"N/A")</f>
        <v/>
      </c>
      <c r="T68" s="166">
        <f>IFERROR(('[1]P&amp;L'!$Q68-'[1]P&amp;L'!$R68)/ABS('[1]P&amp;L'!$R68),"N/A")</f>
        <v/>
      </c>
      <c r="U68" s="167" t="n"/>
      <c r="V68" s="143" t="n"/>
      <c r="W68" s="165">
        <f>IFERROR(Q68-P68,"N/A")</f>
        <v/>
      </c>
      <c r="X68" s="166">
        <f>IFERROR(('[1]P&amp;L'!$Q68-'[1]P&amp;L'!$P68)/ABS('[1]P&amp;L'!$P68),"N/A")</f>
        <v/>
      </c>
      <c r="Y68" s="167" t="n"/>
      <c r="Z68" s="143" t="n"/>
    </row>
    <row r="69" ht="25.5" customHeight="1">
      <c r="A69" s="178" t="inlineStr">
        <is>
          <t>02.C.02.01</t>
        </is>
      </c>
      <c r="B69" s="178" t="inlineStr">
        <is>
          <t>Depreciation (property, plant and equipment)</t>
        </is>
      </c>
      <c r="C69" s="178" t="n"/>
      <c r="D69" s="147" t="inlineStr">
        <is>
          <t>-</t>
        </is>
      </c>
      <c r="E69" s="61" t="n"/>
      <c r="F69" s="61" t="n"/>
      <c r="G69" s="61" t="n"/>
      <c r="H69" s="156">
        <f>IFERROR(F69-G69,"N/A")</f>
        <v/>
      </c>
      <c r="I69" s="161">
        <f>IFERROR(('[1]P&amp;L'!$F69-'[1]P&amp;L'!$G69)/ABS('[1]P&amp;L'!$G69),"N/A")</f>
        <v/>
      </c>
      <c r="J69" s="158" t="n"/>
      <c r="K69" s="184" t="n"/>
      <c r="L69" s="160">
        <f>IFERROR(F69-E69,"N/A")</f>
        <v/>
      </c>
      <c r="M69" s="161">
        <f>IFERROR(('[1]P&amp;L'!$F69-'[1]P&amp;L'!$E69)/ABS('[1]P&amp;L'!$E69),"N/A")</f>
        <v/>
      </c>
      <c r="N69" s="158" t="n"/>
      <c r="O69" s="184" t="n"/>
      <c r="P69" s="61" t="n"/>
      <c r="Q69" s="61" t="n"/>
      <c r="R69" s="61" t="n"/>
      <c r="S69" s="197">
        <f>IFERROR(Q69-R69,"N/A")</f>
        <v/>
      </c>
      <c r="T69" s="161">
        <f>IFERROR(('[1]P&amp;L'!$Q69-'[1]P&amp;L'!$R69)/ABS('[1]P&amp;L'!$R69),"N/A")</f>
        <v/>
      </c>
      <c r="U69" s="158" t="n"/>
      <c r="V69" s="184" t="n"/>
      <c r="W69" s="160">
        <f>IFERROR(Q69-P69,"N/A")</f>
        <v/>
      </c>
      <c r="X69" s="161">
        <f>IFERROR(('[1]P&amp;L'!$Q69-'[1]P&amp;L'!$P69)/ABS('[1]P&amp;L'!$P69),"N/A")</f>
        <v/>
      </c>
      <c r="Y69" s="158" t="n"/>
      <c r="Z69" s="184" t="n"/>
    </row>
    <row r="70" ht="25.5" customHeight="1">
      <c r="A70" s="178" t="inlineStr">
        <is>
          <t>02.C.02.02</t>
        </is>
      </c>
      <c r="B70" s="178" t="inlineStr">
        <is>
          <t>Depreciation (right-of-use assets)</t>
        </is>
      </c>
      <c r="C70" s="178" t="n"/>
      <c r="D70" s="147" t="inlineStr">
        <is>
          <t>-</t>
        </is>
      </c>
      <c r="E70" s="61" t="n"/>
      <c r="F70" s="61" t="n"/>
      <c r="G70" s="61" t="n"/>
      <c r="H70" s="156">
        <f>IFERROR(F70-G70,"N/A")</f>
        <v/>
      </c>
      <c r="I70" s="161">
        <f>IFERROR(('[1]P&amp;L'!$F70-'[1]P&amp;L'!$G70)/ABS('[1]P&amp;L'!$G70),"N/A")</f>
        <v/>
      </c>
      <c r="J70" s="158" t="n"/>
      <c r="K70" s="184" t="n"/>
      <c r="L70" s="160">
        <f>IFERROR(F70-E70,"N/A")</f>
        <v/>
      </c>
      <c r="M70" s="161">
        <f>IFERROR(('[1]P&amp;L'!$F70-'[1]P&amp;L'!$E70)/ABS('[1]P&amp;L'!$E70),"N/A")</f>
        <v/>
      </c>
      <c r="N70" s="158" t="n"/>
      <c r="O70" s="184" t="n"/>
      <c r="P70" s="61" t="n"/>
      <c r="Q70" s="61" t="n"/>
      <c r="R70" s="61" t="n"/>
      <c r="S70" s="197">
        <f>IFERROR(Q70-R70,"N/A")</f>
        <v/>
      </c>
      <c r="T70" s="161">
        <f>IFERROR(('[1]P&amp;L'!$Q70-'[1]P&amp;L'!$R70)/ABS('[1]P&amp;L'!$R70),"N/A")</f>
        <v/>
      </c>
      <c r="U70" s="158" t="n"/>
      <c r="V70" s="184" t="n"/>
      <c r="W70" s="160">
        <f>IFERROR(Q70-P70,"N/A")</f>
        <v/>
      </c>
      <c r="X70" s="161">
        <f>IFERROR(('[1]P&amp;L'!$Q70-'[1]P&amp;L'!$P70)/ABS('[1]P&amp;L'!$P70),"N/A")</f>
        <v/>
      </c>
      <c r="Y70" s="158" t="n"/>
      <c r="Z70" s="184" t="n"/>
    </row>
    <row r="71" ht="25.5" customHeight="1">
      <c r="A71" s="178" t="inlineStr">
        <is>
          <t>02.C.02.03</t>
        </is>
      </c>
      <c r="B71" s="178" t="inlineStr">
        <is>
          <t>Amortization (intangible assets)</t>
        </is>
      </c>
      <c r="C71" s="178" t="inlineStr">
        <is>
          <t>Amortizasiya (qeyri-maddi aktivləri)</t>
        </is>
      </c>
      <c r="D71" s="147" t="inlineStr">
        <is>
          <t>-</t>
        </is>
      </c>
      <c r="E71" s="61" t="n"/>
      <c r="F71" s="61" t="n"/>
      <c r="G71" s="61" t="n"/>
      <c r="H71" s="156">
        <f>IFERROR(F71-G71,"N/A")</f>
        <v/>
      </c>
      <c r="I71" s="161">
        <f>IFERROR(('[1]P&amp;L'!$F71-'[1]P&amp;L'!$G71)/ABS('[1]P&amp;L'!$G71),"N/A")</f>
        <v/>
      </c>
      <c r="J71" s="158" t="n"/>
      <c r="K71" s="184" t="n"/>
      <c r="L71" s="160">
        <f>IFERROR(F71-E71,"N/A")</f>
        <v/>
      </c>
      <c r="M71" s="161">
        <f>IFERROR(('[1]P&amp;L'!$F71-'[1]P&amp;L'!$E71)/ABS('[1]P&amp;L'!$E71),"N/A")</f>
        <v/>
      </c>
      <c r="N71" s="158" t="n"/>
      <c r="O71" s="184" t="n"/>
      <c r="P71" s="61" t="n"/>
      <c r="Q71" s="61" t="n"/>
      <c r="R71" s="61" t="n"/>
      <c r="S71" s="197">
        <f>IFERROR(Q71-R71,"N/A")</f>
        <v/>
      </c>
      <c r="T71" s="161">
        <f>IFERROR(('[1]P&amp;L'!$Q71-'[1]P&amp;L'!$R71)/ABS('[1]P&amp;L'!$R71),"N/A")</f>
        <v/>
      </c>
      <c r="U71" s="158" t="n"/>
      <c r="V71" s="184" t="n"/>
      <c r="W71" s="160">
        <f>IFERROR(Q71-P71,"N/A")</f>
        <v/>
      </c>
      <c r="X71" s="161">
        <f>IFERROR(('[1]P&amp;L'!$Q71-'[1]P&amp;L'!$P71)/ABS('[1]P&amp;L'!$P71),"N/A")</f>
        <v/>
      </c>
      <c r="Y71" s="158" t="n"/>
      <c r="Z71" s="184" t="n"/>
    </row>
    <row r="72" ht="12.75" customHeight="1">
      <c r="A72" s="146" t="inlineStr">
        <is>
          <t>02.C.03</t>
        </is>
      </c>
      <c r="B72" s="146" t="inlineStr">
        <is>
          <t>Raw materials and consumables used</t>
        </is>
      </c>
      <c r="C72" s="146" t="n"/>
      <c r="D72" s="147" t="inlineStr">
        <is>
          <t>-</t>
        </is>
      </c>
      <c r="E72" s="61" t="n"/>
      <c r="F72" s="61" t="n"/>
      <c r="G72" s="61" t="n"/>
      <c r="H72" s="156">
        <f>IFERROR(F72-G72,"N/A")</f>
        <v/>
      </c>
      <c r="I72" s="161">
        <f>IFERROR(('[1]P&amp;L'!$F72-'[1]P&amp;L'!$G72)/ABS('[1]P&amp;L'!$G72),"N/A")</f>
        <v/>
      </c>
      <c r="J72" s="158" t="n"/>
      <c r="K72" s="184" t="n"/>
      <c r="L72" s="160">
        <f>IFERROR(F72-E72,"N/A")</f>
        <v/>
      </c>
      <c r="M72" s="161">
        <f>IFERROR(('[1]P&amp;L'!$F72-'[1]P&amp;L'!$E72)/ABS('[1]P&amp;L'!$E72),"N/A")</f>
        <v/>
      </c>
      <c r="N72" s="158" t="n"/>
      <c r="O72" s="184" t="n"/>
      <c r="P72" s="61" t="n"/>
      <c r="Q72" s="61" t="n"/>
      <c r="R72" s="61" t="n"/>
      <c r="S72" s="197">
        <f>IFERROR(Q72-R72,"N/A")</f>
        <v/>
      </c>
      <c r="T72" s="161">
        <f>IFERROR(('[1]P&amp;L'!$Q72-'[1]P&amp;L'!$R72)/ABS('[1]P&amp;L'!$R72),"N/A")</f>
        <v/>
      </c>
      <c r="U72" s="158" t="n"/>
      <c r="V72" s="184" t="n"/>
      <c r="W72" s="160">
        <f>IFERROR(Q72-P72,"N/A")</f>
        <v/>
      </c>
      <c r="X72" s="161">
        <f>IFERROR(('[1]P&amp;L'!$Q72-'[1]P&amp;L'!$P72)/ABS('[1]P&amp;L'!$P72),"N/A")</f>
        <v/>
      </c>
      <c r="Y72" s="158" t="n"/>
      <c r="Z72" s="184" t="n"/>
    </row>
    <row r="73" ht="12.75" customHeight="1">
      <c r="A73" s="146" t="inlineStr">
        <is>
          <t>02.C.04</t>
        </is>
      </c>
      <c r="B73" s="146" t="inlineStr">
        <is>
          <t>Utilities expenses</t>
        </is>
      </c>
      <c r="C73" s="146" t="n"/>
      <c r="D73" s="147" t="inlineStr">
        <is>
          <t>-</t>
        </is>
      </c>
      <c r="E73" s="61" t="n"/>
      <c r="F73" s="61" t="n"/>
      <c r="G73" s="61" t="n"/>
      <c r="H73" s="156">
        <f>IFERROR(F73-G73,"N/A")</f>
        <v/>
      </c>
      <c r="I73" s="161">
        <f>IFERROR(('[1]P&amp;L'!$F73-'[1]P&amp;L'!$G73)/ABS('[1]P&amp;L'!$G73),"N/A")</f>
        <v/>
      </c>
      <c r="J73" s="158" t="n"/>
      <c r="K73" s="184" t="n"/>
      <c r="L73" s="160">
        <f>IFERROR(F73-E73,"N/A")</f>
        <v/>
      </c>
      <c r="M73" s="161">
        <f>IFERROR(('[1]P&amp;L'!$F73-'[1]P&amp;L'!$E73)/ABS('[1]P&amp;L'!$E73),"N/A")</f>
        <v/>
      </c>
      <c r="N73" s="158" t="n"/>
      <c r="O73" s="184" t="n"/>
      <c r="P73" s="61" t="n"/>
      <c r="Q73" s="61" t="n"/>
      <c r="R73" s="61" t="n"/>
      <c r="S73" s="175">
        <f>IFERROR(Q73-R73,"N/A")</f>
        <v/>
      </c>
      <c r="T73" s="161">
        <f>IFERROR(('[1]P&amp;L'!$Q73-'[1]P&amp;L'!$R73)/ABS('[1]P&amp;L'!$R73),"N/A")</f>
        <v/>
      </c>
      <c r="U73" s="158" t="n"/>
      <c r="V73" s="184" t="n"/>
      <c r="W73" s="160">
        <f>IFERROR(Q73-P73,"N/A")</f>
        <v/>
      </c>
      <c r="X73" s="161">
        <f>IFERROR(('[1]P&amp;L'!$Q73-'[1]P&amp;L'!$P73)/ABS('[1]P&amp;L'!$P73),"N/A")</f>
        <v/>
      </c>
      <c r="Y73" s="158" t="n"/>
      <c r="Z73" s="184" t="n"/>
    </row>
    <row r="74" ht="12.75" customHeight="1">
      <c r="A74" s="146" t="inlineStr">
        <is>
          <t>02.C.05</t>
        </is>
      </c>
      <c r="B74" s="146" t="inlineStr">
        <is>
          <t>Repairs and maintenance expenses</t>
        </is>
      </c>
      <c r="C74" s="146" t="n"/>
      <c r="D74" s="147" t="inlineStr">
        <is>
          <t>-</t>
        </is>
      </c>
      <c r="E74" s="61" t="n"/>
      <c r="F74" s="61" t="n"/>
      <c r="G74" s="61" t="n"/>
      <c r="H74" s="156">
        <f>IFERROR(F74-G74,"N/A")</f>
        <v/>
      </c>
      <c r="I74" s="161">
        <f>IFERROR(('[1]P&amp;L'!$F74-'[1]P&amp;L'!$G74)/ABS('[1]P&amp;L'!$G74),"N/A")</f>
        <v/>
      </c>
      <c r="J74" s="158" t="n"/>
      <c r="K74" s="184" t="n"/>
      <c r="L74" s="160">
        <f>IFERROR(F74-E74,"N/A")</f>
        <v/>
      </c>
      <c r="M74" s="161">
        <f>IFERROR(('[1]P&amp;L'!$F74-'[1]P&amp;L'!$E74)/ABS('[1]P&amp;L'!$E74),"N/A")</f>
        <v/>
      </c>
      <c r="N74" s="158" t="n"/>
      <c r="O74" s="184" t="n"/>
      <c r="P74" s="61" t="n"/>
      <c r="Q74" s="61" t="n"/>
      <c r="R74" s="61" t="n"/>
      <c r="S74" s="175">
        <f>IFERROR(Q74-R74,"N/A")</f>
        <v/>
      </c>
      <c r="T74" s="161">
        <f>IFERROR(('[1]P&amp;L'!$Q74-'[1]P&amp;L'!$R74)/ABS('[1]P&amp;L'!$R74),"N/A")</f>
        <v/>
      </c>
      <c r="U74" s="158" t="n"/>
      <c r="V74" s="184" t="n"/>
      <c r="W74" s="160">
        <f>IFERROR(Q74-P74,"N/A")</f>
        <v/>
      </c>
      <c r="X74" s="161">
        <f>IFERROR(('[1]P&amp;L'!$Q74-'[1]P&amp;L'!$P74)/ABS('[1]P&amp;L'!$P74),"N/A")</f>
        <v/>
      </c>
      <c r="Y74" s="158" t="n"/>
      <c r="Z74" s="184" t="n"/>
    </row>
    <row r="75" ht="12.75" customHeight="1">
      <c r="A75" s="146" t="inlineStr">
        <is>
          <t>02.C.06</t>
        </is>
      </c>
      <c r="B75" s="146" t="inlineStr">
        <is>
          <t>Taxes other than income</t>
        </is>
      </c>
      <c r="C75" s="146" t="n"/>
      <c r="D75" s="147" t="inlineStr">
        <is>
          <t>-</t>
        </is>
      </c>
      <c r="E75" s="61" t="n"/>
      <c r="F75" s="61" t="n"/>
      <c r="G75" s="61" t="n"/>
      <c r="H75" s="156">
        <f>IFERROR(F75-G75,"N/A")</f>
        <v/>
      </c>
      <c r="I75" s="161">
        <f>IFERROR(('[1]P&amp;L'!$F75-'[1]P&amp;L'!$G75)/ABS('[1]P&amp;L'!$G75),"N/A")</f>
        <v/>
      </c>
      <c r="J75" s="158" t="n"/>
      <c r="K75" s="184" t="n"/>
      <c r="L75" s="160">
        <f>IFERROR(F75-E75,"N/A")</f>
        <v/>
      </c>
      <c r="M75" s="161">
        <f>IFERROR(('[1]P&amp;L'!$F75-'[1]P&amp;L'!$E75)/ABS('[1]P&amp;L'!$E75),"N/A")</f>
        <v/>
      </c>
      <c r="N75" s="158" t="n"/>
      <c r="O75" s="184" t="n"/>
      <c r="P75" s="61" t="n"/>
      <c r="Q75" s="61" t="n"/>
      <c r="R75" s="61" t="n"/>
      <c r="S75" s="175">
        <f>IFERROR(Q75-R75,"N/A")</f>
        <v/>
      </c>
      <c r="T75" s="161">
        <f>IFERROR(('[1]P&amp;L'!$Q75-'[1]P&amp;L'!$R75)/ABS('[1]P&amp;L'!$R75),"N/A")</f>
        <v/>
      </c>
      <c r="U75" s="158" t="n"/>
      <c r="V75" s="184" t="n"/>
      <c r="W75" s="160">
        <f>IFERROR(Q75-P75,"N/A")</f>
        <v/>
      </c>
      <c r="X75" s="161">
        <f>IFERROR(('[1]P&amp;L'!$Q75-'[1]P&amp;L'!$P75)/ABS('[1]P&amp;L'!$P75),"N/A")</f>
        <v/>
      </c>
      <c r="Y75" s="158" t="n"/>
      <c r="Z75" s="184" t="n"/>
    </row>
    <row r="76" ht="12.75" customHeight="1">
      <c r="A76" s="146" t="inlineStr">
        <is>
          <t>02.C.07</t>
        </is>
      </c>
      <c r="B76" s="146" t="inlineStr">
        <is>
          <t>Rent expenses</t>
        </is>
      </c>
      <c r="C76" s="146" t="n"/>
      <c r="D76" s="147" t="inlineStr">
        <is>
          <t>-</t>
        </is>
      </c>
      <c r="E76" s="61" t="n"/>
      <c r="F76" s="61" t="n"/>
      <c r="G76" s="61" t="n"/>
      <c r="H76" s="156">
        <f>IFERROR(F76-G76,"N/A")</f>
        <v/>
      </c>
      <c r="I76" s="161">
        <f>IFERROR(('[1]P&amp;L'!$F76-'[1]P&amp;L'!$G76)/ABS('[1]P&amp;L'!$G76),"N/A")</f>
        <v/>
      </c>
      <c r="J76" s="158" t="n"/>
      <c r="K76" s="184" t="n"/>
      <c r="L76" s="160">
        <f>IFERROR(F76-E76,"N/A")</f>
        <v/>
      </c>
      <c r="M76" s="161">
        <f>IFERROR(('[1]P&amp;L'!$F76-'[1]P&amp;L'!$E76)/ABS('[1]P&amp;L'!$E76),"N/A")</f>
        <v/>
      </c>
      <c r="N76" s="158" t="n"/>
      <c r="O76" s="184" t="n"/>
      <c r="P76" s="61" t="n"/>
      <c r="Q76" s="61" t="n"/>
      <c r="R76" s="61" t="n"/>
      <c r="S76" s="175">
        <f>IFERROR(Q76-R76,"N/A")</f>
        <v/>
      </c>
      <c r="T76" s="161">
        <f>IFERROR(('[1]P&amp;L'!$Q76-'[1]P&amp;L'!$R76)/ABS('[1]P&amp;L'!$R76),"N/A")</f>
        <v/>
      </c>
      <c r="U76" s="158" t="n"/>
      <c r="V76" s="184" t="n"/>
      <c r="W76" s="160">
        <f>IFERROR(Q76-P76,"N/A")</f>
        <v/>
      </c>
      <c r="X76" s="161">
        <f>IFERROR(('[1]P&amp;L'!$Q76-'[1]P&amp;L'!$P76)/ABS('[1]P&amp;L'!$P76),"N/A")</f>
        <v/>
      </c>
      <c r="Y76" s="158" t="n"/>
      <c r="Z76" s="184" t="n"/>
    </row>
    <row r="77" ht="12.75" customHeight="1">
      <c r="A77" s="146" t="inlineStr">
        <is>
          <t>02.C.08</t>
        </is>
      </c>
      <c r="B77" s="146" t="inlineStr">
        <is>
          <t xml:space="preserve">Insurance expenses </t>
        </is>
      </c>
      <c r="C77" s="146" t="n"/>
      <c r="D77" s="147" t="inlineStr">
        <is>
          <t>-</t>
        </is>
      </c>
      <c r="E77" s="61" t="n"/>
      <c r="F77" s="61" t="n"/>
      <c r="G77" s="61" t="n"/>
      <c r="H77" s="156">
        <f>IFERROR(F77-G77,"N/A")</f>
        <v/>
      </c>
      <c r="I77" s="161">
        <f>IFERROR(('[1]P&amp;L'!$F77-'[1]P&amp;L'!$G77)/ABS('[1]P&amp;L'!$G77),"N/A")</f>
        <v/>
      </c>
      <c r="J77" s="158" t="n"/>
      <c r="K77" s="184" t="n"/>
      <c r="L77" s="160">
        <f>IFERROR(F77-E77,"N/A")</f>
        <v/>
      </c>
      <c r="M77" s="161">
        <f>IFERROR(('[1]P&amp;L'!$F77-'[1]P&amp;L'!$E77)/ABS('[1]P&amp;L'!$E77),"N/A")</f>
        <v/>
      </c>
      <c r="N77" s="158" t="n"/>
      <c r="O77" s="184" t="n"/>
      <c r="P77" s="61" t="n"/>
      <c r="Q77" s="61" t="n"/>
      <c r="R77" s="61" t="n"/>
      <c r="S77" s="175">
        <f>IFERROR(Q77-R77,"N/A")</f>
        <v/>
      </c>
      <c r="T77" s="161">
        <f>IFERROR(('[1]P&amp;L'!$Q77-'[1]P&amp;L'!$R77)/ABS('[1]P&amp;L'!$R77),"N/A")</f>
        <v/>
      </c>
      <c r="U77" s="158" t="n"/>
      <c r="V77" s="184" t="n"/>
      <c r="W77" s="160">
        <f>IFERROR(Q77-P77,"N/A")</f>
        <v/>
      </c>
      <c r="X77" s="161">
        <f>IFERROR(('[1]P&amp;L'!$Q77-'[1]P&amp;L'!$P77)/ABS('[1]P&amp;L'!$P77),"N/A")</f>
        <v/>
      </c>
      <c r="Y77" s="158" t="n"/>
      <c r="Z77" s="184" t="n"/>
    </row>
    <row r="78" ht="12.75" customHeight="1">
      <c r="A78" s="146" t="inlineStr">
        <is>
          <t>02.C.09</t>
        </is>
      </c>
      <c r="B78" s="146" t="inlineStr">
        <is>
          <t xml:space="preserve">Business trip expenses </t>
        </is>
      </c>
      <c r="C78" s="146" t="n"/>
      <c r="D78" s="147" t="inlineStr">
        <is>
          <t>-</t>
        </is>
      </c>
      <c r="E78" s="61" t="n"/>
      <c r="F78" s="61" t="n"/>
      <c r="G78" s="61" t="n"/>
      <c r="H78" s="156">
        <f>IFERROR(F78-G78,"N/A")</f>
        <v/>
      </c>
      <c r="I78" s="161">
        <f>IFERROR(('[1]P&amp;L'!$F78-'[1]P&amp;L'!$G78)/ABS('[1]P&amp;L'!$G78),"N/A")</f>
        <v/>
      </c>
      <c r="J78" s="158" t="n"/>
      <c r="K78" s="184" t="n"/>
      <c r="L78" s="160">
        <f>IFERROR(F78-E78,"N/A")</f>
        <v/>
      </c>
      <c r="M78" s="161">
        <f>IFERROR(('[1]P&amp;L'!$F78-'[1]P&amp;L'!$E78)/ABS('[1]P&amp;L'!$E78),"N/A")</f>
        <v/>
      </c>
      <c r="N78" s="158" t="n"/>
      <c r="O78" s="184" t="n"/>
      <c r="P78" s="61" t="n"/>
      <c r="Q78" s="61" t="n"/>
      <c r="R78" s="61" t="n"/>
      <c r="S78" s="175">
        <f>IFERROR(Q78-R78,"N/A")</f>
        <v/>
      </c>
      <c r="T78" s="161">
        <f>IFERROR(('[1]P&amp;L'!$Q78-'[1]P&amp;L'!$R78)/ABS('[1]P&amp;L'!$R78),"N/A")</f>
        <v/>
      </c>
      <c r="U78" s="158" t="n"/>
      <c r="V78" s="184" t="n"/>
      <c r="W78" s="160">
        <f>IFERROR(Q78-P78,"N/A")</f>
        <v/>
      </c>
      <c r="X78" s="161">
        <f>IFERROR(('[1]P&amp;L'!$Q78-'[1]P&amp;L'!$P78)/ABS('[1]P&amp;L'!$P78),"N/A")</f>
        <v/>
      </c>
      <c r="Y78" s="158" t="n"/>
      <c r="Z78" s="184" t="n"/>
    </row>
    <row r="79" ht="12.75" customHeight="1">
      <c r="A79" s="176" t="inlineStr">
        <is>
          <t>02.C.10</t>
        </is>
      </c>
      <c r="B79" s="176" t="inlineStr">
        <is>
          <t>Storage expense</t>
        </is>
      </c>
      <c r="C79" s="176" t="n"/>
      <c r="D79" s="147" t="inlineStr">
        <is>
          <t>-</t>
        </is>
      </c>
      <c r="E79" s="61" t="n"/>
      <c r="F79" s="61" t="n"/>
      <c r="G79" s="61" t="n"/>
      <c r="H79" s="156">
        <f>IFERROR(F79-G79,"N/A")</f>
        <v/>
      </c>
      <c r="I79" s="161">
        <f>IFERROR(('[1]P&amp;L'!$F79-'[1]P&amp;L'!$G79)/ABS('[1]P&amp;L'!$G79),"N/A")</f>
        <v/>
      </c>
      <c r="J79" s="158" t="n"/>
      <c r="K79" s="184" t="n"/>
      <c r="L79" s="160">
        <f>IFERROR(F79-E79,"N/A")</f>
        <v/>
      </c>
      <c r="M79" s="161">
        <f>IFERROR(('[1]P&amp;L'!$F79-'[1]P&amp;L'!$E79)/ABS('[1]P&amp;L'!$E79),"N/A")</f>
        <v/>
      </c>
      <c r="N79" s="158" t="n"/>
      <c r="O79" s="184" t="n"/>
      <c r="P79" s="61" t="n"/>
      <c r="Q79" s="61" t="n"/>
      <c r="R79" s="61" t="n"/>
      <c r="S79" s="175">
        <f>IFERROR(Q79-R79,"N/A")</f>
        <v/>
      </c>
      <c r="T79" s="161">
        <f>IFERROR(('[1]P&amp;L'!$Q79-'[1]P&amp;L'!$R79)/ABS('[1]P&amp;L'!$R79),"N/A")</f>
        <v/>
      </c>
      <c r="U79" s="158" t="n"/>
      <c r="V79" s="184" t="n"/>
      <c r="W79" s="160">
        <f>IFERROR(Q79-P79,"N/A")</f>
        <v/>
      </c>
      <c r="X79" s="161">
        <f>IFERROR(('[1]P&amp;L'!$Q79-'[1]P&amp;L'!$P79)/ABS('[1]P&amp;L'!$P79),"N/A")</f>
        <v/>
      </c>
      <c r="Y79" s="158" t="n"/>
      <c r="Z79" s="184" t="n"/>
    </row>
    <row r="80" ht="12.75" customHeight="1">
      <c r="A80" s="176" t="inlineStr">
        <is>
          <t>02.C.11</t>
        </is>
      </c>
      <c r="B80" s="176" t="inlineStr">
        <is>
          <t>Security services</t>
        </is>
      </c>
      <c r="C80" s="176" t="n"/>
      <c r="D80" s="147" t="inlineStr">
        <is>
          <t>-</t>
        </is>
      </c>
      <c r="E80" s="61" t="n"/>
      <c r="F80" s="61" t="n"/>
      <c r="G80" s="61" t="n"/>
      <c r="H80" s="156">
        <f>IFERROR(F80-G80,"N/A")</f>
        <v/>
      </c>
      <c r="I80" s="161">
        <f>IFERROR(('[1]P&amp;L'!$F80-'[1]P&amp;L'!$G80)/ABS('[1]P&amp;L'!$G80),"N/A")</f>
        <v/>
      </c>
      <c r="J80" s="158" t="n"/>
      <c r="K80" s="184" t="n"/>
      <c r="L80" s="160">
        <f>IFERROR(F80-E80,"N/A")</f>
        <v/>
      </c>
      <c r="M80" s="161">
        <f>IFERROR(('[1]P&amp;L'!$F80-'[1]P&amp;L'!$E80)/ABS('[1]P&amp;L'!$E80),"N/A")</f>
        <v/>
      </c>
      <c r="N80" s="158" t="n"/>
      <c r="O80" s="184" t="n"/>
      <c r="P80" s="61" t="n"/>
      <c r="Q80" s="61" t="n"/>
      <c r="R80" s="61" t="n"/>
      <c r="S80" s="175">
        <f>IFERROR(Q80-R80,"N/A")</f>
        <v/>
      </c>
      <c r="T80" s="161">
        <f>IFERROR(('[1]P&amp;L'!$Q80-'[1]P&amp;L'!$R80)/ABS('[1]P&amp;L'!$R80),"N/A")</f>
        <v/>
      </c>
      <c r="U80" s="158" t="n"/>
      <c r="V80" s="184" t="n"/>
      <c r="W80" s="160">
        <f>IFERROR(Q80-P80,"N/A")</f>
        <v/>
      </c>
      <c r="X80" s="161">
        <f>IFERROR(('[1]P&amp;L'!$Q80-'[1]P&amp;L'!$P80)/ABS('[1]P&amp;L'!$P80),"N/A")</f>
        <v/>
      </c>
      <c r="Y80" s="158" t="n"/>
      <c r="Z80" s="184" t="n"/>
    </row>
    <row r="81" ht="12.75" customHeight="1">
      <c r="A81" s="176" t="inlineStr">
        <is>
          <t>02.C.12</t>
        </is>
      </c>
      <c r="B81" s="176" t="inlineStr">
        <is>
          <t>Communication and IT services</t>
        </is>
      </c>
      <c r="C81" s="176" t="n"/>
      <c r="D81" s="147" t="inlineStr">
        <is>
          <t>-</t>
        </is>
      </c>
      <c r="E81" s="61" t="n"/>
      <c r="F81" s="61" t="n"/>
      <c r="G81" s="61" t="n"/>
      <c r="H81" s="156">
        <f>IFERROR(F81-G81,"N/A")</f>
        <v/>
      </c>
      <c r="I81" s="161">
        <f>IFERROR(('[1]P&amp;L'!$F81-'[1]P&amp;L'!$G81)/ABS('[1]P&amp;L'!$G81),"N/A")</f>
        <v/>
      </c>
      <c r="J81" s="158" t="n"/>
      <c r="K81" s="184" t="n"/>
      <c r="L81" s="160">
        <f>IFERROR(F81-E81,"N/A")</f>
        <v/>
      </c>
      <c r="M81" s="161">
        <f>IFERROR(('[1]P&amp;L'!$F81-'[1]P&amp;L'!$E81)/ABS('[1]P&amp;L'!$E81),"N/A")</f>
        <v/>
      </c>
      <c r="N81" s="158" t="n"/>
      <c r="O81" s="184" t="n"/>
      <c r="P81" s="61" t="n"/>
      <c r="Q81" s="61" t="n"/>
      <c r="R81" s="61" t="n"/>
      <c r="S81" s="175">
        <f>IFERROR(Q81-R81,"N/A")</f>
        <v/>
      </c>
      <c r="T81" s="161">
        <f>IFERROR(('[1]P&amp;L'!$Q81-'[1]P&amp;L'!$R81)/ABS('[1]P&amp;L'!$R81),"N/A")</f>
        <v/>
      </c>
      <c r="U81" s="158" t="n"/>
      <c r="V81" s="184" t="n"/>
      <c r="W81" s="160">
        <f>IFERROR(Q81-P81,"N/A")</f>
        <v/>
      </c>
      <c r="X81" s="161">
        <f>IFERROR(('[1]P&amp;L'!$Q81-'[1]P&amp;L'!$P81)/ABS('[1]P&amp;L'!$P81),"N/A")</f>
        <v/>
      </c>
      <c r="Y81" s="158" t="n"/>
      <c r="Z81" s="184" t="n"/>
    </row>
    <row r="82" ht="12.75" customHeight="1">
      <c r="A82" s="176" t="inlineStr">
        <is>
          <t>02.C.13</t>
        </is>
      </c>
      <c r="B82" s="176" t="inlineStr">
        <is>
          <t>Automobile and special machinery services</t>
        </is>
      </c>
      <c r="C82" s="176" t="n"/>
      <c r="D82" s="147" t="inlineStr">
        <is>
          <t>-</t>
        </is>
      </c>
      <c r="E82" s="61" t="n"/>
      <c r="F82" s="61" t="n"/>
      <c r="G82" s="61" t="n"/>
      <c r="H82" s="156">
        <f>IFERROR(F82-G82,"N/A")</f>
        <v/>
      </c>
      <c r="I82" s="161">
        <f>IFERROR(('[1]P&amp;L'!$F82-'[1]P&amp;L'!$G82)/ABS('[1]P&amp;L'!$G82),"N/A")</f>
        <v/>
      </c>
      <c r="J82" s="158" t="n"/>
      <c r="K82" s="184" t="n"/>
      <c r="L82" s="160">
        <f>IFERROR(F82-E82,"N/A")</f>
        <v/>
      </c>
      <c r="M82" s="161">
        <f>IFERROR(('[1]P&amp;L'!$F82-'[1]P&amp;L'!$E82)/ABS('[1]P&amp;L'!$E82),"N/A")</f>
        <v/>
      </c>
      <c r="N82" s="158" t="n"/>
      <c r="O82" s="184" t="n"/>
      <c r="P82" s="61" t="n"/>
      <c r="Q82" s="61" t="n"/>
      <c r="R82" s="61" t="n"/>
      <c r="S82" s="175">
        <f>IFERROR(Q82-R82,"N/A")</f>
        <v/>
      </c>
      <c r="T82" s="161">
        <f>IFERROR(('[1]P&amp;L'!$Q82-'[1]P&amp;L'!$R82)/ABS('[1]P&amp;L'!$R82),"N/A")</f>
        <v/>
      </c>
      <c r="U82" s="158" t="n"/>
      <c r="V82" s="184" t="n"/>
      <c r="W82" s="160">
        <f>IFERROR(Q82-P82,"N/A")</f>
        <v/>
      </c>
      <c r="X82" s="161">
        <f>IFERROR(('[1]P&amp;L'!$Q82-'[1]P&amp;L'!$P82)/ABS('[1]P&amp;L'!$P82),"N/A")</f>
        <v/>
      </c>
      <c r="Y82" s="158" t="n"/>
      <c r="Z82" s="184" t="n"/>
    </row>
    <row r="83" ht="12.75" customHeight="1">
      <c r="A83" s="163" t="inlineStr">
        <is>
          <t>02.C.14</t>
        </is>
      </c>
      <c r="B83" s="163" t="inlineStr">
        <is>
          <t>Transportation of products (S&amp;D)</t>
        </is>
      </c>
      <c r="C83" s="163" t="n"/>
      <c r="D83" s="153" t="inlineStr">
        <is>
          <t>-</t>
        </is>
      </c>
      <c r="E83" s="167">
        <f>SUM(E84:E86)</f>
        <v/>
      </c>
      <c r="F83" s="167">
        <f>SUM(F84:F86)</f>
        <v/>
      </c>
      <c r="G83" s="167">
        <f>SUM(G84:G86)</f>
        <v/>
      </c>
      <c r="H83" s="165">
        <f>IFERROR(F83-G83,"N/A")</f>
        <v/>
      </c>
      <c r="I83" s="166">
        <f>IFERROR(('[1]P&amp;L'!$F83-'[1]P&amp;L'!$G83)/ABS('[1]P&amp;L'!$G83),"N/A")</f>
        <v/>
      </c>
      <c r="J83" s="167" t="n"/>
      <c r="K83" s="167" t="n"/>
      <c r="L83" s="165">
        <f>IFERROR(F83-E83,"N/A")</f>
        <v/>
      </c>
      <c r="M83" s="166">
        <f>IFERROR(('[1]P&amp;L'!$F83-'[1]P&amp;L'!$E83)/ABS('[1]P&amp;L'!$E83),"N/A")</f>
        <v/>
      </c>
      <c r="N83" s="167" t="n"/>
      <c r="O83" s="167" t="n"/>
      <c r="P83" s="167">
        <f>SUM(P84:P86)</f>
        <v/>
      </c>
      <c r="Q83" s="167">
        <f>SUM(Q84:Q86)</f>
        <v/>
      </c>
      <c r="R83" s="167">
        <f>SUM(R84:R86)</f>
        <v/>
      </c>
      <c r="S83" s="167">
        <f>IFERROR(Q83-R83,"N/A")</f>
        <v/>
      </c>
      <c r="T83" s="166">
        <f>IFERROR(('[1]P&amp;L'!$Q83-'[1]P&amp;L'!$R83)/ABS('[1]P&amp;L'!$R83),"N/A")</f>
        <v/>
      </c>
      <c r="U83" s="167" t="n"/>
      <c r="V83" s="143" t="n"/>
      <c r="W83" s="165">
        <f>IFERROR(Q83-P83,"N/A")</f>
        <v/>
      </c>
      <c r="X83" s="166">
        <f>IFERROR(('[1]P&amp;L'!$Q83-'[1]P&amp;L'!$P83)/ABS('[1]P&amp;L'!$P83),"N/A")</f>
        <v/>
      </c>
      <c r="Y83" s="167" t="n"/>
      <c r="Z83" s="143" t="n"/>
    </row>
    <row r="84" ht="12.75" customHeight="1">
      <c r="A84" s="179" t="inlineStr">
        <is>
          <t>02.C.14.01</t>
        </is>
      </c>
      <c r="B84" s="179" t="inlineStr">
        <is>
          <t>Reimbursable transportation services</t>
        </is>
      </c>
      <c r="C84" s="179" t="n"/>
      <c r="D84" s="147" t="inlineStr">
        <is>
          <t>-</t>
        </is>
      </c>
      <c r="E84" s="61" t="n"/>
      <c r="F84" s="61" t="n"/>
      <c r="G84" s="61" t="n"/>
      <c r="H84" s="156">
        <f>IFERROR(F84-G84,"N/A")</f>
        <v/>
      </c>
      <c r="I84" s="161">
        <f>IFERROR(('[1]P&amp;L'!$F84-'[1]P&amp;L'!$G84)/ABS('[1]P&amp;L'!$G84),"N/A")</f>
        <v/>
      </c>
      <c r="J84" s="158" t="n"/>
      <c r="K84" s="184" t="n"/>
      <c r="L84" s="160">
        <f>IFERROR(F84-E84,"N/A")</f>
        <v/>
      </c>
      <c r="M84" s="161">
        <f>IFERROR(('[1]P&amp;L'!$F84-'[1]P&amp;L'!$E84)/ABS('[1]P&amp;L'!$E84),"N/A")</f>
        <v/>
      </c>
      <c r="N84" s="158" t="n"/>
      <c r="O84" s="184" t="n"/>
      <c r="P84" s="61" t="n"/>
      <c r="Q84" s="61" t="n"/>
      <c r="R84" s="61" t="n"/>
      <c r="S84" s="175">
        <f>IFERROR(Q84-R84,"N/A")</f>
        <v/>
      </c>
      <c r="T84" s="161">
        <f>IFERROR(('[1]P&amp;L'!$Q84-'[1]P&amp;L'!$R84)/ABS('[1]P&amp;L'!$R84),"N/A")</f>
        <v/>
      </c>
      <c r="U84" s="158" t="n"/>
      <c r="V84" s="184" t="n"/>
      <c r="W84" s="160">
        <f>IFERROR(Q84-P84,"N/A")</f>
        <v/>
      </c>
      <c r="X84" s="161">
        <f>IFERROR(('[1]P&amp;L'!$Q84-'[1]P&amp;L'!$P84)/ABS('[1]P&amp;L'!$P84),"N/A")</f>
        <v/>
      </c>
      <c r="Y84" s="158" t="n"/>
      <c r="Z84" s="184" t="n"/>
    </row>
    <row r="85" ht="12.75" customHeight="1">
      <c r="A85" s="179" t="inlineStr">
        <is>
          <t>02.C.14.02</t>
        </is>
      </c>
      <c r="B85" s="179" t="inlineStr">
        <is>
          <t>Reimbursed transportation services</t>
        </is>
      </c>
      <c r="C85" s="179" t="n"/>
      <c r="D85" s="147" t="inlineStr">
        <is>
          <t>+</t>
        </is>
      </c>
      <c r="E85" s="61" t="n"/>
      <c r="F85" s="61" t="n"/>
      <c r="G85" s="61" t="n"/>
      <c r="H85" s="156">
        <f>IFERROR(F85-G85,"N/A")</f>
        <v/>
      </c>
      <c r="I85" s="161">
        <f>IFERROR(('[1]P&amp;L'!$F85-'[1]P&amp;L'!$G85)/ABS('[1]P&amp;L'!$G85),"N/A")</f>
        <v/>
      </c>
      <c r="J85" s="158" t="n"/>
      <c r="K85" s="184" t="n"/>
      <c r="L85" s="160">
        <f>IFERROR(F85-E85,"N/A")</f>
        <v/>
      </c>
      <c r="M85" s="161">
        <f>IFERROR(('[1]P&amp;L'!$F85-'[1]P&amp;L'!$E85)/ABS('[1]P&amp;L'!$E85),"N/A")</f>
        <v/>
      </c>
      <c r="N85" s="158" t="n"/>
      <c r="O85" s="184" t="n"/>
      <c r="P85" s="61" t="n"/>
      <c r="Q85" s="61" t="n"/>
      <c r="R85" s="61" t="n"/>
      <c r="S85" s="175">
        <f>IFERROR(Q85-R85,"N/A")</f>
        <v/>
      </c>
      <c r="T85" s="161">
        <f>IFERROR(('[1]P&amp;L'!$Q85-'[1]P&amp;L'!$R85)/ABS('[1]P&amp;L'!$R85),"N/A")</f>
        <v/>
      </c>
      <c r="U85" s="158" t="n"/>
      <c r="V85" s="184" t="n"/>
      <c r="W85" s="160">
        <f>IFERROR(Q85-P85,"N/A")</f>
        <v/>
      </c>
      <c r="X85" s="161">
        <f>IFERROR(('[1]P&amp;L'!$Q85-'[1]P&amp;L'!$P85)/ABS('[1]P&amp;L'!$P85),"N/A")</f>
        <v/>
      </c>
      <c r="Y85" s="158" t="n"/>
      <c r="Z85" s="184" t="n"/>
    </row>
    <row r="86" ht="12.75" customHeight="1">
      <c r="A86" s="179" t="inlineStr">
        <is>
          <t>02.C.14.03</t>
        </is>
      </c>
      <c r="B86" s="179" t="inlineStr">
        <is>
          <t>Un-reimbursable transportation services</t>
        </is>
      </c>
      <c r="C86" s="179" t="n"/>
      <c r="D86" s="147" t="inlineStr">
        <is>
          <t>-</t>
        </is>
      </c>
      <c r="E86" s="61" t="n"/>
      <c r="F86" s="61" t="n"/>
      <c r="G86" s="61" t="n"/>
      <c r="H86" s="156">
        <f>IFERROR(F86-G86,"N/A")</f>
        <v/>
      </c>
      <c r="I86" s="161">
        <f>IFERROR(('[1]P&amp;L'!$F86-'[1]P&amp;L'!$G86)/ABS('[1]P&amp;L'!$G86),"N/A")</f>
        <v/>
      </c>
      <c r="J86" s="158" t="n"/>
      <c r="K86" s="184" t="n"/>
      <c r="L86" s="160">
        <f>IFERROR(F86-E86,"N/A")</f>
        <v/>
      </c>
      <c r="M86" s="161">
        <f>IFERROR(('[1]P&amp;L'!$F86-'[1]P&amp;L'!$E86)/ABS('[1]P&amp;L'!$E86),"N/A")</f>
        <v/>
      </c>
      <c r="N86" s="158" t="n"/>
      <c r="O86" s="184" t="n"/>
      <c r="P86" s="61" t="n"/>
      <c r="Q86" s="61" t="n"/>
      <c r="R86" s="61" t="n"/>
      <c r="S86" s="175">
        <f>IFERROR(Q86-R86,"N/A")</f>
        <v/>
      </c>
      <c r="T86" s="161">
        <f>IFERROR(('[1]P&amp;L'!$Q86-'[1]P&amp;L'!$R86)/ABS('[1]P&amp;L'!$R86),"N/A")</f>
        <v/>
      </c>
      <c r="U86" s="158" t="n"/>
      <c r="V86" s="184" t="n"/>
      <c r="W86" s="160">
        <f>IFERROR(Q86-P86,"N/A")</f>
        <v/>
      </c>
      <c r="X86" s="161">
        <f>IFERROR(('[1]P&amp;L'!$Q86-'[1]P&amp;L'!$P86)/ABS('[1]P&amp;L'!$P86),"N/A")</f>
        <v/>
      </c>
      <c r="Y86" s="158" t="n"/>
      <c r="Z86" s="184" t="n"/>
    </row>
    <row r="87" ht="12.75" customHeight="1">
      <c r="A87" s="176" t="inlineStr">
        <is>
          <t>02.C.15</t>
        </is>
      </c>
      <c r="B87" s="176" t="inlineStr">
        <is>
          <t>Commission services</t>
        </is>
      </c>
      <c r="C87" s="176" t="n"/>
      <c r="D87" s="147" t="inlineStr">
        <is>
          <t>-</t>
        </is>
      </c>
      <c r="E87" s="61" t="n"/>
      <c r="F87" s="61" t="n"/>
      <c r="G87" s="61" t="n"/>
      <c r="H87" s="156">
        <f>IFERROR(F87-G87,"N/A")</f>
        <v/>
      </c>
      <c r="I87" s="161">
        <f>IFERROR(('[1]P&amp;L'!$F87-'[1]P&amp;L'!$G87)/ABS('[1]P&amp;L'!$G87),"N/A")</f>
        <v/>
      </c>
      <c r="J87" s="158" t="n"/>
      <c r="K87" s="184" t="n"/>
      <c r="L87" s="160">
        <f>IFERROR(F87-E87,"N/A")</f>
        <v/>
      </c>
      <c r="M87" s="161">
        <f>IFERROR(('[1]P&amp;L'!$F87-'[1]P&amp;L'!$E87)/ABS('[1]P&amp;L'!$E87),"N/A")</f>
        <v/>
      </c>
      <c r="N87" s="158" t="n"/>
      <c r="O87" s="184" t="n"/>
      <c r="P87" s="61" t="n"/>
      <c r="Q87" s="61" t="n"/>
      <c r="R87" s="61" t="n"/>
      <c r="S87" s="175">
        <f>IFERROR(Q87-R87,"N/A")</f>
        <v/>
      </c>
      <c r="T87" s="161">
        <f>IFERROR(('[1]P&amp;L'!$Q87-'[1]P&amp;L'!$R87)/ABS('[1]P&amp;L'!$R87),"N/A")</f>
        <v/>
      </c>
      <c r="U87" s="158" t="n"/>
      <c r="V87" s="184" t="n"/>
      <c r="W87" s="160">
        <f>IFERROR(Q87-P87,"N/A")</f>
        <v/>
      </c>
      <c r="X87" s="161">
        <f>IFERROR(('[1]P&amp;L'!$Q87-'[1]P&amp;L'!$P87)/ABS('[1]P&amp;L'!$P87),"N/A")</f>
        <v/>
      </c>
      <c r="Y87" s="158" t="n"/>
      <c r="Z87" s="184" t="n"/>
    </row>
    <row r="88" ht="12.75" customHeight="1">
      <c r="A88" s="176" t="inlineStr">
        <is>
          <t>02.C.16</t>
        </is>
      </c>
      <c r="B88" s="176" t="inlineStr">
        <is>
          <t>Other (S&amp;D)</t>
        </is>
      </c>
      <c r="C88" s="176" t="n"/>
      <c r="D88" s="180" t="inlineStr">
        <is>
          <t>-</t>
        </is>
      </c>
      <c r="E88" s="61" t="n"/>
      <c r="F88" s="61" t="n"/>
      <c r="G88" s="61" t="n"/>
      <c r="H88" s="156">
        <f>IFERROR(F88-G88,"N/A")</f>
        <v/>
      </c>
      <c r="I88" s="161">
        <f>IFERROR(('[1]P&amp;L'!$F88-'[1]P&amp;L'!$G88)/ABS('[1]P&amp;L'!$G88),"N/A")</f>
        <v/>
      </c>
      <c r="J88" s="158" t="n"/>
      <c r="K88" s="184" t="n"/>
      <c r="L88" s="160">
        <f>IFERROR(F88-E88,"N/A")</f>
        <v/>
      </c>
      <c r="M88" s="161">
        <f>IFERROR(('[1]P&amp;L'!$F88-'[1]P&amp;L'!$E88)/ABS('[1]P&amp;L'!$E88),"N/A")</f>
        <v/>
      </c>
      <c r="N88" s="158" t="n"/>
      <c r="O88" s="184" t="n"/>
      <c r="P88" s="61" t="n"/>
      <c r="Q88" s="61" t="n"/>
      <c r="R88" s="61" t="n"/>
      <c r="S88" s="175">
        <f>IFERROR(Q88-R88,"N/A")</f>
        <v/>
      </c>
      <c r="T88" s="161">
        <f>IFERROR(('[1]P&amp;L'!$Q88-'[1]P&amp;L'!$R88)/ABS('[1]P&amp;L'!$R88),"N/A")</f>
        <v/>
      </c>
      <c r="U88" s="158" t="n"/>
      <c r="V88" s="184" t="n"/>
      <c r="W88" s="160">
        <f>IFERROR(Q88-P88,"N/A")</f>
        <v/>
      </c>
      <c r="X88" s="161">
        <f>IFERROR(('[1]P&amp;L'!$Q88-'[1]P&amp;L'!$P88)/ABS('[1]P&amp;L'!$P88),"N/A")</f>
        <v/>
      </c>
      <c r="Y88" s="158" t="n"/>
      <c r="Z88" s="184" t="n"/>
    </row>
    <row r="89" ht="12.75" customHeight="1">
      <c r="A89" s="181" t="inlineStr">
        <is>
          <t>02.D</t>
        </is>
      </c>
      <c r="B89" s="181" t="inlineStr">
        <is>
          <t>Social expenses</t>
        </is>
      </c>
      <c r="C89" s="181" t="n"/>
      <c r="D89" s="153" t="inlineStr">
        <is>
          <t>-</t>
        </is>
      </c>
      <c r="E89" s="143">
        <f>SUM(E90:E91,E95:E108)</f>
        <v/>
      </c>
      <c r="F89" s="143">
        <f>SUM(F90:F91,F95:F108)</f>
        <v/>
      </c>
      <c r="G89" s="143">
        <f>SUM(G90:G91,G95:G108)</f>
        <v/>
      </c>
      <c r="H89" s="154">
        <f>IFERROR(F89-G89,"N/A")</f>
        <v/>
      </c>
      <c r="I89" s="155">
        <f>IFERROR(('[1]P&amp;L'!$F89-'[1]P&amp;L'!$G89)/ABS('[1]P&amp;L'!$G89),"N/A")</f>
        <v/>
      </c>
      <c r="J89" s="143" t="n"/>
      <c r="K89" s="143" t="n"/>
      <c r="L89" s="154">
        <f>IFERROR(F89-E89,"N/A")</f>
        <v/>
      </c>
      <c r="M89" s="155">
        <f>IFERROR(('[1]P&amp;L'!$F89-'[1]P&amp;L'!$E89)/ABS('[1]P&amp;L'!$E89),"N/A")</f>
        <v/>
      </c>
      <c r="N89" s="143" t="n"/>
      <c r="O89" s="143" t="n"/>
      <c r="P89" s="143">
        <f>SUM(P90:P91,P95:P108)</f>
        <v/>
      </c>
      <c r="Q89" s="143">
        <f>SUM(Q90:Q91,Q95:Q108)</f>
        <v/>
      </c>
      <c r="R89" s="143">
        <f>SUM(R90:R91,R95:R108)</f>
        <v/>
      </c>
      <c r="S89" s="143">
        <f>IFERROR(Q89-R89,"N/A")</f>
        <v/>
      </c>
      <c r="T89" s="155">
        <f>IFERROR(('[1]P&amp;L'!$Q89-'[1]P&amp;L'!$R89)/ABS('[1]P&amp;L'!$R89),"N/A")</f>
        <v/>
      </c>
      <c r="U89" s="143" t="n"/>
      <c r="V89" s="143" t="n"/>
      <c r="W89" s="154">
        <f>IFERROR(Q89-P89,"N/A")</f>
        <v/>
      </c>
      <c r="X89" s="155">
        <f>IFERROR(('[1]P&amp;L'!$Q89-'[1]P&amp;L'!$P89)/ABS('[1]P&amp;L'!$P89),"N/A")</f>
        <v/>
      </c>
      <c r="Y89" s="143" t="n"/>
      <c r="Z89" s="143" t="n"/>
    </row>
    <row r="90" ht="12.75" customHeight="1">
      <c r="A90" s="146" t="inlineStr">
        <is>
          <t>02.D.01</t>
        </is>
      </c>
      <c r="B90" s="146" t="inlineStr">
        <is>
          <t>Wages, salaries, SSPF and other employee expenses</t>
        </is>
      </c>
      <c r="C90" s="146" t="n"/>
      <c r="D90" s="182" t="inlineStr">
        <is>
          <t>-</t>
        </is>
      </c>
      <c r="E90" s="61" t="n"/>
      <c r="F90" s="61" t="n"/>
      <c r="G90" s="61" t="n"/>
      <c r="H90" s="156">
        <f>IFERROR(F90-G90,"N/A")</f>
        <v/>
      </c>
      <c r="I90" s="161">
        <f>IFERROR(('[1]P&amp;L'!$F90-'[1]P&amp;L'!$G90)/ABS('[1]P&amp;L'!$G90),"N/A")</f>
        <v/>
      </c>
      <c r="J90" s="158" t="n"/>
      <c r="K90" s="183" t="n"/>
      <c r="L90" s="160">
        <f>IFERROR(F90-E90,"N/A")</f>
        <v/>
      </c>
      <c r="M90" s="161">
        <f>IFERROR(('[1]P&amp;L'!$F90-'[1]P&amp;L'!$E90)/ABS('[1]P&amp;L'!$E90),"N/A")</f>
        <v/>
      </c>
      <c r="N90" s="158" t="n"/>
      <c r="O90" s="160" t="n"/>
      <c r="P90" s="61" t="n"/>
      <c r="Q90" s="61" t="n"/>
      <c r="R90" s="61" t="n"/>
      <c r="S90" s="175">
        <f>IFERROR(Q90-R90,"N/A")</f>
        <v/>
      </c>
      <c r="T90" s="161">
        <f>IFERROR(('[1]P&amp;L'!$Q90-'[1]P&amp;L'!$R90)/ABS('[1]P&amp;L'!$R90),"N/A")</f>
        <v/>
      </c>
      <c r="U90" s="158" t="n"/>
      <c r="V90" s="184" t="n"/>
      <c r="W90" s="160">
        <f>IFERROR(Q90-P90,"N/A")</f>
        <v/>
      </c>
      <c r="X90" s="161">
        <f>IFERROR(('[1]P&amp;L'!$Q90-'[1]P&amp;L'!$P90)/ABS('[1]P&amp;L'!$P90),"N/A")</f>
        <v/>
      </c>
      <c r="Y90" s="158" t="n"/>
      <c r="Z90" s="184" t="n"/>
    </row>
    <row r="91" ht="25.5" customHeight="1">
      <c r="A91" s="163" t="inlineStr">
        <is>
          <t>02.D.02</t>
        </is>
      </c>
      <c r="B91" s="163" t="inlineStr">
        <is>
          <t>Depreciation (property, plant and equipment and right-of-use assets) and amortization</t>
        </is>
      </c>
      <c r="C91" s="163" t="n"/>
      <c r="D91" s="167" t="inlineStr">
        <is>
          <t>-</t>
        </is>
      </c>
      <c r="E91" s="167">
        <f>SUM(E92:E94)</f>
        <v/>
      </c>
      <c r="F91" s="167">
        <f>SUM(F92:F94)</f>
        <v/>
      </c>
      <c r="G91" s="167">
        <f>SUM(G92:G94)</f>
        <v/>
      </c>
      <c r="H91" s="165">
        <f>IFERROR(F91-G91,"N/A")</f>
        <v/>
      </c>
      <c r="I91" s="166">
        <f>IFERROR(('[1]P&amp;L'!$F91-'[1]P&amp;L'!$G91)/ABS('[1]P&amp;L'!$G91),"N/A")</f>
        <v/>
      </c>
      <c r="J91" s="167" t="n"/>
      <c r="K91" s="143" t="n"/>
      <c r="L91" s="165">
        <f>IFERROR(F91-E91,"N/A")</f>
        <v/>
      </c>
      <c r="M91" s="166">
        <f>IFERROR(('[1]P&amp;L'!$F91-'[1]P&amp;L'!$E91)/ABS('[1]P&amp;L'!$E91),"N/A")</f>
        <v/>
      </c>
      <c r="N91" s="167" t="n"/>
      <c r="O91" s="143" t="n"/>
      <c r="P91" s="167">
        <f>SUM(P92:P94)</f>
        <v/>
      </c>
      <c r="Q91" s="167">
        <f>SUM(Q92:Q94)</f>
        <v/>
      </c>
      <c r="R91" s="167">
        <f>SUM(R92:R94)</f>
        <v/>
      </c>
      <c r="S91" s="167">
        <f>IFERROR(Q91-R91,"N/A")</f>
        <v/>
      </c>
      <c r="T91" s="166">
        <f>IFERROR(('[1]P&amp;L'!$Q91-'[1]P&amp;L'!$R91)/ABS('[1]P&amp;L'!$R91),"N/A")</f>
        <v/>
      </c>
      <c r="U91" s="167" t="n"/>
      <c r="V91" s="143" t="n"/>
      <c r="W91" s="165">
        <f>IFERROR(Q91-P91,"N/A")</f>
        <v/>
      </c>
      <c r="X91" s="166">
        <f>IFERROR(('[1]P&amp;L'!$Q91-'[1]P&amp;L'!$P91)/ABS('[1]P&amp;L'!$P91),"N/A")</f>
        <v/>
      </c>
      <c r="Y91" s="167" t="n"/>
      <c r="Z91" s="143" t="n"/>
    </row>
    <row r="92" ht="25.5" customHeight="1">
      <c r="A92" s="178" t="inlineStr">
        <is>
          <t>02.D.02.01</t>
        </is>
      </c>
      <c r="B92" s="178" t="inlineStr">
        <is>
          <t>Depreciation (property, plant and equipment)</t>
        </is>
      </c>
      <c r="C92" s="178" t="n"/>
      <c r="D92" s="182" t="inlineStr">
        <is>
          <t>-</t>
        </is>
      </c>
      <c r="E92" s="61" t="n"/>
      <c r="F92" s="61" t="n"/>
      <c r="G92" s="61" t="n"/>
      <c r="H92" s="156">
        <f>IFERROR(F92-G92,"N/A")</f>
        <v/>
      </c>
      <c r="I92" s="161">
        <f>IFERROR(('[1]P&amp;L'!$F92-'[1]P&amp;L'!$G92)/ABS('[1]P&amp;L'!$G92),"N/A")</f>
        <v/>
      </c>
      <c r="J92" s="158" t="n"/>
      <c r="K92" s="183" t="n"/>
      <c r="L92" s="160">
        <f>IFERROR(F92-E92,"N/A")</f>
        <v/>
      </c>
      <c r="M92" s="161">
        <f>IFERROR(('[1]P&amp;L'!$F92-'[1]P&amp;L'!$E92)/ABS('[1]P&amp;L'!$E92),"N/A")</f>
        <v/>
      </c>
      <c r="N92" s="158" t="n"/>
      <c r="O92" s="160" t="n"/>
      <c r="P92" s="61" t="n"/>
      <c r="Q92" s="61" t="n"/>
      <c r="R92" s="61" t="n"/>
      <c r="S92" s="175">
        <f>IFERROR(Q92-R92,"N/A")</f>
        <v/>
      </c>
      <c r="T92" s="161">
        <f>IFERROR(('[1]P&amp;L'!$Q92-'[1]P&amp;L'!$R92)/ABS('[1]P&amp;L'!$R92),"N/A")</f>
        <v/>
      </c>
      <c r="U92" s="158" t="n"/>
      <c r="V92" s="184" t="n"/>
      <c r="W92" s="160">
        <f>IFERROR(Q92-P92,"N/A")</f>
        <v/>
      </c>
      <c r="X92" s="161">
        <f>IFERROR(('[1]P&amp;L'!$Q92-'[1]P&amp;L'!$P92)/ABS('[1]P&amp;L'!$P92),"N/A")</f>
        <v/>
      </c>
      <c r="Y92" s="158" t="n"/>
      <c r="Z92" s="184" t="n"/>
    </row>
    <row r="93" ht="25.5" customHeight="1">
      <c r="A93" s="178" t="inlineStr">
        <is>
          <t>02.D.02.02</t>
        </is>
      </c>
      <c r="B93" s="178" t="inlineStr">
        <is>
          <t>Depreciation (right-of-use assets)</t>
        </is>
      </c>
      <c r="C93" s="178" t="n"/>
      <c r="D93" s="182" t="inlineStr">
        <is>
          <t>-</t>
        </is>
      </c>
      <c r="E93" s="61" t="n"/>
      <c r="F93" s="61" t="n"/>
      <c r="G93" s="61" t="n"/>
      <c r="H93" s="156">
        <f>IFERROR(F93-G93,"N/A")</f>
        <v/>
      </c>
      <c r="I93" s="161">
        <f>IFERROR(('[1]P&amp;L'!$F93-'[1]P&amp;L'!$G93)/ABS('[1]P&amp;L'!$G93),"N/A")</f>
        <v/>
      </c>
      <c r="J93" s="158" t="n"/>
      <c r="K93" s="183" t="n"/>
      <c r="L93" s="160">
        <f>IFERROR(F93-E93,"N/A")</f>
        <v/>
      </c>
      <c r="M93" s="161">
        <f>IFERROR(('[1]P&amp;L'!$F93-'[1]P&amp;L'!$E93)/ABS('[1]P&amp;L'!$E93),"N/A")</f>
        <v/>
      </c>
      <c r="N93" s="158" t="n"/>
      <c r="O93" s="160" t="n"/>
      <c r="P93" s="61" t="n"/>
      <c r="Q93" s="61" t="n"/>
      <c r="R93" s="61" t="n"/>
      <c r="S93" s="175">
        <f>IFERROR(Q93-R93,"N/A")</f>
        <v/>
      </c>
      <c r="T93" s="161">
        <f>IFERROR(('[1]P&amp;L'!$Q93-'[1]P&amp;L'!$R93)/ABS('[1]P&amp;L'!$R93),"N/A")</f>
        <v/>
      </c>
      <c r="U93" s="158" t="n"/>
      <c r="V93" s="184" t="n"/>
      <c r="W93" s="160">
        <f>IFERROR(Q93-P93,"N/A")</f>
        <v/>
      </c>
      <c r="X93" s="161">
        <f>IFERROR(('[1]P&amp;L'!$Q93-'[1]P&amp;L'!$P93)/ABS('[1]P&amp;L'!$P93),"N/A")</f>
        <v/>
      </c>
      <c r="Y93" s="158" t="n"/>
      <c r="Z93" s="184" t="n"/>
    </row>
    <row r="94" ht="25.5" customHeight="1">
      <c r="A94" s="178" t="inlineStr">
        <is>
          <t>02.D.02.03</t>
        </is>
      </c>
      <c r="B94" s="178" t="inlineStr">
        <is>
          <t>Amortization (intangible assets)</t>
        </is>
      </c>
      <c r="C94" s="178" t="inlineStr">
        <is>
          <t>Amortizasiya (qeyri-maddi aktivləri)</t>
        </is>
      </c>
      <c r="D94" s="182" t="inlineStr">
        <is>
          <t>-</t>
        </is>
      </c>
      <c r="E94" s="61" t="n"/>
      <c r="F94" s="61" t="n"/>
      <c r="G94" s="61" t="n"/>
      <c r="H94" s="156">
        <f>IFERROR(F94-G94,"N/A")</f>
        <v/>
      </c>
      <c r="I94" s="161">
        <f>IFERROR(('[1]P&amp;L'!$F94-'[1]P&amp;L'!$G94)/ABS('[1]P&amp;L'!$G94),"N/A")</f>
        <v/>
      </c>
      <c r="J94" s="158" t="n"/>
      <c r="K94" s="183" t="n"/>
      <c r="L94" s="160">
        <f>IFERROR(F94-E94,"N/A")</f>
        <v/>
      </c>
      <c r="M94" s="161">
        <f>IFERROR(('[1]P&amp;L'!$F94-'[1]P&amp;L'!$E94)/ABS('[1]P&amp;L'!$E94),"N/A")</f>
        <v/>
      </c>
      <c r="N94" s="158" t="n"/>
      <c r="O94" s="160" t="n"/>
      <c r="P94" s="61" t="n"/>
      <c r="Q94" s="61" t="n"/>
      <c r="R94" s="61" t="n"/>
      <c r="S94" s="175">
        <f>IFERROR(Q94-R94,"N/A")</f>
        <v/>
      </c>
      <c r="T94" s="161">
        <f>IFERROR(('[1]P&amp;L'!$Q94-'[1]P&amp;L'!$R94)/ABS('[1]P&amp;L'!$R94),"N/A")</f>
        <v/>
      </c>
      <c r="U94" s="158" t="n"/>
      <c r="V94" s="184" t="n"/>
      <c r="W94" s="160">
        <f>IFERROR(Q94-P94,"N/A")</f>
        <v/>
      </c>
      <c r="X94" s="161">
        <f>IFERROR(('[1]P&amp;L'!$Q94-'[1]P&amp;L'!$P94)/ABS('[1]P&amp;L'!$P94),"N/A")</f>
        <v/>
      </c>
      <c r="Y94" s="158" t="n"/>
      <c r="Z94" s="184" t="n"/>
    </row>
    <row r="95" ht="12.75" customHeight="1">
      <c r="A95" s="146" t="inlineStr">
        <is>
          <t>02.D.03</t>
        </is>
      </c>
      <c r="B95" s="146" t="inlineStr">
        <is>
          <t>Raw materials and consumables used</t>
        </is>
      </c>
      <c r="C95" s="146" t="n"/>
      <c r="D95" s="182" t="inlineStr">
        <is>
          <t>-</t>
        </is>
      </c>
      <c r="E95" s="61" t="n"/>
      <c r="F95" s="61" t="n"/>
      <c r="G95" s="61" t="n"/>
      <c r="H95" s="156">
        <f>IFERROR(F95-G95,"N/A")</f>
        <v/>
      </c>
      <c r="I95" s="161">
        <f>IFERROR(('[1]P&amp;L'!$F95-'[1]P&amp;L'!$G95)/ABS('[1]P&amp;L'!$G95),"N/A")</f>
        <v/>
      </c>
      <c r="J95" s="158" t="n"/>
      <c r="K95" s="183" t="n"/>
      <c r="L95" s="160">
        <f>IFERROR(F95-E95,"N/A")</f>
        <v/>
      </c>
      <c r="M95" s="161">
        <f>IFERROR(('[1]P&amp;L'!$F95-'[1]P&amp;L'!$E95)/ABS('[1]P&amp;L'!$E95),"N/A")</f>
        <v/>
      </c>
      <c r="N95" s="158" t="n"/>
      <c r="O95" s="160" t="n"/>
      <c r="P95" s="61" t="n"/>
      <c r="Q95" s="61" t="n"/>
      <c r="R95" s="61" t="n"/>
      <c r="S95" s="175">
        <f>IFERROR(Q95-R95,"N/A")</f>
        <v/>
      </c>
      <c r="T95" s="161">
        <f>IFERROR(('[1]P&amp;L'!$Q95-'[1]P&amp;L'!$R95)/ABS('[1]P&amp;L'!$R95),"N/A")</f>
        <v/>
      </c>
      <c r="U95" s="158" t="n"/>
      <c r="V95" s="184" t="n"/>
      <c r="W95" s="160">
        <f>IFERROR(Q95-P95,"N/A")</f>
        <v/>
      </c>
      <c r="X95" s="161">
        <f>IFERROR(('[1]P&amp;L'!$Q95-'[1]P&amp;L'!$P95)/ABS('[1]P&amp;L'!$P95),"N/A")</f>
        <v/>
      </c>
      <c r="Y95" s="158" t="n"/>
      <c r="Z95" s="184" t="n"/>
    </row>
    <row r="96" ht="12.75" customHeight="1">
      <c r="A96" s="146" t="inlineStr">
        <is>
          <t>02.D.04</t>
        </is>
      </c>
      <c r="B96" s="146" t="inlineStr">
        <is>
          <t>Utilities expenses</t>
        </is>
      </c>
      <c r="C96" s="146" t="n"/>
      <c r="D96" s="182" t="inlineStr">
        <is>
          <t>-</t>
        </is>
      </c>
      <c r="E96" s="61" t="n"/>
      <c r="F96" s="61" t="n"/>
      <c r="G96" s="61" t="n"/>
      <c r="H96" s="156">
        <f>IFERROR(F96-G96,"N/A")</f>
        <v/>
      </c>
      <c r="I96" s="161">
        <f>IFERROR(('[1]P&amp;L'!$F96-'[1]P&amp;L'!$G96)/ABS('[1]P&amp;L'!$G96),"N/A")</f>
        <v/>
      </c>
      <c r="J96" s="158" t="n"/>
      <c r="K96" s="183" t="n"/>
      <c r="L96" s="160">
        <f>IFERROR(F96-E96,"N/A")</f>
        <v/>
      </c>
      <c r="M96" s="161">
        <f>IFERROR(('[1]P&amp;L'!$F96-'[1]P&amp;L'!$E96)/ABS('[1]P&amp;L'!$E96),"N/A")</f>
        <v/>
      </c>
      <c r="N96" s="158" t="n"/>
      <c r="O96" s="160" t="n"/>
      <c r="P96" s="61" t="n"/>
      <c r="Q96" s="61" t="n"/>
      <c r="R96" s="61" t="n"/>
      <c r="S96" s="175">
        <f>IFERROR(Q96-R96,"N/A")</f>
        <v/>
      </c>
      <c r="T96" s="161">
        <f>IFERROR(('[1]P&amp;L'!$Q96-'[1]P&amp;L'!$R96)/ABS('[1]P&amp;L'!$R96),"N/A")</f>
        <v/>
      </c>
      <c r="U96" s="158" t="n"/>
      <c r="V96" s="184" t="n"/>
      <c r="W96" s="160">
        <f>IFERROR(Q96-P96,"N/A")</f>
        <v/>
      </c>
      <c r="X96" s="161">
        <f>IFERROR(('[1]P&amp;L'!$Q96-'[1]P&amp;L'!$P96)/ABS('[1]P&amp;L'!$P96),"N/A")</f>
        <v/>
      </c>
      <c r="Y96" s="158" t="n"/>
      <c r="Z96" s="184" t="n"/>
    </row>
    <row r="97" ht="12.75" customHeight="1">
      <c r="A97" s="146" t="inlineStr">
        <is>
          <t>02.D.05</t>
        </is>
      </c>
      <c r="B97" s="146" t="inlineStr">
        <is>
          <t>Repairs and maintenance expenses</t>
        </is>
      </c>
      <c r="C97" s="146" t="n"/>
      <c r="D97" s="182" t="inlineStr">
        <is>
          <t>-</t>
        </is>
      </c>
      <c r="E97" s="61" t="n"/>
      <c r="F97" s="61" t="n"/>
      <c r="G97" s="61" t="n"/>
      <c r="H97" s="156">
        <f>IFERROR(F97-G97,"N/A")</f>
        <v/>
      </c>
      <c r="I97" s="161">
        <f>IFERROR(('[1]P&amp;L'!$F97-'[1]P&amp;L'!$G97)/ABS('[1]P&amp;L'!$G97),"N/A")</f>
        <v/>
      </c>
      <c r="J97" s="158" t="n"/>
      <c r="K97" s="183" t="n"/>
      <c r="L97" s="160">
        <f>IFERROR(F97-E97,"N/A")</f>
        <v/>
      </c>
      <c r="M97" s="161">
        <f>IFERROR(('[1]P&amp;L'!$F97-'[1]P&amp;L'!$E97)/ABS('[1]P&amp;L'!$E97),"N/A")</f>
        <v/>
      </c>
      <c r="N97" s="158" t="n"/>
      <c r="O97" s="160" t="n"/>
      <c r="P97" s="61" t="n"/>
      <c r="Q97" s="61" t="n"/>
      <c r="R97" s="61" t="n"/>
      <c r="S97" s="175">
        <f>IFERROR(Q97-R97,"N/A")</f>
        <v/>
      </c>
      <c r="T97" s="161">
        <f>IFERROR(('[1]P&amp;L'!$Q97-'[1]P&amp;L'!$R97)/ABS('[1]P&amp;L'!$R97),"N/A")</f>
        <v/>
      </c>
      <c r="U97" s="158" t="n"/>
      <c r="V97" s="184" t="n"/>
      <c r="W97" s="160">
        <f>IFERROR(Q97-P97,"N/A")</f>
        <v/>
      </c>
      <c r="X97" s="161">
        <f>IFERROR(('[1]P&amp;L'!$Q97-'[1]P&amp;L'!$P97)/ABS('[1]P&amp;L'!$P97),"N/A")</f>
        <v/>
      </c>
      <c r="Y97" s="158" t="n"/>
      <c r="Z97" s="184" t="n"/>
    </row>
    <row r="98" ht="25.5" customHeight="1">
      <c r="A98" s="146" t="inlineStr">
        <is>
          <t>02.D.06</t>
        </is>
      </c>
      <c r="B98" s="146" t="inlineStr">
        <is>
          <t>Taxes other than income</t>
        </is>
      </c>
      <c r="C98" s="146" t="n"/>
      <c r="D98" s="182" t="inlineStr">
        <is>
          <t>-</t>
        </is>
      </c>
      <c r="E98" s="61" t="n"/>
      <c r="F98" s="61" t="n"/>
      <c r="G98" s="61" t="n"/>
      <c r="H98" s="156">
        <f>IFERROR(F98-G98,"N/A")</f>
        <v/>
      </c>
      <c r="I98" s="161">
        <f>IFERROR(('[1]P&amp;L'!$F98-'[1]P&amp;L'!$G98)/ABS('[1]P&amp;L'!$G98),"N/A")</f>
        <v/>
      </c>
      <c r="J98" s="158" t="n"/>
      <c r="K98" s="183" t="n"/>
      <c r="L98" s="160">
        <f>IFERROR(F98-E98,"N/A")</f>
        <v/>
      </c>
      <c r="M98" s="161">
        <f>IFERROR(('[1]P&amp;L'!$F98-'[1]P&amp;L'!$E98)/ABS('[1]P&amp;L'!$E98),"N/A")</f>
        <v/>
      </c>
      <c r="N98" s="158" t="n"/>
      <c r="O98" s="160" t="n"/>
      <c r="P98" s="61" t="n"/>
      <c r="Q98" s="61" t="n"/>
      <c r="R98" s="61" t="n"/>
      <c r="S98" s="175">
        <f>IFERROR(Q98-R98,"N/A")</f>
        <v/>
      </c>
      <c r="T98" s="161">
        <f>IFERROR(('[1]P&amp;L'!$Q98-'[1]P&amp;L'!$R98)/ABS('[1]P&amp;L'!$R98),"N/A")</f>
        <v/>
      </c>
      <c r="U98" s="158" t="n"/>
      <c r="V98" s="184" t="n"/>
      <c r="W98" s="160">
        <f>IFERROR(Q98-P98,"N/A")</f>
        <v/>
      </c>
      <c r="X98" s="161">
        <f>IFERROR(('[1]P&amp;L'!$Q98-'[1]P&amp;L'!$P98)/ABS('[1]P&amp;L'!$P98),"N/A")</f>
        <v/>
      </c>
      <c r="Y98" s="158" t="n"/>
      <c r="Z98" s="184" t="n"/>
    </row>
    <row r="99" ht="12.75" customHeight="1">
      <c r="A99" s="146" t="inlineStr">
        <is>
          <t>02.D.07</t>
        </is>
      </c>
      <c r="B99" s="146" t="inlineStr">
        <is>
          <t>Rent expenses</t>
        </is>
      </c>
      <c r="C99" s="146" t="n"/>
      <c r="D99" s="182" t="inlineStr">
        <is>
          <t>-</t>
        </is>
      </c>
      <c r="E99" s="61" t="n"/>
      <c r="F99" s="61" t="n"/>
      <c r="G99" s="61" t="n"/>
      <c r="H99" s="156">
        <f>IFERROR(F99-G99,"N/A")</f>
        <v/>
      </c>
      <c r="I99" s="161">
        <f>IFERROR(('[1]P&amp;L'!$F99-'[1]P&amp;L'!$G99)/ABS('[1]P&amp;L'!$G99),"N/A")</f>
        <v/>
      </c>
      <c r="J99" s="158" t="n"/>
      <c r="K99" s="183" t="n"/>
      <c r="L99" s="160">
        <f>IFERROR(F99-E99,"N/A")</f>
        <v/>
      </c>
      <c r="M99" s="161">
        <f>IFERROR(('[1]P&amp;L'!$F99-'[1]P&amp;L'!$E99)/ABS('[1]P&amp;L'!$E99),"N/A")</f>
        <v/>
      </c>
      <c r="N99" s="158" t="n"/>
      <c r="O99" s="160" t="n"/>
      <c r="P99" s="61" t="n"/>
      <c r="Q99" s="61" t="n"/>
      <c r="R99" s="61" t="n"/>
      <c r="S99" s="175">
        <f>IFERROR(Q99-R99,"N/A")</f>
        <v/>
      </c>
      <c r="T99" s="161">
        <f>IFERROR(('[1]P&amp;L'!$Q99-'[1]P&amp;L'!$R99)/ABS('[1]P&amp;L'!$R99),"N/A")</f>
        <v/>
      </c>
      <c r="U99" s="158" t="n"/>
      <c r="V99" s="184" t="n"/>
      <c r="W99" s="160">
        <f>IFERROR(Q99-P99,"N/A")</f>
        <v/>
      </c>
      <c r="X99" s="161">
        <f>IFERROR(('[1]P&amp;L'!$Q99-'[1]P&amp;L'!$P99)/ABS('[1]P&amp;L'!$P99),"N/A")</f>
        <v/>
      </c>
      <c r="Y99" s="158" t="n"/>
      <c r="Z99" s="184" t="n"/>
    </row>
    <row r="100" ht="12.75" customHeight="1">
      <c r="A100" s="146" t="inlineStr">
        <is>
          <t>02.D.08</t>
        </is>
      </c>
      <c r="B100" s="146" t="inlineStr">
        <is>
          <t xml:space="preserve">Insurance expenses </t>
        </is>
      </c>
      <c r="C100" s="146" t="n"/>
      <c r="D100" s="182" t="inlineStr">
        <is>
          <t>-</t>
        </is>
      </c>
      <c r="E100" s="61" t="n"/>
      <c r="F100" s="61" t="n"/>
      <c r="G100" s="61" t="n"/>
      <c r="H100" s="156">
        <f>IFERROR(F100-G100,"N/A")</f>
        <v/>
      </c>
      <c r="I100" s="161">
        <f>IFERROR(('[1]P&amp;L'!$F100-'[1]P&amp;L'!$G100)/ABS('[1]P&amp;L'!$G100),"N/A")</f>
        <v/>
      </c>
      <c r="J100" s="158" t="n"/>
      <c r="K100" s="183" t="n"/>
      <c r="L100" s="160">
        <f>IFERROR(F100-E100,"N/A")</f>
        <v/>
      </c>
      <c r="M100" s="161">
        <f>IFERROR(('[1]P&amp;L'!$F100-'[1]P&amp;L'!$E100)/ABS('[1]P&amp;L'!$E100),"N/A")</f>
        <v/>
      </c>
      <c r="N100" s="158" t="n"/>
      <c r="O100" s="160" t="n"/>
      <c r="P100" s="61" t="n"/>
      <c r="Q100" s="61" t="n"/>
      <c r="R100" s="61" t="n"/>
      <c r="S100" s="175">
        <f>IFERROR(Q100-R100,"N/A")</f>
        <v/>
      </c>
      <c r="T100" s="161">
        <f>IFERROR(('[1]P&amp;L'!$Q100-'[1]P&amp;L'!$R100)/ABS('[1]P&amp;L'!$R100),"N/A")</f>
        <v/>
      </c>
      <c r="U100" s="158" t="n"/>
      <c r="V100" s="184" t="n"/>
      <c r="W100" s="160">
        <f>IFERROR(Q100-P100,"N/A")</f>
        <v/>
      </c>
      <c r="X100" s="161">
        <f>IFERROR(('[1]P&amp;L'!$Q100-'[1]P&amp;L'!$P100)/ABS('[1]P&amp;L'!$P100),"N/A")</f>
        <v/>
      </c>
      <c r="Y100" s="158" t="n"/>
      <c r="Z100" s="184" t="n"/>
    </row>
    <row r="101" ht="12.75" customHeight="1">
      <c r="A101" s="146" t="inlineStr">
        <is>
          <t>02.D.09</t>
        </is>
      </c>
      <c r="B101" s="146" t="inlineStr">
        <is>
          <t xml:space="preserve">Business trip expenses </t>
        </is>
      </c>
      <c r="C101" s="146" t="n"/>
      <c r="D101" s="182" t="inlineStr">
        <is>
          <t>-</t>
        </is>
      </c>
      <c r="E101" s="61" t="n"/>
      <c r="F101" s="61" t="n"/>
      <c r="G101" s="61" t="n"/>
      <c r="H101" s="156">
        <f>IFERROR(F101-G101,"N/A")</f>
        <v/>
      </c>
      <c r="I101" s="161">
        <f>IFERROR(('[1]P&amp;L'!$F101-'[1]P&amp;L'!$G101)/ABS('[1]P&amp;L'!$G101),"N/A")</f>
        <v/>
      </c>
      <c r="J101" s="158" t="n"/>
      <c r="K101" s="183" t="n"/>
      <c r="L101" s="160">
        <f>IFERROR(F101-E101,"N/A")</f>
        <v/>
      </c>
      <c r="M101" s="161">
        <f>IFERROR(('[1]P&amp;L'!$F101-'[1]P&amp;L'!$E101)/ABS('[1]P&amp;L'!$E101),"N/A")</f>
        <v/>
      </c>
      <c r="N101" s="158" t="n"/>
      <c r="O101" s="160" t="n"/>
      <c r="P101" s="61" t="n"/>
      <c r="Q101" s="61" t="n"/>
      <c r="R101" s="61" t="n"/>
      <c r="S101" s="175">
        <f>IFERROR(Q101-R101,"N/A")</f>
        <v/>
      </c>
      <c r="T101" s="161">
        <f>IFERROR(('[1]P&amp;L'!$Q101-'[1]P&amp;L'!$R101)/ABS('[1]P&amp;L'!$R101),"N/A")</f>
        <v/>
      </c>
      <c r="U101" s="158" t="n"/>
      <c r="V101" s="184" t="n"/>
      <c r="W101" s="160">
        <f>IFERROR(Q101-P101,"N/A")</f>
        <v/>
      </c>
      <c r="X101" s="161">
        <f>IFERROR(('[1]P&amp;L'!$Q101-'[1]P&amp;L'!$P101)/ABS('[1]P&amp;L'!$P101),"N/A")</f>
        <v/>
      </c>
      <c r="Y101" s="158" t="n"/>
      <c r="Z101" s="184" t="n"/>
    </row>
    <row r="102" ht="12.75" customHeight="1">
      <c r="A102" s="176" t="inlineStr">
        <is>
          <t>02.D.10</t>
        </is>
      </c>
      <c r="B102" s="176" t="inlineStr">
        <is>
          <t>Storage expense</t>
        </is>
      </c>
      <c r="C102" s="176" t="n"/>
      <c r="D102" s="182" t="inlineStr">
        <is>
          <t>-</t>
        </is>
      </c>
      <c r="E102" s="61" t="n"/>
      <c r="F102" s="61" t="n"/>
      <c r="G102" s="61" t="n"/>
      <c r="H102" s="156">
        <f>IFERROR(F102-G102,"N/A")</f>
        <v/>
      </c>
      <c r="I102" s="161">
        <f>IFERROR(('[1]P&amp;L'!$F102-'[1]P&amp;L'!$G102)/ABS('[1]P&amp;L'!$G102),"N/A")</f>
        <v/>
      </c>
      <c r="J102" s="158" t="n"/>
      <c r="K102" s="183" t="n"/>
      <c r="L102" s="160">
        <f>IFERROR(F102-E102,"N/A")</f>
        <v/>
      </c>
      <c r="M102" s="161">
        <f>IFERROR(('[1]P&amp;L'!$F102-'[1]P&amp;L'!$E102)/ABS('[1]P&amp;L'!$E102),"N/A")</f>
        <v/>
      </c>
      <c r="N102" s="158" t="n"/>
      <c r="O102" s="160" t="n"/>
      <c r="P102" s="61" t="n"/>
      <c r="Q102" s="61" t="n"/>
      <c r="R102" s="61" t="n"/>
      <c r="S102" s="175">
        <f>IFERROR(Q102-R102,"N/A")</f>
        <v/>
      </c>
      <c r="T102" s="161">
        <f>IFERROR(('[1]P&amp;L'!$Q102-'[1]P&amp;L'!$R102)/ABS('[1]P&amp;L'!$R102),"N/A")</f>
        <v/>
      </c>
      <c r="U102" s="158" t="n"/>
      <c r="V102" s="184" t="n"/>
      <c r="W102" s="160">
        <f>IFERROR(Q102-P102,"N/A")</f>
        <v/>
      </c>
      <c r="X102" s="161">
        <f>IFERROR(('[1]P&amp;L'!$Q102-'[1]P&amp;L'!$P102)/ABS('[1]P&amp;L'!$P102),"N/A")</f>
        <v/>
      </c>
      <c r="Y102" s="158" t="n"/>
      <c r="Z102" s="184" t="n"/>
    </row>
    <row r="103" ht="12.75" customHeight="1">
      <c r="A103" s="176" t="inlineStr">
        <is>
          <t>02.D.11</t>
        </is>
      </c>
      <c r="B103" s="176" t="inlineStr">
        <is>
          <t>Security services</t>
        </is>
      </c>
      <c r="C103" s="176" t="n"/>
      <c r="D103" s="182" t="inlineStr">
        <is>
          <t>-</t>
        </is>
      </c>
      <c r="E103" s="61" t="n"/>
      <c r="F103" s="61" t="n"/>
      <c r="G103" s="61" t="n"/>
      <c r="H103" s="156">
        <f>IFERROR(F103-G103,"N/A")</f>
        <v/>
      </c>
      <c r="I103" s="161">
        <f>IFERROR(('[1]P&amp;L'!$F103-'[1]P&amp;L'!$G103)/ABS('[1]P&amp;L'!$G103),"N/A")</f>
        <v/>
      </c>
      <c r="J103" s="158" t="n"/>
      <c r="K103" s="183" t="n"/>
      <c r="L103" s="160">
        <f>IFERROR(F103-E103,"N/A")</f>
        <v/>
      </c>
      <c r="M103" s="161">
        <f>IFERROR(('[1]P&amp;L'!$F103-'[1]P&amp;L'!$E103)/ABS('[1]P&amp;L'!$E103),"N/A")</f>
        <v/>
      </c>
      <c r="N103" s="158" t="n"/>
      <c r="O103" s="160" t="n"/>
      <c r="P103" s="61" t="n"/>
      <c r="Q103" s="61" t="n"/>
      <c r="R103" s="61" t="n"/>
      <c r="S103" s="175">
        <f>IFERROR(Q103-R103,"N/A")</f>
        <v/>
      </c>
      <c r="T103" s="161">
        <f>IFERROR(('[1]P&amp;L'!$Q103-'[1]P&amp;L'!$R103)/ABS('[1]P&amp;L'!$R103),"N/A")</f>
        <v/>
      </c>
      <c r="U103" s="158" t="n"/>
      <c r="V103" s="184" t="n"/>
      <c r="W103" s="160">
        <f>IFERROR(Q103-P103,"N/A")</f>
        <v/>
      </c>
      <c r="X103" s="161">
        <f>IFERROR(('[1]P&amp;L'!$Q103-'[1]P&amp;L'!$P103)/ABS('[1]P&amp;L'!$P103),"N/A")</f>
        <v/>
      </c>
      <c r="Y103" s="158" t="n"/>
      <c r="Z103" s="184" t="n"/>
    </row>
    <row r="104" ht="12.75" customHeight="1">
      <c r="A104" s="176" t="inlineStr">
        <is>
          <t>02.D.12</t>
        </is>
      </c>
      <c r="B104" s="176" t="inlineStr">
        <is>
          <t>Communication and IT services</t>
        </is>
      </c>
      <c r="C104" s="176" t="n"/>
      <c r="D104" s="182" t="inlineStr">
        <is>
          <t>-</t>
        </is>
      </c>
      <c r="E104" s="61" t="n"/>
      <c r="F104" s="61" t="n"/>
      <c r="G104" s="61" t="n"/>
      <c r="H104" s="156">
        <f>IFERROR(F104-G104,"N/A")</f>
        <v/>
      </c>
      <c r="I104" s="161">
        <f>IFERROR(('[1]P&amp;L'!$F104-'[1]P&amp;L'!$G104)/ABS('[1]P&amp;L'!$G104),"N/A")</f>
        <v/>
      </c>
      <c r="J104" s="158" t="n"/>
      <c r="K104" s="183" t="n"/>
      <c r="L104" s="160">
        <f>IFERROR(F104-E104,"N/A")</f>
        <v/>
      </c>
      <c r="M104" s="161">
        <f>IFERROR(('[1]P&amp;L'!$F104-'[1]P&amp;L'!$E104)/ABS('[1]P&amp;L'!$E104),"N/A")</f>
        <v/>
      </c>
      <c r="N104" s="158" t="n"/>
      <c r="O104" s="160" t="n"/>
      <c r="P104" s="61" t="n"/>
      <c r="Q104" s="61" t="n"/>
      <c r="R104" s="61" t="n"/>
      <c r="S104" s="175">
        <f>IFERROR(Q104-R104,"N/A")</f>
        <v/>
      </c>
      <c r="T104" s="161">
        <f>IFERROR(('[1]P&amp;L'!$Q104-'[1]P&amp;L'!$R104)/ABS('[1]P&amp;L'!$R104),"N/A")</f>
        <v/>
      </c>
      <c r="U104" s="158" t="n"/>
      <c r="V104" s="184" t="n"/>
      <c r="W104" s="160">
        <f>IFERROR(Q104-P104,"N/A")</f>
        <v/>
      </c>
      <c r="X104" s="161">
        <f>IFERROR(('[1]P&amp;L'!$Q104-'[1]P&amp;L'!$P104)/ABS('[1]P&amp;L'!$P104),"N/A")</f>
        <v/>
      </c>
      <c r="Y104" s="158" t="n"/>
      <c r="Z104" s="184" t="n"/>
    </row>
    <row r="105" ht="12.75" customHeight="1">
      <c r="A105" s="176" t="inlineStr">
        <is>
          <t>02.D.13</t>
        </is>
      </c>
      <c r="B105" s="176" t="inlineStr">
        <is>
          <t>Automobile and special machinery services</t>
        </is>
      </c>
      <c r="C105" s="176" t="n"/>
      <c r="D105" s="182" t="inlineStr">
        <is>
          <t>-</t>
        </is>
      </c>
      <c r="E105" s="61" t="n"/>
      <c r="F105" s="61" t="n"/>
      <c r="G105" s="61" t="n"/>
      <c r="H105" s="156">
        <f>IFERROR(F105-G105,"N/A")</f>
        <v/>
      </c>
      <c r="I105" s="161">
        <f>IFERROR(('[1]P&amp;L'!$F105-'[1]P&amp;L'!$G105)/ABS('[1]P&amp;L'!$G105),"N/A")</f>
        <v/>
      </c>
      <c r="J105" s="158" t="n"/>
      <c r="K105" s="183" t="n"/>
      <c r="L105" s="160">
        <f>IFERROR(F105-E105,"N/A")</f>
        <v/>
      </c>
      <c r="M105" s="161">
        <f>IFERROR(('[1]P&amp;L'!$F105-'[1]P&amp;L'!$E105)/ABS('[1]P&amp;L'!$E105),"N/A")</f>
        <v/>
      </c>
      <c r="N105" s="158" t="n"/>
      <c r="O105" s="160" t="n"/>
      <c r="P105" s="61" t="n"/>
      <c r="Q105" s="61" t="n"/>
      <c r="R105" s="61" t="n"/>
      <c r="S105" s="175">
        <f>IFERROR(Q105-R105,"N/A")</f>
        <v/>
      </c>
      <c r="T105" s="161">
        <f>IFERROR(('[1]P&amp;L'!$Q105-'[1]P&amp;L'!$R105)/ABS('[1]P&amp;L'!$R105),"N/A")</f>
        <v/>
      </c>
      <c r="U105" s="158" t="n"/>
      <c r="V105" s="184" t="n"/>
      <c r="W105" s="160">
        <f>IFERROR(Q105-P105,"N/A")</f>
        <v/>
      </c>
      <c r="X105" s="161">
        <f>IFERROR(('[1]P&amp;L'!$Q105-'[1]P&amp;L'!$P105)/ABS('[1]P&amp;L'!$P105),"N/A")</f>
        <v/>
      </c>
      <c r="Y105" s="158" t="n"/>
      <c r="Z105" s="184" t="n"/>
    </row>
    <row r="106" ht="12.75" customHeight="1">
      <c r="A106" s="146" t="inlineStr">
        <is>
          <t>02.D.14</t>
        </is>
      </c>
      <c r="B106" s="146" t="inlineStr">
        <is>
          <t>Management services</t>
        </is>
      </c>
      <c r="C106" s="146" t="n"/>
      <c r="D106" s="182" t="inlineStr">
        <is>
          <t>-</t>
        </is>
      </c>
      <c r="E106" s="61" t="n"/>
      <c r="F106" s="61" t="n"/>
      <c r="G106" s="61" t="n"/>
      <c r="H106" s="156">
        <f>IFERROR(F106-G106,"N/A")</f>
        <v/>
      </c>
      <c r="I106" s="161">
        <f>IFERROR(('[1]P&amp;L'!$F106-'[1]P&amp;L'!$G106)/ABS('[1]P&amp;L'!$G106),"N/A")</f>
        <v/>
      </c>
      <c r="J106" s="158" t="n"/>
      <c r="K106" s="183" t="n"/>
      <c r="L106" s="160">
        <f>IFERROR(F106-E106,"N/A")</f>
        <v/>
      </c>
      <c r="M106" s="161">
        <f>IFERROR(('[1]P&amp;L'!$F106-'[1]P&amp;L'!$E106)/ABS('[1]P&amp;L'!$E106),"N/A")</f>
        <v/>
      </c>
      <c r="N106" s="158" t="n"/>
      <c r="O106" s="160" t="n"/>
      <c r="P106" s="61" t="n"/>
      <c r="Q106" s="61" t="n"/>
      <c r="R106" s="61" t="n"/>
      <c r="S106" s="175">
        <f>IFERROR(Q106-R106,"N/A")</f>
        <v/>
      </c>
      <c r="T106" s="161">
        <f>IFERROR(('[1]P&amp;L'!$Q106-'[1]P&amp;L'!$R106)/ABS('[1]P&amp;L'!$R106),"N/A")</f>
        <v/>
      </c>
      <c r="U106" s="158" t="n"/>
      <c r="V106" s="184" t="n"/>
      <c r="W106" s="160">
        <f>IFERROR(Q106-P106,"N/A")</f>
        <v/>
      </c>
      <c r="X106" s="161">
        <f>IFERROR(('[1]P&amp;L'!$Q106-'[1]P&amp;L'!$P106)/ABS('[1]P&amp;L'!$P106),"N/A")</f>
        <v/>
      </c>
      <c r="Y106" s="158" t="n"/>
      <c r="Z106" s="184" t="n"/>
    </row>
    <row r="107" ht="12.75" customHeight="1">
      <c r="A107" s="146" t="inlineStr">
        <is>
          <t>02.D.15</t>
        </is>
      </c>
      <c r="B107" s="146" t="inlineStr">
        <is>
          <t>Consulting and supervision services</t>
        </is>
      </c>
      <c r="C107" s="146" t="n"/>
      <c r="D107" s="182" t="inlineStr">
        <is>
          <t>-</t>
        </is>
      </c>
      <c r="E107" s="61" t="n"/>
      <c r="F107" s="61" t="n"/>
      <c r="G107" s="61" t="n"/>
      <c r="H107" s="156">
        <f>IFERROR(F107-G107,"N/A")</f>
        <v/>
      </c>
      <c r="I107" s="161">
        <f>IFERROR(('[1]P&amp;L'!$F107-'[1]P&amp;L'!$G107)/ABS('[1]P&amp;L'!$G107),"N/A")</f>
        <v/>
      </c>
      <c r="J107" s="158" t="n"/>
      <c r="K107" s="183" t="n"/>
      <c r="L107" s="160">
        <f>IFERROR(F107-E107,"N/A")</f>
        <v/>
      </c>
      <c r="M107" s="161">
        <f>IFERROR(('[1]P&amp;L'!$F107-'[1]P&amp;L'!$E107)/ABS('[1]P&amp;L'!$E107),"N/A")</f>
        <v/>
      </c>
      <c r="N107" s="158" t="n"/>
      <c r="O107" s="160" t="n"/>
      <c r="P107" s="61" t="n"/>
      <c r="Q107" s="61" t="n"/>
      <c r="R107" s="61" t="n"/>
      <c r="S107" s="175">
        <f>IFERROR(Q107-R107,"N/A")</f>
        <v/>
      </c>
      <c r="T107" s="161">
        <f>IFERROR(('[1]P&amp;L'!$Q107-'[1]P&amp;L'!$R107)/ABS('[1]P&amp;L'!$R107),"N/A")</f>
        <v/>
      </c>
      <c r="U107" s="158" t="n"/>
      <c r="V107" s="184" t="n"/>
      <c r="W107" s="160">
        <f>IFERROR(Q107-P107,"N/A")</f>
        <v/>
      </c>
      <c r="X107" s="161">
        <f>IFERROR(('[1]P&amp;L'!$Q107-'[1]P&amp;L'!$P107)/ABS('[1]P&amp;L'!$P107),"N/A")</f>
        <v/>
      </c>
      <c r="Y107" s="158" t="n"/>
      <c r="Z107" s="184" t="n"/>
    </row>
    <row r="108" ht="12.75" customHeight="1">
      <c r="A108" s="146" t="inlineStr">
        <is>
          <t>02.D.16</t>
        </is>
      </c>
      <c r="B108" s="146" t="inlineStr">
        <is>
          <t>Other (Social expenses)</t>
        </is>
      </c>
      <c r="C108" s="146" t="n"/>
      <c r="D108" s="182" t="inlineStr">
        <is>
          <t>-</t>
        </is>
      </c>
      <c r="E108" s="61" t="n"/>
      <c r="F108" s="61" t="n"/>
      <c r="G108" s="61" t="n"/>
      <c r="H108" s="156">
        <f>IFERROR(F108-G108,"N/A")</f>
        <v/>
      </c>
      <c r="I108" s="161">
        <f>IFERROR(('[1]P&amp;L'!$F108-'[1]P&amp;L'!$G108)/ABS('[1]P&amp;L'!$G108),"N/A")</f>
        <v/>
      </c>
      <c r="J108" s="158" t="n"/>
      <c r="K108" s="183" t="n"/>
      <c r="L108" s="160">
        <f>IFERROR(F108-E108,"N/A")</f>
        <v/>
      </c>
      <c r="M108" s="161">
        <f>IFERROR(('[1]P&amp;L'!$F108-'[1]P&amp;L'!$E108)/ABS('[1]P&amp;L'!$E108),"N/A")</f>
        <v/>
      </c>
      <c r="N108" s="158" t="n"/>
      <c r="O108" s="160" t="n"/>
      <c r="P108" s="61" t="n"/>
      <c r="Q108" s="61" t="n"/>
      <c r="R108" s="61" t="n"/>
      <c r="S108" s="175">
        <f>IFERROR(Q108-R108,"N/A")</f>
        <v/>
      </c>
      <c r="T108" s="161">
        <f>IFERROR(('[1]P&amp;L'!$Q108-'[1]P&amp;L'!$R108)/ABS('[1]P&amp;L'!$R108),"N/A")</f>
        <v/>
      </c>
      <c r="U108" s="158" t="n"/>
      <c r="V108" s="184" t="n"/>
      <c r="W108" s="160">
        <f>IFERROR(Q108-P108,"N/A")</f>
        <v/>
      </c>
      <c r="X108" s="161">
        <f>IFERROR(('[1]P&amp;L'!$Q108-'[1]P&amp;L'!$P108)/ABS('[1]P&amp;L'!$P108),"N/A")</f>
        <v/>
      </c>
      <c r="Y108" s="158" t="n"/>
      <c r="Z108" s="184" t="n"/>
    </row>
    <row r="109" ht="12.75" customHeight="1">
      <c r="A109" s="181" t="inlineStr">
        <is>
          <t>02.E</t>
        </is>
      </c>
      <c r="B109" s="181" t="inlineStr">
        <is>
          <t>Exploration expenses</t>
        </is>
      </c>
      <c r="C109" s="181" t="n"/>
      <c r="D109" s="153" t="inlineStr">
        <is>
          <t>-</t>
        </is>
      </c>
      <c r="E109" s="143">
        <f>SUM(E110:E111,E115:E128)</f>
        <v/>
      </c>
      <c r="F109" s="143">
        <f>SUM(F110:F111,F115:F128)</f>
        <v/>
      </c>
      <c r="G109" s="143">
        <f>SUM(G110:G111,G115:G128)</f>
        <v/>
      </c>
      <c r="H109" s="154">
        <f>IFERROR(F109-G109,"N/A")</f>
        <v/>
      </c>
      <c r="I109" s="155">
        <f>IFERROR(('[1]P&amp;L'!$F109-'[1]P&amp;L'!$G109)/ABS('[1]P&amp;L'!$G109),"N/A")</f>
        <v/>
      </c>
      <c r="J109" s="143" t="n"/>
      <c r="K109" s="143" t="n"/>
      <c r="L109" s="154">
        <f>IFERROR(F109-E109,"N/A")</f>
        <v/>
      </c>
      <c r="M109" s="155">
        <f>IFERROR(('[1]P&amp;L'!$F109-'[1]P&amp;L'!$E109)/ABS('[1]P&amp;L'!$E109),"N/A")</f>
        <v/>
      </c>
      <c r="N109" s="143" t="n"/>
      <c r="O109" s="143" t="n"/>
      <c r="P109" s="143">
        <f>SUM(P110:P111,P115:P128)</f>
        <v/>
      </c>
      <c r="Q109" s="143">
        <f>SUM(Q110:Q111,Q115:Q128)</f>
        <v/>
      </c>
      <c r="R109" s="143">
        <f>SUM(R110:R111,R115:R128)</f>
        <v/>
      </c>
      <c r="S109" s="143">
        <f>IFERROR(Q109-R109,"N/A")</f>
        <v/>
      </c>
      <c r="T109" s="155">
        <f>IFERROR(('[1]P&amp;L'!$Q109-'[1]P&amp;L'!$R109)/ABS('[1]P&amp;L'!$R109),"N/A")</f>
        <v/>
      </c>
      <c r="U109" s="143" t="n"/>
      <c r="V109" s="143" t="n"/>
      <c r="W109" s="154">
        <f>IFERROR(Q109-P109,"N/A")</f>
        <v/>
      </c>
      <c r="X109" s="155">
        <f>IFERROR(('[1]P&amp;L'!$Q109-'[1]P&amp;L'!$P109)/ABS('[1]P&amp;L'!$P109),"N/A")</f>
        <v/>
      </c>
      <c r="Y109" s="143" t="n"/>
      <c r="Z109" s="143" t="n"/>
    </row>
    <row r="110" ht="12.75" customHeight="1">
      <c r="A110" s="146" t="inlineStr">
        <is>
          <t>02.E.01</t>
        </is>
      </c>
      <c r="B110" s="146" t="inlineStr">
        <is>
          <t>Wages, salaries, SSPF and other employee expenses</t>
        </is>
      </c>
      <c r="C110" s="146" t="n"/>
      <c r="D110" s="182" t="inlineStr">
        <is>
          <t>-</t>
        </is>
      </c>
      <c r="E110" s="61" t="n"/>
      <c r="F110" s="61" t="n"/>
      <c r="G110" s="61" t="n"/>
      <c r="H110" s="156">
        <f>IFERROR(F110-G110,"N/A")</f>
        <v/>
      </c>
      <c r="I110" s="161">
        <f>IFERROR(('[1]P&amp;L'!$F110-'[1]P&amp;L'!$G110)/ABS('[1]P&amp;L'!$G110),"N/A")</f>
        <v/>
      </c>
      <c r="J110" s="158" t="n"/>
      <c r="K110" s="183" t="n"/>
      <c r="L110" s="160">
        <f>IFERROR(F110-E110,"N/A")</f>
        <v/>
      </c>
      <c r="M110" s="161">
        <f>IFERROR(('[1]P&amp;L'!$F110-'[1]P&amp;L'!$E110)/ABS('[1]P&amp;L'!$E110),"N/A")</f>
        <v/>
      </c>
      <c r="N110" s="158" t="n"/>
      <c r="O110" s="160" t="n"/>
      <c r="P110" s="61" t="n"/>
      <c r="Q110" s="61" t="n"/>
      <c r="R110" s="61" t="n"/>
      <c r="S110" s="175">
        <f>IFERROR(Q110-R110,"N/A")</f>
        <v/>
      </c>
      <c r="T110" s="161">
        <f>IFERROR(('[1]P&amp;L'!$Q110-'[1]P&amp;L'!$R110)/ABS('[1]P&amp;L'!$R110),"N/A")</f>
        <v/>
      </c>
      <c r="U110" s="158" t="n"/>
      <c r="V110" s="184" t="n"/>
      <c r="W110" s="160">
        <f>IFERROR(Q110-P110,"N/A")</f>
        <v/>
      </c>
      <c r="X110" s="161">
        <f>IFERROR(('[1]P&amp;L'!$Q110-'[1]P&amp;L'!$P110)/ABS('[1]P&amp;L'!$P110),"N/A")</f>
        <v/>
      </c>
      <c r="Y110" s="158" t="n"/>
      <c r="Z110" s="184" t="n"/>
    </row>
    <row r="111" ht="25.5" customHeight="1">
      <c r="A111" s="163" t="inlineStr">
        <is>
          <t>02.E.02</t>
        </is>
      </c>
      <c r="B111" s="163" t="inlineStr">
        <is>
          <t>Depreciation (property, plant and equipment and right-of-use assets) and amortization</t>
        </is>
      </c>
      <c r="C111" s="163" t="n"/>
      <c r="D111" s="153" t="inlineStr">
        <is>
          <t>-</t>
        </is>
      </c>
      <c r="E111" s="143">
        <f>SUM(E112:E114)</f>
        <v/>
      </c>
      <c r="F111" s="143">
        <f>SUM(F112:F114)</f>
        <v/>
      </c>
      <c r="G111" s="143">
        <f>SUM(G112:G114)</f>
        <v/>
      </c>
      <c r="H111" s="154">
        <f>IFERROR(F111-G111,"N/A")</f>
        <v/>
      </c>
      <c r="I111" s="155">
        <f>IFERROR(('[1]P&amp;L'!$F111-'[1]P&amp;L'!$G111)/ABS('[1]P&amp;L'!$G111),"N/A")</f>
        <v/>
      </c>
      <c r="J111" s="143" t="n"/>
      <c r="K111" s="143" t="n"/>
      <c r="L111" s="154">
        <f>IFERROR(F111-E111,"N/A")</f>
        <v/>
      </c>
      <c r="M111" s="155">
        <f>IFERROR(('[1]P&amp;L'!$F111-'[1]P&amp;L'!$E111)/ABS('[1]P&amp;L'!$E111),"N/A")</f>
        <v/>
      </c>
      <c r="N111" s="143" t="n"/>
      <c r="O111" s="143" t="n"/>
      <c r="P111" s="143">
        <f>SUM(P112:P114)</f>
        <v/>
      </c>
      <c r="Q111" s="143">
        <f>SUM(Q112:Q114)</f>
        <v/>
      </c>
      <c r="R111" s="143">
        <f>SUM(R112:R114)</f>
        <v/>
      </c>
      <c r="S111" s="143">
        <f>IFERROR(Q111-R111,"N/A")</f>
        <v/>
      </c>
      <c r="T111" s="155">
        <f>IFERROR(('[1]P&amp;L'!$Q111-'[1]P&amp;L'!$R111)/ABS('[1]P&amp;L'!$R111),"N/A")</f>
        <v/>
      </c>
      <c r="U111" s="143" t="n"/>
      <c r="V111" s="143" t="n"/>
      <c r="W111" s="154">
        <f>IFERROR(Q111-P111,"N/A")</f>
        <v/>
      </c>
      <c r="X111" s="155">
        <f>IFERROR(('[1]P&amp;L'!$Q111-'[1]P&amp;L'!$P111)/ABS('[1]P&amp;L'!$P111),"N/A")</f>
        <v/>
      </c>
      <c r="Y111" s="143" t="n"/>
      <c r="Z111" s="143" t="n"/>
    </row>
    <row r="112" ht="25.5" customHeight="1">
      <c r="A112" s="178" t="inlineStr">
        <is>
          <t>02.E.02.01</t>
        </is>
      </c>
      <c r="B112" s="178" t="inlineStr">
        <is>
          <t>Depreciation (property, plant and equipment)</t>
        </is>
      </c>
      <c r="C112" s="178" t="n"/>
      <c r="D112" s="182" t="inlineStr">
        <is>
          <t>-</t>
        </is>
      </c>
      <c r="E112" s="61" t="n"/>
      <c r="F112" s="61" t="n"/>
      <c r="G112" s="61" t="n"/>
      <c r="H112" s="156">
        <f>IFERROR(F112-G112,"N/A")</f>
        <v/>
      </c>
      <c r="I112" s="161">
        <f>IFERROR(('[1]P&amp;L'!$F112-'[1]P&amp;L'!$G112)/ABS('[1]P&amp;L'!$G112),"N/A")</f>
        <v/>
      </c>
      <c r="J112" s="158" t="n"/>
      <c r="K112" s="183" t="n"/>
      <c r="L112" s="160">
        <f>IFERROR(F112-E112,"N/A")</f>
        <v/>
      </c>
      <c r="M112" s="161">
        <f>IFERROR(('[1]P&amp;L'!$F112-'[1]P&amp;L'!$E112)/ABS('[1]P&amp;L'!$E112),"N/A")</f>
        <v/>
      </c>
      <c r="N112" s="158" t="n"/>
      <c r="O112" s="160" t="n"/>
      <c r="P112" s="61" t="n"/>
      <c r="Q112" s="61" t="n"/>
      <c r="R112" s="61" t="n"/>
      <c r="S112" s="175">
        <f>IFERROR(Q112-R112,"N/A")</f>
        <v/>
      </c>
      <c r="T112" s="161">
        <f>IFERROR(('[1]P&amp;L'!$Q112-'[1]P&amp;L'!$R112)/ABS('[1]P&amp;L'!$R112),"N/A")</f>
        <v/>
      </c>
      <c r="U112" s="158" t="n"/>
      <c r="V112" s="184" t="n"/>
      <c r="W112" s="160">
        <f>IFERROR(Q112-P112,"N/A")</f>
        <v/>
      </c>
      <c r="X112" s="161">
        <f>IFERROR(('[1]P&amp;L'!$Q112-'[1]P&amp;L'!$P112)/ABS('[1]P&amp;L'!$P112),"N/A")</f>
        <v/>
      </c>
      <c r="Y112" s="158" t="n"/>
      <c r="Z112" s="184" t="n"/>
    </row>
    <row r="113" ht="25.5" customHeight="1">
      <c r="A113" s="178" t="inlineStr">
        <is>
          <t>02.E.02.02</t>
        </is>
      </c>
      <c r="B113" s="178" t="inlineStr">
        <is>
          <t>Depreciation (right-of-use assets)</t>
        </is>
      </c>
      <c r="C113" s="178" t="n"/>
      <c r="D113" s="182" t="inlineStr">
        <is>
          <t>-</t>
        </is>
      </c>
      <c r="E113" s="61" t="n"/>
      <c r="F113" s="61" t="n"/>
      <c r="G113" s="61" t="n"/>
      <c r="H113" s="156">
        <f>IFERROR(F113-G113,"N/A")</f>
        <v/>
      </c>
      <c r="I113" s="161">
        <f>IFERROR(('[1]P&amp;L'!$F113-'[1]P&amp;L'!$G113)/ABS('[1]P&amp;L'!$G113),"N/A")</f>
        <v/>
      </c>
      <c r="J113" s="158" t="n"/>
      <c r="K113" s="183" t="n"/>
      <c r="L113" s="160">
        <f>IFERROR(F113-E113,"N/A")</f>
        <v/>
      </c>
      <c r="M113" s="161">
        <f>IFERROR(('[1]P&amp;L'!$F113-'[1]P&amp;L'!$E113)/ABS('[1]P&amp;L'!$E113),"N/A")</f>
        <v/>
      </c>
      <c r="N113" s="158" t="n"/>
      <c r="O113" s="160" t="n"/>
      <c r="P113" s="61" t="n"/>
      <c r="Q113" s="61" t="n"/>
      <c r="R113" s="61" t="n"/>
      <c r="S113" s="175">
        <f>IFERROR(Q113-R113,"N/A")</f>
        <v/>
      </c>
      <c r="T113" s="161">
        <f>IFERROR(('[1]P&amp;L'!$Q113-'[1]P&amp;L'!$R113)/ABS('[1]P&amp;L'!$R113),"N/A")</f>
        <v/>
      </c>
      <c r="U113" s="158" t="n"/>
      <c r="V113" s="184" t="n"/>
      <c r="W113" s="160">
        <f>IFERROR(Q113-P113,"N/A")</f>
        <v/>
      </c>
      <c r="X113" s="161">
        <f>IFERROR(('[1]P&amp;L'!$Q113-'[1]P&amp;L'!$P113)/ABS('[1]P&amp;L'!$P113),"N/A")</f>
        <v/>
      </c>
      <c r="Y113" s="158" t="n"/>
      <c r="Z113" s="184" t="n"/>
    </row>
    <row r="114" ht="25.5" customHeight="1">
      <c r="A114" s="178" t="inlineStr">
        <is>
          <t>02.E.02.03</t>
        </is>
      </c>
      <c r="B114" s="178" t="inlineStr">
        <is>
          <t>Amortization (intangible assets)</t>
        </is>
      </c>
      <c r="C114" s="178" t="inlineStr">
        <is>
          <t>Amortizasiya (qeyri-maddi aktivləri)</t>
        </is>
      </c>
      <c r="D114" s="182" t="inlineStr">
        <is>
          <t>-</t>
        </is>
      </c>
      <c r="E114" s="61" t="n"/>
      <c r="F114" s="61" t="n"/>
      <c r="G114" s="61" t="n"/>
      <c r="H114" s="156">
        <f>IFERROR(F114-G114,"N/A")</f>
        <v/>
      </c>
      <c r="I114" s="161">
        <f>IFERROR(('[1]P&amp;L'!$F114-'[1]P&amp;L'!$G114)/ABS('[1]P&amp;L'!$G114),"N/A")</f>
        <v/>
      </c>
      <c r="J114" s="158" t="n"/>
      <c r="K114" s="183" t="n"/>
      <c r="L114" s="160">
        <f>IFERROR(F114-E114,"N/A")</f>
        <v/>
      </c>
      <c r="M114" s="161">
        <f>IFERROR(('[1]P&amp;L'!$F114-'[1]P&amp;L'!$E114)/ABS('[1]P&amp;L'!$E114),"N/A")</f>
        <v/>
      </c>
      <c r="N114" s="158" t="n"/>
      <c r="O114" s="160" t="n"/>
      <c r="P114" s="61" t="n"/>
      <c r="Q114" s="61" t="n"/>
      <c r="R114" s="61" t="n"/>
      <c r="S114" s="175">
        <f>IFERROR(Q114-R114,"N/A")</f>
        <v/>
      </c>
      <c r="T114" s="161">
        <f>IFERROR(('[1]P&amp;L'!$Q114-'[1]P&amp;L'!$R114)/ABS('[1]P&amp;L'!$R114),"N/A")</f>
        <v/>
      </c>
      <c r="U114" s="158" t="n"/>
      <c r="V114" s="184" t="n"/>
      <c r="W114" s="160">
        <f>IFERROR(Q114-P114,"N/A")</f>
        <v/>
      </c>
      <c r="X114" s="161">
        <f>IFERROR(('[1]P&amp;L'!$Q114-'[1]P&amp;L'!$P114)/ABS('[1]P&amp;L'!$P114),"N/A")</f>
        <v/>
      </c>
      <c r="Y114" s="158" t="n"/>
      <c r="Z114" s="184" t="n"/>
    </row>
    <row r="115" ht="12.75" customHeight="1">
      <c r="A115" s="146" t="inlineStr">
        <is>
          <t>02.E.03</t>
        </is>
      </c>
      <c r="B115" s="146" t="inlineStr">
        <is>
          <t>Raw materials and consumables used</t>
        </is>
      </c>
      <c r="C115" s="146" t="n"/>
      <c r="D115" s="182" t="inlineStr">
        <is>
          <t>-</t>
        </is>
      </c>
      <c r="E115" s="61" t="n"/>
      <c r="F115" s="61" t="n"/>
      <c r="G115" s="61" t="n"/>
      <c r="H115" s="156">
        <f>IFERROR(F115-G115,"N/A")</f>
        <v/>
      </c>
      <c r="I115" s="161">
        <f>IFERROR(('[1]P&amp;L'!$F115-'[1]P&amp;L'!$G115)/ABS('[1]P&amp;L'!$G115),"N/A")</f>
        <v/>
      </c>
      <c r="J115" s="158" t="n"/>
      <c r="K115" s="183" t="n"/>
      <c r="L115" s="160">
        <f>IFERROR(F115-E115,"N/A")</f>
        <v/>
      </c>
      <c r="M115" s="161">
        <f>IFERROR(('[1]P&amp;L'!$F115-'[1]P&amp;L'!$E115)/ABS('[1]P&amp;L'!$E115),"N/A")</f>
        <v/>
      </c>
      <c r="N115" s="158" t="n"/>
      <c r="O115" s="160" t="n"/>
      <c r="P115" s="61" t="n"/>
      <c r="Q115" s="61" t="n"/>
      <c r="R115" s="61" t="n"/>
      <c r="S115" s="175">
        <f>IFERROR(Q115-R115,"N/A")</f>
        <v/>
      </c>
      <c r="T115" s="161">
        <f>IFERROR(('[1]P&amp;L'!$Q115-'[1]P&amp;L'!$R115)/ABS('[1]P&amp;L'!$R115),"N/A")</f>
        <v/>
      </c>
      <c r="U115" s="158" t="n"/>
      <c r="V115" s="184" t="n"/>
      <c r="W115" s="160">
        <f>IFERROR(Q115-P115,"N/A")</f>
        <v/>
      </c>
      <c r="X115" s="161">
        <f>IFERROR(('[1]P&amp;L'!$Q115-'[1]P&amp;L'!$P115)/ABS('[1]P&amp;L'!$P115),"N/A")</f>
        <v/>
      </c>
      <c r="Y115" s="158" t="n"/>
      <c r="Z115" s="184" t="n"/>
    </row>
    <row r="116" ht="12.75" customHeight="1">
      <c r="A116" s="146" t="inlineStr">
        <is>
          <t>02.E.04</t>
        </is>
      </c>
      <c r="B116" s="146" t="inlineStr">
        <is>
          <t>Utilities expenses</t>
        </is>
      </c>
      <c r="C116" s="146" t="n"/>
      <c r="D116" s="182" t="inlineStr">
        <is>
          <t>-</t>
        </is>
      </c>
      <c r="E116" s="61" t="n"/>
      <c r="F116" s="61" t="n"/>
      <c r="G116" s="61" t="n"/>
      <c r="H116" s="156">
        <f>IFERROR(F116-G116,"N/A")</f>
        <v/>
      </c>
      <c r="I116" s="161">
        <f>IFERROR(('[1]P&amp;L'!$F116-'[1]P&amp;L'!$G116)/ABS('[1]P&amp;L'!$G116),"N/A")</f>
        <v/>
      </c>
      <c r="J116" s="158" t="n"/>
      <c r="K116" s="183" t="n"/>
      <c r="L116" s="160">
        <f>IFERROR(F116-E116,"N/A")</f>
        <v/>
      </c>
      <c r="M116" s="161">
        <f>IFERROR(('[1]P&amp;L'!$F116-'[1]P&amp;L'!$E116)/ABS('[1]P&amp;L'!$E116),"N/A")</f>
        <v/>
      </c>
      <c r="N116" s="158" t="n"/>
      <c r="O116" s="160" t="n"/>
      <c r="P116" s="61" t="n"/>
      <c r="Q116" s="61" t="n"/>
      <c r="R116" s="61" t="n"/>
      <c r="S116" s="175">
        <f>IFERROR(Q116-R116,"N/A")</f>
        <v/>
      </c>
      <c r="T116" s="161">
        <f>IFERROR(('[1]P&amp;L'!$Q116-'[1]P&amp;L'!$R116)/ABS('[1]P&amp;L'!$R116),"N/A")</f>
        <v/>
      </c>
      <c r="U116" s="158" t="n"/>
      <c r="V116" s="184" t="n"/>
      <c r="W116" s="160">
        <f>IFERROR(Q116-P116,"N/A")</f>
        <v/>
      </c>
      <c r="X116" s="161">
        <f>IFERROR(('[1]P&amp;L'!$Q116-'[1]P&amp;L'!$P116)/ABS('[1]P&amp;L'!$P116),"N/A")</f>
        <v/>
      </c>
      <c r="Y116" s="158" t="n"/>
      <c r="Z116" s="184" t="n"/>
    </row>
    <row r="117" ht="12.75" customHeight="1">
      <c r="A117" s="146" t="inlineStr">
        <is>
          <t>02.E.05</t>
        </is>
      </c>
      <c r="B117" s="146" t="inlineStr">
        <is>
          <t>Repairs and maintenance expenses</t>
        </is>
      </c>
      <c r="C117" s="146" t="n"/>
      <c r="D117" s="182" t="inlineStr">
        <is>
          <t>-</t>
        </is>
      </c>
      <c r="E117" s="61" t="n"/>
      <c r="F117" s="61" t="n"/>
      <c r="G117" s="61" t="n"/>
      <c r="H117" s="156">
        <f>IFERROR(F117-G117,"N/A")</f>
        <v/>
      </c>
      <c r="I117" s="161">
        <f>IFERROR(('[1]P&amp;L'!$F117-'[1]P&amp;L'!$G117)/ABS('[1]P&amp;L'!$G117),"N/A")</f>
        <v/>
      </c>
      <c r="J117" s="158" t="n"/>
      <c r="K117" s="183" t="n"/>
      <c r="L117" s="160">
        <f>IFERROR(F117-E117,"N/A")</f>
        <v/>
      </c>
      <c r="M117" s="161">
        <f>IFERROR(('[1]P&amp;L'!$F117-'[1]P&amp;L'!$E117)/ABS('[1]P&amp;L'!$E117),"N/A")</f>
        <v/>
      </c>
      <c r="N117" s="158" t="n"/>
      <c r="O117" s="160" t="n"/>
      <c r="P117" s="61" t="n"/>
      <c r="Q117" s="61" t="n"/>
      <c r="R117" s="61" t="n"/>
      <c r="S117" s="175">
        <f>IFERROR(Q117-R117,"N/A")</f>
        <v/>
      </c>
      <c r="T117" s="161">
        <f>IFERROR(('[1]P&amp;L'!$Q117-'[1]P&amp;L'!$R117)/ABS('[1]P&amp;L'!$R117),"N/A")</f>
        <v/>
      </c>
      <c r="U117" s="158" t="n"/>
      <c r="V117" s="184" t="n"/>
      <c r="W117" s="160">
        <f>IFERROR(Q117-P117,"N/A")</f>
        <v/>
      </c>
      <c r="X117" s="161">
        <f>IFERROR(('[1]P&amp;L'!$Q117-'[1]P&amp;L'!$P117)/ABS('[1]P&amp;L'!$P117),"N/A")</f>
        <v/>
      </c>
      <c r="Y117" s="158" t="n"/>
      <c r="Z117" s="184" t="n"/>
    </row>
    <row r="118" ht="25.5" customHeight="1">
      <c r="A118" s="146" t="inlineStr">
        <is>
          <t>02.E.06</t>
        </is>
      </c>
      <c r="B118" s="146" t="inlineStr">
        <is>
          <t>Taxes other than income</t>
        </is>
      </c>
      <c r="C118" s="146" t="n"/>
      <c r="D118" s="182" t="inlineStr">
        <is>
          <t>-</t>
        </is>
      </c>
      <c r="E118" s="61" t="n"/>
      <c r="F118" s="61" t="n"/>
      <c r="G118" s="61" t="n"/>
      <c r="H118" s="156">
        <f>IFERROR(F118-G118,"N/A")</f>
        <v/>
      </c>
      <c r="I118" s="161">
        <f>IFERROR(('[1]P&amp;L'!$F118-'[1]P&amp;L'!$G118)/ABS('[1]P&amp;L'!$G118),"N/A")</f>
        <v/>
      </c>
      <c r="J118" s="158" t="n"/>
      <c r="K118" s="183" t="n"/>
      <c r="L118" s="160">
        <f>IFERROR(F118-E118,"N/A")</f>
        <v/>
      </c>
      <c r="M118" s="161">
        <f>IFERROR(('[1]P&amp;L'!$F118-'[1]P&amp;L'!$E118)/ABS('[1]P&amp;L'!$E118),"N/A")</f>
        <v/>
      </c>
      <c r="N118" s="158" t="n"/>
      <c r="O118" s="160" t="n"/>
      <c r="P118" s="61" t="n"/>
      <c r="Q118" s="61" t="n"/>
      <c r="R118" s="61" t="n"/>
      <c r="S118" s="175">
        <f>IFERROR(Q118-R118,"N/A")</f>
        <v/>
      </c>
      <c r="T118" s="161">
        <f>IFERROR(('[1]P&amp;L'!$Q118-'[1]P&amp;L'!$R118)/ABS('[1]P&amp;L'!$R118),"N/A")</f>
        <v/>
      </c>
      <c r="U118" s="158" t="n"/>
      <c r="V118" s="184" t="n"/>
      <c r="W118" s="160">
        <f>IFERROR(Q118-P118,"N/A")</f>
        <v/>
      </c>
      <c r="X118" s="161">
        <f>IFERROR(('[1]P&amp;L'!$Q118-'[1]P&amp;L'!$P118)/ABS('[1]P&amp;L'!$P118),"N/A")</f>
        <v/>
      </c>
      <c r="Y118" s="158" t="n"/>
      <c r="Z118" s="184" t="n"/>
    </row>
    <row r="119" ht="12.75" customHeight="1">
      <c r="A119" s="146" t="inlineStr">
        <is>
          <t>02.E.07</t>
        </is>
      </c>
      <c r="B119" s="146" t="inlineStr">
        <is>
          <t>Rent expenses</t>
        </is>
      </c>
      <c r="C119" s="146" t="n"/>
      <c r="D119" s="182" t="inlineStr">
        <is>
          <t>-</t>
        </is>
      </c>
      <c r="E119" s="61" t="n"/>
      <c r="F119" s="61" t="n"/>
      <c r="G119" s="61" t="n"/>
      <c r="H119" s="156">
        <f>IFERROR(F119-G119,"N/A")</f>
        <v/>
      </c>
      <c r="I119" s="161">
        <f>IFERROR(('[1]P&amp;L'!$F119-'[1]P&amp;L'!$G119)/ABS('[1]P&amp;L'!$G119),"N/A")</f>
        <v/>
      </c>
      <c r="J119" s="158" t="n"/>
      <c r="K119" s="183" t="n"/>
      <c r="L119" s="160">
        <f>IFERROR(F119-E119,"N/A")</f>
        <v/>
      </c>
      <c r="M119" s="161">
        <f>IFERROR(('[1]P&amp;L'!$F119-'[1]P&amp;L'!$E119)/ABS('[1]P&amp;L'!$E119),"N/A")</f>
        <v/>
      </c>
      <c r="N119" s="158" t="n"/>
      <c r="O119" s="160" t="n"/>
      <c r="P119" s="61" t="n"/>
      <c r="Q119" s="61" t="n"/>
      <c r="R119" s="61" t="n"/>
      <c r="S119" s="175">
        <f>IFERROR(Q119-R119,"N/A")</f>
        <v/>
      </c>
      <c r="T119" s="161">
        <f>IFERROR(('[1]P&amp;L'!$Q119-'[1]P&amp;L'!$R119)/ABS('[1]P&amp;L'!$R119),"N/A")</f>
        <v/>
      </c>
      <c r="U119" s="158" t="n"/>
      <c r="V119" s="184" t="n"/>
      <c r="W119" s="160">
        <f>IFERROR(Q119-P119,"N/A")</f>
        <v/>
      </c>
      <c r="X119" s="161">
        <f>IFERROR(('[1]P&amp;L'!$Q119-'[1]P&amp;L'!$P119)/ABS('[1]P&amp;L'!$P119),"N/A")</f>
        <v/>
      </c>
      <c r="Y119" s="158" t="n"/>
      <c r="Z119" s="184" t="n"/>
    </row>
    <row r="120" ht="12.75" customHeight="1">
      <c r="A120" s="146" t="inlineStr">
        <is>
          <t>02.E.08</t>
        </is>
      </c>
      <c r="B120" s="146" t="inlineStr">
        <is>
          <t xml:space="preserve">Insurance expenses </t>
        </is>
      </c>
      <c r="C120" s="146" t="n"/>
      <c r="D120" s="182" t="inlineStr">
        <is>
          <t>-</t>
        </is>
      </c>
      <c r="E120" s="61" t="n"/>
      <c r="F120" s="61" t="n"/>
      <c r="G120" s="61" t="n"/>
      <c r="H120" s="156">
        <f>IFERROR(F120-G120,"N/A")</f>
        <v/>
      </c>
      <c r="I120" s="161">
        <f>IFERROR(('[1]P&amp;L'!$F120-'[1]P&amp;L'!$G120)/ABS('[1]P&amp;L'!$G120),"N/A")</f>
        <v/>
      </c>
      <c r="J120" s="158" t="n"/>
      <c r="K120" s="183" t="n"/>
      <c r="L120" s="160">
        <f>IFERROR(F120-E120,"N/A")</f>
        <v/>
      </c>
      <c r="M120" s="161">
        <f>IFERROR(('[1]P&amp;L'!$F120-'[1]P&amp;L'!$E120)/ABS('[1]P&amp;L'!$E120),"N/A")</f>
        <v/>
      </c>
      <c r="N120" s="158" t="n"/>
      <c r="O120" s="160" t="n"/>
      <c r="P120" s="61" t="n"/>
      <c r="Q120" s="61" t="n"/>
      <c r="R120" s="61" t="n"/>
      <c r="S120" s="175">
        <f>IFERROR(Q120-R120,"N/A")</f>
        <v/>
      </c>
      <c r="T120" s="161">
        <f>IFERROR(('[1]P&amp;L'!$Q120-'[1]P&amp;L'!$R120)/ABS('[1]P&amp;L'!$R120),"N/A")</f>
        <v/>
      </c>
      <c r="U120" s="158" t="n"/>
      <c r="V120" s="184" t="n"/>
      <c r="W120" s="160">
        <f>IFERROR(Q120-P120,"N/A")</f>
        <v/>
      </c>
      <c r="X120" s="161">
        <f>IFERROR(('[1]P&amp;L'!$Q120-'[1]P&amp;L'!$P120)/ABS('[1]P&amp;L'!$P120),"N/A")</f>
        <v/>
      </c>
      <c r="Y120" s="158" t="n"/>
      <c r="Z120" s="184" t="n"/>
    </row>
    <row r="121" ht="12.75" customHeight="1">
      <c r="A121" s="146" t="inlineStr">
        <is>
          <t>02.E.09</t>
        </is>
      </c>
      <c r="B121" s="146" t="inlineStr">
        <is>
          <t xml:space="preserve">Business trip expenses </t>
        </is>
      </c>
      <c r="C121" s="146" t="n"/>
      <c r="D121" s="182" t="inlineStr">
        <is>
          <t>-</t>
        </is>
      </c>
      <c r="E121" s="61" t="n"/>
      <c r="F121" s="61" t="n"/>
      <c r="G121" s="61" t="n"/>
      <c r="H121" s="156">
        <f>IFERROR(F121-G121,"N/A")</f>
        <v/>
      </c>
      <c r="I121" s="161">
        <f>IFERROR(('[1]P&amp;L'!$F121-'[1]P&amp;L'!$G121)/ABS('[1]P&amp;L'!$G121),"N/A")</f>
        <v/>
      </c>
      <c r="J121" s="158" t="n"/>
      <c r="K121" s="183" t="n"/>
      <c r="L121" s="160">
        <f>IFERROR(F121-E121,"N/A")</f>
        <v/>
      </c>
      <c r="M121" s="161">
        <f>IFERROR(('[1]P&amp;L'!$F121-'[1]P&amp;L'!$E121)/ABS('[1]P&amp;L'!$E121),"N/A")</f>
        <v/>
      </c>
      <c r="N121" s="158" t="n"/>
      <c r="O121" s="160" t="n"/>
      <c r="P121" s="61" t="n"/>
      <c r="Q121" s="61" t="n"/>
      <c r="R121" s="61" t="n"/>
      <c r="S121" s="175">
        <f>IFERROR(Q121-R121,"N/A")</f>
        <v/>
      </c>
      <c r="T121" s="161">
        <f>IFERROR(('[1]P&amp;L'!$Q121-'[1]P&amp;L'!$R121)/ABS('[1]P&amp;L'!$R121),"N/A")</f>
        <v/>
      </c>
      <c r="U121" s="158" t="n"/>
      <c r="V121" s="184" t="n"/>
      <c r="W121" s="160">
        <f>IFERROR(Q121-P121,"N/A")</f>
        <v/>
      </c>
      <c r="X121" s="161">
        <f>IFERROR(('[1]P&amp;L'!$Q121-'[1]P&amp;L'!$P121)/ABS('[1]P&amp;L'!$P121),"N/A")</f>
        <v/>
      </c>
      <c r="Y121" s="158" t="n"/>
      <c r="Z121" s="184" t="n"/>
    </row>
    <row r="122" ht="12.75" customHeight="1">
      <c r="A122" s="176" t="inlineStr">
        <is>
          <t>02.E.10</t>
        </is>
      </c>
      <c r="B122" s="176" t="inlineStr">
        <is>
          <t>Storage expense</t>
        </is>
      </c>
      <c r="C122" s="176" t="n"/>
      <c r="D122" s="182" t="inlineStr">
        <is>
          <t>-</t>
        </is>
      </c>
      <c r="E122" s="61" t="n"/>
      <c r="F122" s="61" t="n"/>
      <c r="G122" s="61" t="n"/>
      <c r="H122" s="156">
        <f>IFERROR(F122-G122,"N/A")</f>
        <v/>
      </c>
      <c r="I122" s="161">
        <f>IFERROR(('[1]P&amp;L'!$F122-'[1]P&amp;L'!$G122)/ABS('[1]P&amp;L'!$G122),"N/A")</f>
        <v/>
      </c>
      <c r="J122" s="158" t="n"/>
      <c r="K122" s="183" t="n"/>
      <c r="L122" s="160">
        <f>IFERROR(F122-E122,"N/A")</f>
        <v/>
      </c>
      <c r="M122" s="161">
        <f>IFERROR(('[1]P&amp;L'!$F122-'[1]P&amp;L'!$E122)/ABS('[1]P&amp;L'!$E122),"N/A")</f>
        <v/>
      </c>
      <c r="N122" s="158" t="n"/>
      <c r="O122" s="160" t="n"/>
      <c r="P122" s="61" t="n"/>
      <c r="Q122" s="61" t="n"/>
      <c r="R122" s="61" t="n"/>
      <c r="S122" s="175">
        <f>IFERROR(Q122-R122,"N/A")</f>
        <v/>
      </c>
      <c r="T122" s="161">
        <f>IFERROR(('[1]P&amp;L'!$Q122-'[1]P&amp;L'!$R122)/ABS('[1]P&amp;L'!$R122),"N/A")</f>
        <v/>
      </c>
      <c r="U122" s="158" t="n"/>
      <c r="V122" s="184" t="n"/>
      <c r="W122" s="160">
        <f>IFERROR(Q122-P122,"N/A")</f>
        <v/>
      </c>
      <c r="X122" s="161">
        <f>IFERROR(('[1]P&amp;L'!$Q122-'[1]P&amp;L'!$P122)/ABS('[1]P&amp;L'!$P122),"N/A")</f>
        <v/>
      </c>
      <c r="Y122" s="158" t="n"/>
      <c r="Z122" s="184" t="n"/>
    </row>
    <row r="123" ht="12.75" customHeight="1">
      <c r="A123" s="176" t="inlineStr">
        <is>
          <t>02.E.11</t>
        </is>
      </c>
      <c r="B123" s="176" t="inlineStr">
        <is>
          <t>Security services</t>
        </is>
      </c>
      <c r="C123" s="176" t="n"/>
      <c r="D123" s="182" t="inlineStr">
        <is>
          <t>-</t>
        </is>
      </c>
      <c r="E123" s="61" t="n"/>
      <c r="F123" s="61" t="n"/>
      <c r="G123" s="61" t="n"/>
      <c r="H123" s="156">
        <f>IFERROR(F123-G123,"N/A")</f>
        <v/>
      </c>
      <c r="I123" s="161">
        <f>IFERROR(('[1]P&amp;L'!$F123-'[1]P&amp;L'!$G123)/ABS('[1]P&amp;L'!$G123),"N/A")</f>
        <v/>
      </c>
      <c r="J123" s="158" t="n"/>
      <c r="K123" s="183" t="n"/>
      <c r="L123" s="160">
        <f>IFERROR(F123-E123,"N/A")</f>
        <v/>
      </c>
      <c r="M123" s="161">
        <f>IFERROR(('[1]P&amp;L'!$F123-'[1]P&amp;L'!$E123)/ABS('[1]P&amp;L'!$E123),"N/A")</f>
        <v/>
      </c>
      <c r="N123" s="158" t="n"/>
      <c r="O123" s="160" t="n"/>
      <c r="P123" s="61" t="n"/>
      <c r="Q123" s="61" t="n"/>
      <c r="R123" s="61" t="n"/>
      <c r="S123" s="175">
        <f>IFERROR(Q123-R123,"N/A")</f>
        <v/>
      </c>
      <c r="T123" s="161">
        <f>IFERROR(('[1]P&amp;L'!$Q123-'[1]P&amp;L'!$R123)/ABS('[1]P&amp;L'!$R123),"N/A")</f>
        <v/>
      </c>
      <c r="U123" s="158" t="n"/>
      <c r="V123" s="184" t="n"/>
      <c r="W123" s="160">
        <f>IFERROR(Q123-P123,"N/A")</f>
        <v/>
      </c>
      <c r="X123" s="161">
        <f>IFERROR(('[1]P&amp;L'!$Q123-'[1]P&amp;L'!$P123)/ABS('[1]P&amp;L'!$P123),"N/A")</f>
        <v/>
      </c>
      <c r="Y123" s="158" t="n"/>
      <c r="Z123" s="184" t="n"/>
    </row>
    <row r="124" ht="12.75" customHeight="1">
      <c r="A124" s="176" t="inlineStr">
        <is>
          <t>02.E.12</t>
        </is>
      </c>
      <c r="B124" s="176" t="inlineStr">
        <is>
          <t>Communication and IT services</t>
        </is>
      </c>
      <c r="C124" s="176" t="n"/>
      <c r="D124" s="182" t="inlineStr">
        <is>
          <t>-</t>
        </is>
      </c>
      <c r="E124" s="61" t="n"/>
      <c r="F124" s="61" t="n"/>
      <c r="G124" s="61" t="n"/>
      <c r="H124" s="156">
        <f>IFERROR(F124-G124,"N/A")</f>
        <v/>
      </c>
      <c r="I124" s="161">
        <f>IFERROR(('[1]P&amp;L'!$F124-'[1]P&amp;L'!$G124)/ABS('[1]P&amp;L'!$G124),"N/A")</f>
        <v/>
      </c>
      <c r="J124" s="158" t="n"/>
      <c r="K124" s="183" t="n"/>
      <c r="L124" s="160">
        <f>IFERROR(F124-E124,"N/A")</f>
        <v/>
      </c>
      <c r="M124" s="161">
        <f>IFERROR(('[1]P&amp;L'!$F124-'[1]P&amp;L'!$E124)/ABS('[1]P&amp;L'!$E124),"N/A")</f>
        <v/>
      </c>
      <c r="N124" s="158" t="n"/>
      <c r="O124" s="160" t="n"/>
      <c r="P124" s="61" t="n"/>
      <c r="Q124" s="61" t="n"/>
      <c r="R124" s="61" t="n"/>
      <c r="S124" s="175">
        <f>IFERROR(Q124-R124,"N/A")</f>
        <v/>
      </c>
      <c r="T124" s="161">
        <f>IFERROR(('[1]P&amp;L'!$Q124-'[1]P&amp;L'!$R124)/ABS('[1]P&amp;L'!$R124),"N/A")</f>
        <v/>
      </c>
      <c r="U124" s="158" t="n"/>
      <c r="V124" s="184" t="n"/>
      <c r="W124" s="160">
        <f>IFERROR(Q124-P124,"N/A")</f>
        <v/>
      </c>
      <c r="X124" s="161">
        <f>IFERROR(('[1]P&amp;L'!$Q124-'[1]P&amp;L'!$P124)/ABS('[1]P&amp;L'!$P124),"N/A")</f>
        <v/>
      </c>
      <c r="Y124" s="158" t="n"/>
      <c r="Z124" s="184" t="n"/>
    </row>
    <row r="125" ht="12.75" customHeight="1">
      <c r="A125" s="176" t="inlineStr">
        <is>
          <t>02.E.13</t>
        </is>
      </c>
      <c r="B125" s="176" t="inlineStr">
        <is>
          <t>Automobile and special machinery services</t>
        </is>
      </c>
      <c r="C125" s="176" t="n"/>
      <c r="D125" s="182" t="inlineStr">
        <is>
          <t>-</t>
        </is>
      </c>
      <c r="E125" s="61" t="n"/>
      <c r="F125" s="61" t="n"/>
      <c r="G125" s="61" t="n"/>
      <c r="H125" s="156">
        <f>IFERROR(F125-G125,"N/A")</f>
        <v/>
      </c>
      <c r="I125" s="161">
        <f>IFERROR(('[1]P&amp;L'!$F125-'[1]P&amp;L'!$G125)/ABS('[1]P&amp;L'!$G125),"N/A")</f>
        <v/>
      </c>
      <c r="J125" s="158" t="n"/>
      <c r="K125" s="183" t="n"/>
      <c r="L125" s="160">
        <f>IFERROR(F125-E125,"N/A")</f>
        <v/>
      </c>
      <c r="M125" s="161">
        <f>IFERROR(('[1]P&amp;L'!$F125-'[1]P&amp;L'!$E125)/ABS('[1]P&amp;L'!$E125),"N/A")</f>
        <v/>
      </c>
      <c r="N125" s="158" t="n"/>
      <c r="O125" s="160" t="n"/>
      <c r="P125" s="61" t="n"/>
      <c r="Q125" s="61" t="n"/>
      <c r="R125" s="61" t="n"/>
      <c r="S125" s="175">
        <f>IFERROR(Q125-R125,"N/A")</f>
        <v/>
      </c>
      <c r="T125" s="161">
        <f>IFERROR(('[1]P&amp;L'!$Q125-'[1]P&amp;L'!$R125)/ABS('[1]P&amp;L'!$R125),"N/A")</f>
        <v/>
      </c>
      <c r="U125" s="158" t="n"/>
      <c r="V125" s="184" t="n"/>
      <c r="W125" s="160">
        <f>IFERROR(Q125-P125,"N/A")</f>
        <v/>
      </c>
      <c r="X125" s="161">
        <f>IFERROR(('[1]P&amp;L'!$Q125-'[1]P&amp;L'!$P125)/ABS('[1]P&amp;L'!$P125),"N/A")</f>
        <v/>
      </c>
      <c r="Y125" s="158" t="n"/>
      <c r="Z125" s="184" t="n"/>
    </row>
    <row r="126" ht="12.75" customHeight="1">
      <c r="A126" s="146" t="inlineStr">
        <is>
          <t>02.E.14</t>
        </is>
      </c>
      <c r="B126" s="146" t="inlineStr">
        <is>
          <t>Management services</t>
        </is>
      </c>
      <c r="C126" s="146" t="n"/>
      <c r="D126" s="182" t="inlineStr">
        <is>
          <t>-</t>
        </is>
      </c>
      <c r="E126" s="61" t="n"/>
      <c r="F126" s="61" t="n"/>
      <c r="G126" s="61" t="n"/>
      <c r="H126" s="156">
        <f>IFERROR(F126-G126,"N/A")</f>
        <v/>
      </c>
      <c r="I126" s="161">
        <f>IFERROR(('[1]P&amp;L'!$F126-'[1]P&amp;L'!$G126)/ABS('[1]P&amp;L'!$G126),"N/A")</f>
        <v/>
      </c>
      <c r="J126" s="158" t="n"/>
      <c r="K126" s="183" t="n"/>
      <c r="L126" s="160">
        <f>IFERROR(F126-E126,"N/A")</f>
        <v/>
      </c>
      <c r="M126" s="161">
        <f>IFERROR(('[1]P&amp;L'!$F126-'[1]P&amp;L'!$E126)/ABS('[1]P&amp;L'!$E126),"N/A")</f>
        <v/>
      </c>
      <c r="N126" s="158" t="n"/>
      <c r="O126" s="160" t="n"/>
      <c r="P126" s="61" t="n"/>
      <c r="Q126" s="61" t="n"/>
      <c r="R126" s="61" t="n"/>
      <c r="S126" s="175">
        <f>IFERROR(Q126-R126,"N/A")</f>
        <v/>
      </c>
      <c r="T126" s="161">
        <f>IFERROR(('[1]P&amp;L'!$Q126-'[1]P&amp;L'!$R126)/ABS('[1]P&amp;L'!$R126),"N/A")</f>
        <v/>
      </c>
      <c r="U126" s="158" t="n"/>
      <c r="V126" s="184" t="n"/>
      <c r="W126" s="160">
        <f>IFERROR(Q126-P126,"N/A")</f>
        <v/>
      </c>
      <c r="X126" s="161">
        <f>IFERROR(('[1]P&amp;L'!$Q126-'[1]P&amp;L'!$P126)/ABS('[1]P&amp;L'!$P126),"N/A")</f>
        <v/>
      </c>
      <c r="Y126" s="158" t="n"/>
      <c r="Z126" s="184" t="n"/>
    </row>
    <row r="127" ht="12.75" customHeight="1">
      <c r="A127" s="146" t="inlineStr">
        <is>
          <t>02.E.15</t>
        </is>
      </c>
      <c r="B127" s="146" t="inlineStr">
        <is>
          <t>Consulting and supervision services</t>
        </is>
      </c>
      <c r="C127" s="146" t="n"/>
      <c r="D127" s="182" t="inlineStr">
        <is>
          <t>-</t>
        </is>
      </c>
      <c r="E127" s="61" t="n"/>
      <c r="F127" s="61" t="n"/>
      <c r="G127" s="61" t="n"/>
      <c r="H127" s="156">
        <f>IFERROR(F127-G127,"N/A")</f>
        <v/>
      </c>
      <c r="I127" s="161">
        <f>IFERROR(('[1]P&amp;L'!$F127-'[1]P&amp;L'!$G127)/ABS('[1]P&amp;L'!$G127),"N/A")</f>
        <v/>
      </c>
      <c r="J127" s="158" t="n"/>
      <c r="K127" s="183" t="n"/>
      <c r="L127" s="160">
        <f>IFERROR(F127-E127,"N/A")</f>
        <v/>
      </c>
      <c r="M127" s="161">
        <f>IFERROR(('[1]P&amp;L'!$F127-'[1]P&amp;L'!$E127)/ABS('[1]P&amp;L'!$E127),"N/A")</f>
        <v/>
      </c>
      <c r="N127" s="158" t="n"/>
      <c r="O127" s="160" t="n"/>
      <c r="P127" s="61" t="n"/>
      <c r="Q127" s="61" t="n"/>
      <c r="R127" s="61" t="n"/>
      <c r="S127" s="175">
        <f>IFERROR(Q127-R127,"N/A")</f>
        <v/>
      </c>
      <c r="T127" s="161">
        <f>IFERROR(('[1]P&amp;L'!$Q127-'[1]P&amp;L'!$R127)/ABS('[1]P&amp;L'!$R127),"N/A")</f>
        <v/>
      </c>
      <c r="U127" s="158" t="n"/>
      <c r="V127" s="184" t="n"/>
      <c r="W127" s="160">
        <f>IFERROR(Q127-P127,"N/A")</f>
        <v/>
      </c>
      <c r="X127" s="161">
        <f>IFERROR(('[1]P&amp;L'!$Q127-'[1]P&amp;L'!$P127)/ABS('[1]P&amp;L'!$P127),"N/A")</f>
        <v/>
      </c>
      <c r="Y127" s="158" t="n"/>
      <c r="Z127" s="184" t="n"/>
    </row>
    <row r="128" ht="12.75" customHeight="1">
      <c r="A128" s="146" t="inlineStr">
        <is>
          <t>02.E.16</t>
        </is>
      </c>
      <c r="B128" s="146" t="inlineStr">
        <is>
          <t>Other (Exploration expenses)</t>
        </is>
      </c>
      <c r="C128" s="146" t="n"/>
      <c r="D128" s="182" t="inlineStr">
        <is>
          <t>-</t>
        </is>
      </c>
      <c r="E128" s="61" t="n"/>
      <c r="F128" s="61" t="n"/>
      <c r="G128" s="61" t="n"/>
      <c r="H128" s="156">
        <f>IFERROR(F128-G128,"N/A")</f>
        <v/>
      </c>
      <c r="I128" s="161">
        <f>IFERROR(('[1]P&amp;L'!$F128-'[1]P&amp;L'!$G128)/ABS('[1]P&amp;L'!$G128),"N/A")</f>
        <v/>
      </c>
      <c r="J128" s="158" t="n"/>
      <c r="K128" s="183" t="n"/>
      <c r="L128" s="160">
        <f>IFERROR(F128-E128,"N/A")</f>
        <v/>
      </c>
      <c r="M128" s="161">
        <f>IFERROR(('[1]P&amp;L'!$F128-'[1]P&amp;L'!$E128)/ABS('[1]P&amp;L'!$E128),"N/A")</f>
        <v/>
      </c>
      <c r="N128" s="158" t="n"/>
      <c r="O128" s="160" t="n"/>
      <c r="P128" s="61" t="n"/>
      <c r="Q128" s="61" t="n"/>
      <c r="R128" s="61" t="n"/>
      <c r="S128" s="175">
        <f>IFERROR(Q128-R128,"N/A")</f>
        <v/>
      </c>
      <c r="T128" s="161">
        <f>IFERROR(('[1]P&amp;L'!$Q128-'[1]P&amp;L'!$R128)/ABS('[1]P&amp;L'!$R128),"N/A")</f>
        <v/>
      </c>
      <c r="U128" s="158" t="n"/>
      <c r="V128" s="184" t="n"/>
      <c r="W128" s="160">
        <f>IFERROR(Q128-P128,"N/A")</f>
        <v/>
      </c>
      <c r="X128" s="161">
        <f>IFERROR(('[1]P&amp;L'!$Q128-'[1]P&amp;L'!$P128)/ABS('[1]P&amp;L'!$P128),"N/A")</f>
        <v/>
      </c>
      <c r="Y128" s="158" t="n"/>
      <c r="Z128" s="184" t="n"/>
    </row>
    <row r="129" ht="12.75" customHeight="1">
      <c r="A129" s="181" t="inlineStr">
        <is>
          <t>02.F</t>
        </is>
      </c>
      <c r="B129" s="181" t="inlineStr">
        <is>
          <t>R&amp;D expenses</t>
        </is>
      </c>
      <c r="C129" s="181" t="n"/>
      <c r="D129" s="153" t="inlineStr">
        <is>
          <t>-</t>
        </is>
      </c>
      <c r="E129" s="143">
        <f>SUM(E130:E131,E135:E148)</f>
        <v/>
      </c>
      <c r="F129" s="143">
        <f>SUM(F130:F131,F135:F148)</f>
        <v/>
      </c>
      <c r="G129" s="143">
        <f>SUM(G130:G131,G135:G148)</f>
        <v/>
      </c>
      <c r="H129" s="154">
        <f>IFERROR(F129-G129,"N/A")</f>
        <v/>
      </c>
      <c r="I129" s="155">
        <f>IFERROR(('[1]P&amp;L'!$F129-'[1]P&amp;L'!$G129)/ABS('[1]P&amp;L'!$G129),"N/A")</f>
        <v/>
      </c>
      <c r="J129" s="143" t="n"/>
      <c r="K129" s="143" t="n"/>
      <c r="L129" s="154">
        <f>IFERROR(F129-E129,"N/A")</f>
        <v/>
      </c>
      <c r="M129" s="155">
        <f>IFERROR(('[1]P&amp;L'!$F129-'[1]P&amp;L'!$E129)/ABS('[1]P&amp;L'!$E129),"N/A")</f>
        <v/>
      </c>
      <c r="N129" s="143" t="n"/>
      <c r="O129" s="143" t="n"/>
      <c r="P129" s="143">
        <f>SUM(P130:P131,P135:P148)</f>
        <v/>
      </c>
      <c r="Q129" s="143">
        <f>SUM(Q130:Q131,Q135:Q148)</f>
        <v/>
      </c>
      <c r="R129" s="143">
        <f>SUM(R130:R131,R135:R148)</f>
        <v/>
      </c>
      <c r="S129" s="143">
        <f>IFERROR(Q129-R129,"N/A")</f>
        <v/>
      </c>
      <c r="T129" s="155">
        <f>IFERROR(('[1]P&amp;L'!$Q129-'[1]P&amp;L'!$R129)/ABS('[1]P&amp;L'!$R129),"N/A")</f>
        <v/>
      </c>
      <c r="U129" s="143" t="n"/>
      <c r="V129" s="143" t="n"/>
      <c r="W129" s="154">
        <f>IFERROR(Q129-P129,"N/A")</f>
        <v/>
      </c>
      <c r="X129" s="155">
        <f>IFERROR(('[1]P&amp;L'!$Q129-'[1]P&amp;L'!$P129)/ABS('[1]P&amp;L'!$P129),"N/A")</f>
        <v/>
      </c>
      <c r="Y129" s="143" t="n"/>
      <c r="Z129" s="143" t="n"/>
    </row>
    <row r="130" ht="12.75" customHeight="1">
      <c r="A130" s="146" t="inlineStr">
        <is>
          <t>02.F.01</t>
        </is>
      </c>
      <c r="B130" s="146" t="inlineStr">
        <is>
          <t>Wages, salaries, SSPF and other employee expenses</t>
        </is>
      </c>
      <c r="C130" s="146" t="n"/>
      <c r="D130" s="147" t="inlineStr">
        <is>
          <t>-</t>
        </is>
      </c>
      <c r="E130" s="61" t="n"/>
      <c r="F130" s="61" t="n"/>
      <c r="G130" s="61" t="n"/>
      <c r="H130" s="156">
        <f>IFERROR(F130-G130,"N/A")</f>
        <v/>
      </c>
      <c r="I130" s="161">
        <f>IFERROR(('[1]P&amp;L'!$F130-'[1]P&amp;L'!$G130)/ABS('[1]P&amp;L'!$G130),"N/A")</f>
        <v/>
      </c>
      <c r="J130" s="158" t="n"/>
      <c r="K130" s="183" t="n"/>
      <c r="L130" s="160">
        <f>IFERROR(F130-E130,"N/A")</f>
        <v/>
      </c>
      <c r="M130" s="161">
        <f>IFERROR(('[1]P&amp;L'!$F130-'[1]P&amp;L'!$E130)/ABS('[1]P&amp;L'!$E130),"N/A")</f>
        <v/>
      </c>
      <c r="N130" s="158" t="n"/>
      <c r="O130" s="160" t="n"/>
      <c r="P130" s="61" t="n"/>
      <c r="Q130" s="61" t="n"/>
      <c r="R130" s="61" t="n"/>
      <c r="S130" s="175">
        <f>IFERROR(Q130-R130,"N/A")</f>
        <v/>
      </c>
      <c r="T130" s="161">
        <f>IFERROR(('[1]P&amp;L'!$Q130-'[1]P&amp;L'!$R130)/ABS('[1]P&amp;L'!$R130),"N/A")</f>
        <v/>
      </c>
      <c r="U130" s="158" t="n"/>
      <c r="V130" s="184" t="n"/>
      <c r="W130" s="160">
        <f>IFERROR(Q130-P130,"N/A")</f>
        <v/>
      </c>
      <c r="X130" s="161">
        <f>IFERROR(('[1]P&amp;L'!$Q130-'[1]P&amp;L'!$P130)/ABS('[1]P&amp;L'!$P130),"N/A")</f>
        <v/>
      </c>
      <c r="Y130" s="158" t="n"/>
      <c r="Z130" s="184" t="n"/>
    </row>
    <row r="131" ht="25.5" customHeight="1">
      <c r="A131" s="163" t="inlineStr">
        <is>
          <t>02.F.02</t>
        </is>
      </c>
      <c r="B131" s="163" t="inlineStr">
        <is>
          <t>Depreciation (property, plant and equipment and right-of-use assets) and amortization</t>
        </is>
      </c>
      <c r="C131" s="163" t="n"/>
      <c r="D131" s="153" t="inlineStr">
        <is>
          <t>-</t>
        </is>
      </c>
      <c r="E131" s="143">
        <f>SUM(E132:E134)</f>
        <v/>
      </c>
      <c r="F131" s="143">
        <f>SUM(F132:F134)</f>
        <v/>
      </c>
      <c r="G131" s="143">
        <f>SUM(G132:G134)</f>
        <v/>
      </c>
      <c r="H131" s="154">
        <f>IFERROR(F131-G131,"N/A")</f>
        <v/>
      </c>
      <c r="I131" s="155">
        <f>IFERROR(('[1]P&amp;L'!$F131-'[1]P&amp;L'!$G131)/ABS('[1]P&amp;L'!$G131),"N/A")</f>
        <v/>
      </c>
      <c r="J131" s="143" t="n"/>
      <c r="K131" s="143" t="n"/>
      <c r="L131" s="154">
        <f>IFERROR(F131-E131,"N/A")</f>
        <v/>
      </c>
      <c r="M131" s="155">
        <f>IFERROR(('[1]P&amp;L'!$F131-'[1]P&amp;L'!$E131)/ABS('[1]P&amp;L'!$E131),"N/A")</f>
        <v/>
      </c>
      <c r="N131" s="143" t="n"/>
      <c r="O131" s="143" t="n"/>
      <c r="P131" s="143">
        <f>SUM(P132:P134)</f>
        <v/>
      </c>
      <c r="Q131" s="143">
        <f>SUM(Q132:Q134)</f>
        <v/>
      </c>
      <c r="R131" s="143">
        <f>SUM(R132:R134)</f>
        <v/>
      </c>
      <c r="S131" s="143">
        <f>IFERROR(Q131-R131,"N/A")</f>
        <v/>
      </c>
      <c r="T131" s="155">
        <f>IFERROR(('[1]P&amp;L'!$Q131-'[1]P&amp;L'!$R131)/ABS('[1]P&amp;L'!$R131),"N/A")</f>
        <v/>
      </c>
      <c r="U131" s="143" t="n"/>
      <c r="V131" s="143" t="n"/>
      <c r="W131" s="154">
        <f>IFERROR(Q131-P131,"N/A")</f>
        <v/>
      </c>
      <c r="X131" s="155">
        <f>IFERROR(('[1]P&amp;L'!$Q131-'[1]P&amp;L'!$P131)/ABS('[1]P&amp;L'!$P131),"N/A")</f>
        <v/>
      </c>
      <c r="Y131" s="143" t="n"/>
      <c r="Z131" s="143" t="n"/>
    </row>
    <row r="132" ht="25.5" customHeight="1">
      <c r="A132" s="178" t="inlineStr">
        <is>
          <t>02.F.02.01</t>
        </is>
      </c>
      <c r="B132" s="178" t="inlineStr">
        <is>
          <t>Depreciation (property, plant and equipment)</t>
        </is>
      </c>
      <c r="C132" s="178" t="n"/>
      <c r="D132" s="147" t="inlineStr">
        <is>
          <t>-</t>
        </is>
      </c>
      <c r="E132" s="61" t="n"/>
      <c r="F132" s="61" t="n"/>
      <c r="G132" s="61" t="n"/>
      <c r="H132" s="156">
        <f>IFERROR(F132-G132,"N/A")</f>
        <v/>
      </c>
      <c r="I132" s="161">
        <f>IFERROR(('[1]P&amp;L'!$F132-'[1]P&amp;L'!$G132)/ABS('[1]P&amp;L'!$G132),"N/A")</f>
        <v/>
      </c>
      <c r="J132" s="158" t="n"/>
      <c r="K132" s="183" t="n"/>
      <c r="L132" s="160">
        <f>IFERROR(F132-E132,"N/A")</f>
        <v/>
      </c>
      <c r="M132" s="161">
        <f>IFERROR(('[1]P&amp;L'!$F132-'[1]P&amp;L'!$E132)/ABS('[1]P&amp;L'!$E132),"N/A")</f>
        <v/>
      </c>
      <c r="N132" s="158" t="n"/>
      <c r="O132" s="160" t="n"/>
      <c r="P132" s="61" t="n"/>
      <c r="Q132" s="61" t="n"/>
      <c r="R132" s="61" t="n"/>
      <c r="S132" s="175">
        <f>IFERROR(Q132-R132,"N/A")</f>
        <v/>
      </c>
      <c r="T132" s="161">
        <f>IFERROR(('[1]P&amp;L'!$Q132-'[1]P&amp;L'!$R132)/ABS('[1]P&amp;L'!$R132),"N/A")</f>
        <v/>
      </c>
      <c r="U132" s="158" t="n"/>
      <c r="V132" s="184" t="n"/>
      <c r="W132" s="160">
        <f>IFERROR(Q132-P132,"N/A")</f>
        <v/>
      </c>
      <c r="X132" s="161">
        <f>IFERROR(('[1]P&amp;L'!$Q132-'[1]P&amp;L'!$P132)/ABS('[1]P&amp;L'!$P132),"N/A")</f>
        <v/>
      </c>
      <c r="Y132" s="158" t="n"/>
      <c r="Z132" s="184" t="n"/>
    </row>
    <row r="133" ht="25.5" customHeight="1">
      <c r="A133" s="178" t="inlineStr">
        <is>
          <t>02.F.02.02</t>
        </is>
      </c>
      <c r="B133" s="178" t="inlineStr">
        <is>
          <t>Depreciation (right-of-use assets)</t>
        </is>
      </c>
      <c r="C133" s="178" t="n"/>
      <c r="D133" s="147" t="inlineStr">
        <is>
          <t>-</t>
        </is>
      </c>
      <c r="E133" s="61" t="n"/>
      <c r="F133" s="61" t="n"/>
      <c r="G133" s="61" t="n"/>
      <c r="H133" s="156">
        <f>IFERROR(F133-G133,"N/A")</f>
        <v/>
      </c>
      <c r="I133" s="161">
        <f>IFERROR(('[1]P&amp;L'!$F133-'[1]P&amp;L'!$G133)/ABS('[1]P&amp;L'!$G133),"N/A")</f>
        <v/>
      </c>
      <c r="J133" s="158" t="n"/>
      <c r="K133" s="183" t="n"/>
      <c r="L133" s="160">
        <f>IFERROR(F133-E133,"N/A")</f>
        <v/>
      </c>
      <c r="M133" s="161">
        <f>IFERROR(('[1]P&amp;L'!$F133-'[1]P&amp;L'!$E133)/ABS('[1]P&amp;L'!$E133),"N/A")</f>
        <v/>
      </c>
      <c r="N133" s="158" t="n"/>
      <c r="O133" s="160" t="n"/>
      <c r="P133" s="61" t="n"/>
      <c r="Q133" s="61" t="n"/>
      <c r="R133" s="61" t="n"/>
      <c r="S133" s="175">
        <f>IFERROR(Q133-R133,"N/A")</f>
        <v/>
      </c>
      <c r="T133" s="161">
        <f>IFERROR(('[1]P&amp;L'!$Q133-'[1]P&amp;L'!$R133)/ABS('[1]P&amp;L'!$R133),"N/A")</f>
        <v/>
      </c>
      <c r="U133" s="158" t="n"/>
      <c r="V133" s="184" t="n"/>
      <c r="W133" s="160">
        <f>IFERROR(Q133-P133,"N/A")</f>
        <v/>
      </c>
      <c r="X133" s="161">
        <f>IFERROR(('[1]P&amp;L'!$Q133-'[1]P&amp;L'!$P133)/ABS('[1]P&amp;L'!$P133),"N/A")</f>
        <v/>
      </c>
      <c r="Y133" s="158" t="n"/>
      <c r="Z133" s="184" t="n"/>
    </row>
    <row r="134" ht="25.5" customHeight="1">
      <c r="A134" s="178" t="inlineStr">
        <is>
          <t>02.F.02.03</t>
        </is>
      </c>
      <c r="B134" s="178" t="inlineStr">
        <is>
          <t>Amortization (intangible assets)</t>
        </is>
      </c>
      <c r="C134" s="178" t="inlineStr">
        <is>
          <t>Amortizasiya (qeyri-maddi aktivləri)</t>
        </is>
      </c>
      <c r="D134" s="147" t="inlineStr">
        <is>
          <t>-</t>
        </is>
      </c>
      <c r="E134" s="61" t="n"/>
      <c r="F134" s="61" t="n"/>
      <c r="G134" s="61" t="n"/>
      <c r="H134" s="156">
        <f>IFERROR(F134-G134,"N/A")</f>
        <v/>
      </c>
      <c r="I134" s="161">
        <f>IFERROR(('[1]P&amp;L'!$F134-'[1]P&amp;L'!$G134)/ABS('[1]P&amp;L'!$G134),"N/A")</f>
        <v/>
      </c>
      <c r="J134" s="158" t="n"/>
      <c r="K134" s="183" t="n"/>
      <c r="L134" s="160">
        <f>IFERROR(F134-E134,"N/A")</f>
        <v/>
      </c>
      <c r="M134" s="161">
        <f>IFERROR(('[1]P&amp;L'!$F134-'[1]P&amp;L'!$E134)/ABS('[1]P&amp;L'!$E134),"N/A")</f>
        <v/>
      </c>
      <c r="N134" s="158" t="n"/>
      <c r="O134" s="160" t="n"/>
      <c r="P134" s="61" t="n"/>
      <c r="Q134" s="61" t="n"/>
      <c r="R134" s="61" t="n"/>
      <c r="S134" s="175">
        <f>IFERROR(Q134-R134,"N/A")</f>
        <v/>
      </c>
      <c r="T134" s="161">
        <f>IFERROR(('[1]P&amp;L'!$Q134-'[1]P&amp;L'!$R134)/ABS('[1]P&amp;L'!$R134),"N/A")</f>
        <v/>
      </c>
      <c r="U134" s="158" t="n"/>
      <c r="V134" s="184" t="n"/>
      <c r="W134" s="160">
        <f>IFERROR(Q134-P134,"N/A")</f>
        <v/>
      </c>
      <c r="X134" s="161">
        <f>IFERROR(('[1]P&amp;L'!$Q134-'[1]P&amp;L'!$P134)/ABS('[1]P&amp;L'!$P134),"N/A")</f>
        <v/>
      </c>
      <c r="Y134" s="158" t="n"/>
      <c r="Z134" s="184" t="n"/>
    </row>
    <row r="135" ht="12.75" customHeight="1">
      <c r="A135" s="146" t="inlineStr">
        <is>
          <t>02.F.03</t>
        </is>
      </c>
      <c r="B135" s="146" t="inlineStr">
        <is>
          <t>Raw materials and consumables used</t>
        </is>
      </c>
      <c r="C135" s="146" t="n"/>
      <c r="D135" s="147" t="inlineStr">
        <is>
          <t>-</t>
        </is>
      </c>
      <c r="E135" s="61" t="n"/>
      <c r="F135" s="61" t="n"/>
      <c r="G135" s="61" t="n"/>
      <c r="H135" s="156">
        <f>IFERROR(F135-G135,"N/A")</f>
        <v/>
      </c>
      <c r="I135" s="161">
        <f>IFERROR(('[1]P&amp;L'!$F135-'[1]P&amp;L'!$G135)/ABS('[1]P&amp;L'!$G135),"N/A")</f>
        <v/>
      </c>
      <c r="J135" s="158" t="n"/>
      <c r="K135" s="183" t="n"/>
      <c r="L135" s="160">
        <f>IFERROR(F135-E135,"N/A")</f>
        <v/>
      </c>
      <c r="M135" s="161">
        <f>IFERROR(('[1]P&amp;L'!$F135-'[1]P&amp;L'!$E135)/ABS('[1]P&amp;L'!$E135),"N/A")</f>
        <v/>
      </c>
      <c r="N135" s="158" t="n"/>
      <c r="O135" s="160" t="n"/>
      <c r="P135" s="61" t="n"/>
      <c r="Q135" s="61" t="n"/>
      <c r="R135" s="61" t="n"/>
      <c r="S135" s="175">
        <f>IFERROR(Q135-R135,"N/A")</f>
        <v/>
      </c>
      <c r="T135" s="161">
        <f>IFERROR(('[1]P&amp;L'!$Q135-'[1]P&amp;L'!$R135)/ABS('[1]P&amp;L'!$R135),"N/A")</f>
        <v/>
      </c>
      <c r="U135" s="158" t="n"/>
      <c r="V135" s="184" t="n"/>
      <c r="W135" s="160">
        <f>IFERROR(Q135-P135,"N/A")</f>
        <v/>
      </c>
      <c r="X135" s="161">
        <f>IFERROR(('[1]P&amp;L'!$Q135-'[1]P&amp;L'!$P135)/ABS('[1]P&amp;L'!$P135),"N/A")</f>
        <v/>
      </c>
      <c r="Y135" s="158" t="n"/>
      <c r="Z135" s="184" t="n"/>
    </row>
    <row r="136" ht="12.75" customHeight="1">
      <c r="A136" s="146" t="inlineStr">
        <is>
          <t>02.F.04</t>
        </is>
      </c>
      <c r="B136" s="146" t="inlineStr">
        <is>
          <t>Utilities expenses</t>
        </is>
      </c>
      <c r="C136" s="146" t="n"/>
      <c r="D136" s="147" t="inlineStr">
        <is>
          <t>-</t>
        </is>
      </c>
      <c r="E136" s="61" t="n"/>
      <c r="F136" s="61" t="n"/>
      <c r="G136" s="61" t="n"/>
      <c r="H136" s="156">
        <f>IFERROR(F136-G136,"N/A")</f>
        <v/>
      </c>
      <c r="I136" s="161">
        <f>IFERROR(('[1]P&amp;L'!$F136-'[1]P&amp;L'!$G136)/ABS('[1]P&amp;L'!$G136),"N/A")</f>
        <v/>
      </c>
      <c r="J136" s="158" t="n"/>
      <c r="K136" s="183" t="n"/>
      <c r="L136" s="160">
        <f>IFERROR(F136-E136,"N/A")</f>
        <v/>
      </c>
      <c r="M136" s="161">
        <f>IFERROR(('[1]P&amp;L'!$F136-'[1]P&amp;L'!$E136)/ABS('[1]P&amp;L'!$E136),"N/A")</f>
        <v/>
      </c>
      <c r="N136" s="158" t="n"/>
      <c r="O136" s="160" t="n"/>
      <c r="P136" s="61" t="n"/>
      <c r="Q136" s="61" t="n"/>
      <c r="R136" s="61" t="n"/>
      <c r="S136" s="175">
        <f>IFERROR(Q136-R136,"N/A")</f>
        <v/>
      </c>
      <c r="T136" s="161">
        <f>IFERROR(('[1]P&amp;L'!$Q136-'[1]P&amp;L'!$R136)/ABS('[1]P&amp;L'!$R136),"N/A")</f>
        <v/>
      </c>
      <c r="U136" s="158" t="n"/>
      <c r="V136" s="184" t="n"/>
      <c r="W136" s="160">
        <f>IFERROR(Q136-P136,"N/A")</f>
        <v/>
      </c>
      <c r="X136" s="161">
        <f>IFERROR(('[1]P&amp;L'!$Q136-'[1]P&amp;L'!$P136)/ABS('[1]P&amp;L'!$P136),"N/A")</f>
        <v/>
      </c>
      <c r="Y136" s="158" t="n"/>
      <c r="Z136" s="184" t="n"/>
    </row>
    <row r="137" ht="12.75" customHeight="1">
      <c r="A137" s="146" t="inlineStr">
        <is>
          <t>02.F.05</t>
        </is>
      </c>
      <c r="B137" s="146" t="inlineStr">
        <is>
          <t>Repairs and maintenance expenses</t>
        </is>
      </c>
      <c r="C137" s="146" t="n"/>
      <c r="D137" s="147" t="inlineStr">
        <is>
          <t>-</t>
        </is>
      </c>
      <c r="E137" s="61" t="n"/>
      <c r="F137" s="61" t="n"/>
      <c r="G137" s="61" t="n"/>
      <c r="H137" s="156">
        <f>IFERROR(F137-G137,"N/A")</f>
        <v/>
      </c>
      <c r="I137" s="161">
        <f>IFERROR(('[1]P&amp;L'!$F137-'[1]P&amp;L'!$G137)/ABS('[1]P&amp;L'!$G137),"N/A")</f>
        <v/>
      </c>
      <c r="J137" s="158" t="n"/>
      <c r="K137" s="183" t="n"/>
      <c r="L137" s="160">
        <f>IFERROR(F137-E137,"N/A")</f>
        <v/>
      </c>
      <c r="M137" s="161">
        <f>IFERROR(('[1]P&amp;L'!$F137-'[1]P&amp;L'!$E137)/ABS('[1]P&amp;L'!$E137),"N/A")</f>
        <v/>
      </c>
      <c r="N137" s="158" t="n"/>
      <c r="O137" s="160" t="n"/>
      <c r="P137" s="61" t="n"/>
      <c r="Q137" s="61" t="n"/>
      <c r="R137" s="61" t="n"/>
      <c r="S137" s="175">
        <f>IFERROR(Q137-R137,"N/A")</f>
        <v/>
      </c>
      <c r="T137" s="161">
        <f>IFERROR(('[1]P&amp;L'!$Q137-'[1]P&amp;L'!$R137)/ABS('[1]P&amp;L'!$R137),"N/A")</f>
        <v/>
      </c>
      <c r="U137" s="158" t="n"/>
      <c r="V137" s="184" t="n"/>
      <c r="W137" s="160">
        <f>IFERROR(Q137-P137,"N/A")</f>
        <v/>
      </c>
      <c r="X137" s="161">
        <f>IFERROR(('[1]P&amp;L'!$Q137-'[1]P&amp;L'!$P137)/ABS('[1]P&amp;L'!$P137),"N/A")</f>
        <v/>
      </c>
      <c r="Y137" s="158" t="n"/>
      <c r="Z137" s="184" t="n"/>
    </row>
    <row r="138" ht="25.5" customHeight="1">
      <c r="A138" s="146" t="inlineStr">
        <is>
          <t>02.F.06</t>
        </is>
      </c>
      <c r="B138" s="146" t="inlineStr">
        <is>
          <t>Taxes other than income</t>
        </is>
      </c>
      <c r="C138" s="146" t="n"/>
      <c r="D138" s="147" t="inlineStr">
        <is>
          <t>-</t>
        </is>
      </c>
      <c r="E138" s="61" t="n"/>
      <c r="F138" s="61" t="n"/>
      <c r="G138" s="61" t="n"/>
      <c r="H138" s="156">
        <f>IFERROR(F138-G138,"N/A")</f>
        <v/>
      </c>
      <c r="I138" s="161">
        <f>IFERROR(('[1]P&amp;L'!$F138-'[1]P&amp;L'!$G138)/ABS('[1]P&amp;L'!$G138),"N/A")</f>
        <v/>
      </c>
      <c r="J138" s="158" t="n"/>
      <c r="K138" s="183" t="n"/>
      <c r="L138" s="160">
        <f>IFERROR(F138-E138,"N/A")</f>
        <v/>
      </c>
      <c r="M138" s="161">
        <f>IFERROR(('[1]P&amp;L'!$F138-'[1]P&amp;L'!$E138)/ABS('[1]P&amp;L'!$E138),"N/A")</f>
        <v/>
      </c>
      <c r="N138" s="158" t="n"/>
      <c r="O138" s="160" t="n"/>
      <c r="P138" s="61" t="n"/>
      <c r="Q138" s="61" t="n"/>
      <c r="R138" s="61" t="n"/>
      <c r="S138" s="175">
        <f>IFERROR(Q138-R138,"N/A")</f>
        <v/>
      </c>
      <c r="T138" s="161">
        <f>IFERROR(('[1]P&amp;L'!$Q138-'[1]P&amp;L'!$R138)/ABS('[1]P&amp;L'!$R138),"N/A")</f>
        <v/>
      </c>
      <c r="U138" s="158" t="n"/>
      <c r="V138" s="184" t="n"/>
      <c r="W138" s="160">
        <f>IFERROR(Q138-P138,"N/A")</f>
        <v/>
      </c>
      <c r="X138" s="161">
        <f>IFERROR(('[1]P&amp;L'!$Q138-'[1]P&amp;L'!$P138)/ABS('[1]P&amp;L'!$P138),"N/A")</f>
        <v/>
      </c>
      <c r="Y138" s="158" t="n"/>
      <c r="Z138" s="184" t="n"/>
    </row>
    <row r="139" ht="12.75" customHeight="1">
      <c r="A139" s="146" t="inlineStr">
        <is>
          <t>02.F.07</t>
        </is>
      </c>
      <c r="B139" s="146" t="inlineStr">
        <is>
          <t>Rent expenses</t>
        </is>
      </c>
      <c r="C139" s="146" t="n"/>
      <c r="D139" s="147" t="inlineStr">
        <is>
          <t>-</t>
        </is>
      </c>
      <c r="E139" s="61" t="n"/>
      <c r="F139" s="61" t="n"/>
      <c r="G139" s="61" t="n"/>
      <c r="H139" s="156">
        <f>IFERROR(F139-G139,"N/A")</f>
        <v/>
      </c>
      <c r="I139" s="161">
        <f>IFERROR(('[1]P&amp;L'!$F139-'[1]P&amp;L'!$G139)/ABS('[1]P&amp;L'!$G139),"N/A")</f>
        <v/>
      </c>
      <c r="J139" s="158" t="n"/>
      <c r="K139" s="183" t="n"/>
      <c r="L139" s="160">
        <f>IFERROR(F139-E139,"N/A")</f>
        <v/>
      </c>
      <c r="M139" s="161">
        <f>IFERROR(('[1]P&amp;L'!$F139-'[1]P&amp;L'!$E139)/ABS('[1]P&amp;L'!$E139),"N/A")</f>
        <v/>
      </c>
      <c r="N139" s="158" t="n"/>
      <c r="O139" s="160" t="n"/>
      <c r="P139" s="61" t="n"/>
      <c r="Q139" s="61" t="n"/>
      <c r="R139" s="61" t="n"/>
      <c r="S139" s="175">
        <f>IFERROR(Q139-R139,"N/A")</f>
        <v/>
      </c>
      <c r="T139" s="161">
        <f>IFERROR(('[1]P&amp;L'!$Q139-'[1]P&amp;L'!$R139)/ABS('[1]P&amp;L'!$R139),"N/A")</f>
        <v/>
      </c>
      <c r="U139" s="158" t="n"/>
      <c r="V139" s="184" t="n"/>
      <c r="W139" s="160">
        <f>IFERROR(Q139-P139,"N/A")</f>
        <v/>
      </c>
      <c r="X139" s="161">
        <f>IFERROR(('[1]P&amp;L'!$Q139-'[1]P&amp;L'!$P139)/ABS('[1]P&amp;L'!$P139),"N/A")</f>
        <v/>
      </c>
      <c r="Y139" s="158" t="n"/>
      <c r="Z139" s="184" t="n"/>
    </row>
    <row r="140" ht="12.75" customHeight="1">
      <c r="A140" s="146" t="inlineStr">
        <is>
          <t>02.F.08</t>
        </is>
      </c>
      <c r="B140" s="146" t="inlineStr">
        <is>
          <t xml:space="preserve">Insurance expenses </t>
        </is>
      </c>
      <c r="C140" s="146" t="n"/>
      <c r="D140" s="147" t="inlineStr">
        <is>
          <t>-</t>
        </is>
      </c>
      <c r="E140" s="61" t="n"/>
      <c r="F140" s="61" t="n"/>
      <c r="G140" s="61" t="n"/>
      <c r="H140" s="156">
        <f>IFERROR(F140-G140,"N/A")</f>
        <v/>
      </c>
      <c r="I140" s="161">
        <f>IFERROR(('[1]P&amp;L'!$F140-'[1]P&amp;L'!$G140)/ABS('[1]P&amp;L'!$G140),"N/A")</f>
        <v/>
      </c>
      <c r="J140" s="158" t="n"/>
      <c r="K140" s="183" t="n"/>
      <c r="L140" s="160">
        <f>IFERROR(F140-E140,"N/A")</f>
        <v/>
      </c>
      <c r="M140" s="161">
        <f>IFERROR(('[1]P&amp;L'!$F140-'[1]P&amp;L'!$E140)/ABS('[1]P&amp;L'!$E140),"N/A")</f>
        <v/>
      </c>
      <c r="N140" s="158" t="n"/>
      <c r="O140" s="160" t="n"/>
      <c r="P140" s="61" t="n"/>
      <c r="Q140" s="61" t="n"/>
      <c r="R140" s="61" t="n"/>
      <c r="S140" s="175">
        <f>IFERROR(Q140-R140,"N/A")</f>
        <v/>
      </c>
      <c r="T140" s="161">
        <f>IFERROR(('[1]P&amp;L'!$Q140-'[1]P&amp;L'!$R140)/ABS('[1]P&amp;L'!$R140),"N/A")</f>
        <v/>
      </c>
      <c r="U140" s="158" t="n"/>
      <c r="V140" s="184" t="n"/>
      <c r="W140" s="160">
        <f>IFERROR(Q140-P140,"N/A")</f>
        <v/>
      </c>
      <c r="X140" s="161">
        <f>IFERROR(('[1]P&amp;L'!$Q140-'[1]P&amp;L'!$P140)/ABS('[1]P&amp;L'!$P140),"N/A")</f>
        <v/>
      </c>
      <c r="Y140" s="158" t="n"/>
      <c r="Z140" s="184" t="n"/>
    </row>
    <row r="141" ht="12.75" customHeight="1">
      <c r="A141" s="146" t="inlineStr">
        <is>
          <t>02.F.09</t>
        </is>
      </c>
      <c r="B141" s="146" t="inlineStr">
        <is>
          <t xml:space="preserve">Business trip expenses </t>
        </is>
      </c>
      <c r="C141" s="146" t="n"/>
      <c r="D141" s="147" t="inlineStr">
        <is>
          <t>-</t>
        </is>
      </c>
      <c r="E141" s="61" t="n"/>
      <c r="F141" s="61" t="n"/>
      <c r="G141" s="61" t="n"/>
      <c r="H141" s="156">
        <f>IFERROR(F141-G141,"N/A")</f>
        <v/>
      </c>
      <c r="I141" s="161">
        <f>IFERROR(('[1]P&amp;L'!$F141-'[1]P&amp;L'!$G141)/ABS('[1]P&amp;L'!$G141),"N/A")</f>
        <v/>
      </c>
      <c r="J141" s="158" t="n"/>
      <c r="K141" s="183" t="n"/>
      <c r="L141" s="160">
        <f>IFERROR(F141-E141,"N/A")</f>
        <v/>
      </c>
      <c r="M141" s="161">
        <f>IFERROR(('[1]P&amp;L'!$F141-'[1]P&amp;L'!$E141)/ABS('[1]P&amp;L'!$E141),"N/A")</f>
        <v/>
      </c>
      <c r="N141" s="158" t="n"/>
      <c r="O141" s="160" t="n"/>
      <c r="P141" s="61" t="n"/>
      <c r="Q141" s="61" t="n"/>
      <c r="R141" s="61" t="n"/>
      <c r="S141" s="175">
        <f>IFERROR(Q141-R141,"N/A")</f>
        <v/>
      </c>
      <c r="T141" s="161">
        <f>IFERROR(('[1]P&amp;L'!$Q141-'[1]P&amp;L'!$R141)/ABS('[1]P&amp;L'!$R141),"N/A")</f>
        <v/>
      </c>
      <c r="U141" s="158" t="n"/>
      <c r="V141" s="184" t="n"/>
      <c r="W141" s="160">
        <f>IFERROR(Q141-P141,"N/A")</f>
        <v/>
      </c>
      <c r="X141" s="161">
        <f>IFERROR(('[1]P&amp;L'!$Q141-'[1]P&amp;L'!$P141)/ABS('[1]P&amp;L'!$P141),"N/A")</f>
        <v/>
      </c>
      <c r="Y141" s="158" t="n"/>
      <c r="Z141" s="184" t="n"/>
    </row>
    <row r="142" ht="12.75" customHeight="1">
      <c r="A142" s="176" t="inlineStr">
        <is>
          <t>02.F.10</t>
        </is>
      </c>
      <c r="B142" s="176" t="inlineStr">
        <is>
          <t>Storage expense</t>
        </is>
      </c>
      <c r="C142" s="176" t="n"/>
      <c r="D142" s="147" t="inlineStr">
        <is>
          <t>-</t>
        </is>
      </c>
      <c r="E142" s="61" t="n"/>
      <c r="F142" s="61" t="n"/>
      <c r="G142" s="61" t="n"/>
      <c r="H142" s="156">
        <f>IFERROR(F142-G142,"N/A")</f>
        <v/>
      </c>
      <c r="I142" s="161">
        <f>IFERROR(('[1]P&amp;L'!$F142-'[1]P&amp;L'!$G142)/ABS('[1]P&amp;L'!$G142),"N/A")</f>
        <v/>
      </c>
      <c r="J142" s="158" t="n"/>
      <c r="K142" s="183" t="n"/>
      <c r="L142" s="160">
        <f>IFERROR(F142-E142,"N/A")</f>
        <v/>
      </c>
      <c r="M142" s="161">
        <f>IFERROR(('[1]P&amp;L'!$F142-'[1]P&amp;L'!$E142)/ABS('[1]P&amp;L'!$E142),"N/A")</f>
        <v/>
      </c>
      <c r="N142" s="158" t="n"/>
      <c r="O142" s="160" t="n"/>
      <c r="P142" s="61" t="n"/>
      <c r="Q142" s="61" t="n"/>
      <c r="R142" s="61" t="n"/>
      <c r="S142" s="175">
        <f>IFERROR(Q142-R142,"N/A")</f>
        <v/>
      </c>
      <c r="T142" s="161">
        <f>IFERROR(('[1]P&amp;L'!$Q142-'[1]P&amp;L'!$R142)/ABS('[1]P&amp;L'!$R142),"N/A")</f>
        <v/>
      </c>
      <c r="U142" s="158" t="n"/>
      <c r="V142" s="184" t="n"/>
      <c r="W142" s="160">
        <f>IFERROR(Q142-P142,"N/A")</f>
        <v/>
      </c>
      <c r="X142" s="161">
        <f>IFERROR(('[1]P&amp;L'!$Q142-'[1]P&amp;L'!$P142)/ABS('[1]P&amp;L'!$P142),"N/A")</f>
        <v/>
      </c>
      <c r="Y142" s="158" t="n"/>
      <c r="Z142" s="184" t="n"/>
    </row>
    <row r="143" ht="12.75" customHeight="1">
      <c r="A143" s="176" t="inlineStr">
        <is>
          <t>02.F.11</t>
        </is>
      </c>
      <c r="B143" s="176" t="inlineStr">
        <is>
          <t>Security services</t>
        </is>
      </c>
      <c r="C143" s="176" t="n"/>
      <c r="D143" s="147" t="inlineStr">
        <is>
          <t>-</t>
        </is>
      </c>
      <c r="E143" s="61" t="n"/>
      <c r="F143" s="61" t="n"/>
      <c r="G143" s="61" t="n"/>
      <c r="H143" s="156">
        <f>IFERROR(F143-G143,"N/A")</f>
        <v/>
      </c>
      <c r="I143" s="161">
        <f>IFERROR(('[1]P&amp;L'!$F143-'[1]P&amp;L'!$G143)/ABS('[1]P&amp;L'!$G143),"N/A")</f>
        <v/>
      </c>
      <c r="J143" s="158" t="n"/>
      <c r="K143" s="183" t="n"/>
      <c r="L143" s="160">
        <f>IFERROR(F143-E143,"N/A")</f>
        <v/>
      </c>
      <c r="M143" s="161">
        <f>IFERROR(('[1]P&amp;L'!$F143-'[1]P&amp;L'!$E143)/ABS('[1]P&amp;L'!$E143),"N/A")</f>
        <v/>
      </c>
      <c r="N143" s="158" t="n"/>
      <c r="O143" s="160" t="n"/>
      <c r="P143" s="61" t="n"/>
      <c r="Q143" s="61" t="n"/>
      <c r="R143" s="61" t="n"/>
      <c r="S143" s="175">
        <f>IFERROR(Q143-R143,"N/A")</f>
        <v/>
      </c>
      <c r="T143" s="161">
        <f>IFERROR(('[1]P&amp;L'!$Q143-'[1]P&amp;L'!$R143)/ABS('[1]P&amp;L'!$R143),"N/A")</f>
        <v/>
      </c>
      <c r="U143" s="158" t="n"/>
      <c r="V143" s="184" t="n"/>
      <c r="W143" s="160">
        <f>IFERROR(Q143-P143,"N/A")</f>
        <v/>
      </c>
      <c r="X143" s="161">
        <f>IFERROR(('[1]P&amp;L'!$Q143-'[1]P&amp;L'!$P143)/ABS('[1]P&amp;L'!$P143),"N/A")</f>
        <v/>
      </c>
      <c r="Y143" s="158" t="n"/>
      <c r="Z143" s="184" t="n"/>
    </row>
    <row r="144" ht="12.75" customHeight="1">
      <c r="A144" s="176" t="inlineStr">
        <is>
          <t>02.F.12</t>
        </is>
      </c>
      <c r="B144" s="176" t="inlineStr">
        <is>
          <t>Communication and IT services</t>
        </is>
      </c>
      <c r="C144" s="176" t="n"/>
      <c r="D144" s="147" t="inlineStr">
        <is>
          <t>-</t>
        </is>
      </c>
      <c r="E144" s="61" t="n"/>
      <c r="F144" s="61" t="n"/>
      <c r="G144" s="61" t="n"/>
      <c r="H144" s="156">
        <f>IFERROR(F144-G144,"N/A")</f>
        <v/>
      </c>
      <c r="I144" s="161">
        <f>IFERROR(('[1]P&amp;L'!$F144-'[1]P&amp;L'!$G144)/ABS('[1]P&amp;L'!$G144),"N/A")</f>
        <v/>
      </c>
      <c r="J144" s="158" t="n"/>
      <c r="K144" s="183" t="n"/>
      <c r="L144" s="160">
        <f>IFERROR(F144-E144,"N/A")</f>
        <v/>
      </c>
      <c r="M144" s="161">
        <f>IFERROR(('[1]P&amp;L'!$F144-'[1]P&amp;L'!$E144)/ABS('[1]P&amp;L'!$E144),"N/A")</f>
        <v/>
      </c>
      <c r="N144" s="158" t="n"/>
      <c r="O144" s="160" t="n"/>
      <c r="P144" s="61" t="n"/>
      <c r="Q144" s="61" t="n"/>
      <c r="R144" s="61" t="n"/>
      <c r="S144" s="175">
        <f>IFERROR(Q144-R144,"N/A")</f>
        <v/>
      </c>
      <c r="T144" s="161">
        <f>IFERROR(('[1]P&amp;L'!$Q144-'[1]P&amp;L'!$R144)/ABS('[1]P&amp;L'!$R144),"N/A")</f>
        <v/>
      </c>
      <c r="U144" s="158" t="n"/>
      <c r="V144" s="184" t="n"/>
      <c r="W144" s="160">
        <f>IFERROR(Q144-P144,"N/A")</f>
        <v/>
      </c>
      <c r="X144" s="161">
        <f>IFERROR(('[1]P&amp;L'!$Q144-'[1]P&amp;L'!$P144)/ABS('[1]P&amp;L'!$P144),"N/A")</f>
        <v/>
      </c>
      <c r="Y144" s="158" t="n"/>
      <c r="Z144" s="184" t="n"/>
    </row>
    <row r="145" ht="12.75" customHeight="1">
      <c r="A145" s="176" t="inlineStr">
        <is>
          <t>02.F.13</t>
        </is>
      </c>
      <c r="B145" s="176" t="inlineStr">
        <is>
          <t>Automobile and special machinery services</t>
        </is>
      </c>
      <c r="C145" s="176" t="n"/>
      <c r="D145" s="147" t="inlineStr">
        <is>
          <t>-</t>
        </is>
      </c>
      <c r="E145" s="61" t="n"/>
      <c r="F145" s="61" t="n"/>
      <c r="G145" s="61" t="n"/>
      <c r="H145" s="156">
        <f>IFERROR(F145-G145,"N/A")</f>
        <v/>
      </c>
      <c r="I145" s="161">
        <f>IFERROR(('[1]P&amp;L'!$F145-'[1]P&amp;L'!$G145)/ABS('[1]P&amp;L'!$G145),"N/A")</f>
        <v/>
      </c>
      <c r="J145" s="158" t="n"/>
      <c r="K145" s="183" t="n"/>
      <c r="L145" s="160">
        <f>IFERROR(F145-E145,"N/A")</f>
        <v/>
      </c>
      <c r="M145" s="161">
        <f>IFERROR(('[1]P&amp;L'!$F145-'[1]P&amp;L'!$E145)/ABS('[1]P&amp;L'!$E145),"N/A")</f>
        <v/>
      </c>
      <c r="N145" s="158" t="n"/>
      <c r="O145" s="160" t="n"/>
      <c r="P145" s="61" t="n"/>
      <c r="Q145" s="61" t="n"/>
      <c r="R145" s="61" t="n"/>
      <c r="S145" s="175">
        <f>IFERROR(Q145-R145,"N/A")</f>
        <v/>
      </c>
      <c r="T145" s="161">
        <f>IFERROR(('[1]P&amp;L'!$Q145-'[1]P&amp;L'!$R145)/ABS('[1]P&amp;L'!$R145),"N/A")</f>
        <v/>
      </c>
      <c r="U145" s="158" t="n"/>
      <c r="V145" s="184" t="n"/>
      <c r="W145" s="160">
        <f>IFERROR(Q145-P145,"N/A")</f>
        <v/>
      </c>
      <c r="X145" s="161">
        <f>IFERROR(('[1]P&amp;L'!$Q145-'[1]P&amp;L'!$P145)/ABS('[1]P&amp;L'!$P145),"N/A")</f>
        <v/>
      </c>
      <c r="Y145" s="158" t="n"/>
      <c r="Z145" s="184" t="n"/>
    </row>
    <row r="146" ht="12.75" customHeight="1">
      <c r="A146" s="146" t="inlineStr">
        <is>
          <t>02.F.14</t>
        </is>
      </c>
      <c r="B146" s="146" t="inlineStr">
        <is>
          <t>Management services</t>
        </is>
      </c>
      <c r="C146" s="146" t="n"/>
      <c r="D146" s="147" t="inlineStr">
        <is>
          <t>-</t>
        </is>
      </c>
      <c r="E146" s="61" t="n"/>
      <c r="F146" s="61" t="n"/>
      <c r="G146" s="61" t="n"/>
      <c r="H146" s="156">
        <f>IFERROR(F146-G146,"N/A")</f>
        <v/>
      </c>
      <c r="I146" s="161">
        <f>IFERROR(('[1]P&amp;L'!$F146-'[1]P&amp;L'!$G146)/ABS('[1]P&amp;L'!$G146),"N/A")</f>
        <v/>
      </c>
      <c r="J146" s="158" t="n"/>
      <c r="K146" s="183" t="n"/>
      <c r="L146" s="160">
        <f>IFERROR(F146-E146,"N/A")</f>
        <v/>
      </c>
      <c r="M146" s="161">
        <f>IFERROR(('[1]P&amp;L'!$F146-'[1]P&amp;L'!$E146)/ABS('[1]P&amp;L'!$E146),"N/A")</f>
        <v/>
      </c>
      <c r="N146" s="158" t="n"/>
      <c r="O146" s="160" t="n"/>
      <c r="P146" s="61" t="n"/>
      <c r="Q146" s="61" t="n"/>
      <c r="R146" s="61" t="n"/>
      <c r="S146" s="175">
        <f>IFERROR(Q146-R146,"N/A")</f>
        <v/>
      </c>
      <c r="T146" s="161">
        <f>IFERROR(('[1]P&amp;L'!$Q146-'[1]P&amp;L'!$R146)/ABS('[1]P&amp;L'!$R146),"N/A")</f>
        <v/>
      </c>
      <c r="U146" s="158" t="n"/>
      <c r="V146" s="184" t="n"/>
      <c r="W146" s="160">
        <f>IFERROR(Q146-P146,"N/A")</f>
        <v/>
      </c>
      <c r="X146" s="161">
        <f>IFERROR(('[1]P&amp;L'!$Q146-'[1]P&amp;L'!$P146)/ABS('[1]P&amp;L'!$P146),"N/A")</f>
        <v/>
      </c>
      <c r="Y146" s="158" t="n"/>
      <c r="Z146" s="184" t="n"/>
    </row>
    <row r="147" ht="12.75" customHeight="1">
      <c r="A147" s="146" t="inlineStr">
        <is>
          <t>02.F.15</t>
        </is>
      </c>
      <c r="B147" s="146" t="inlineStr">
        <is>
          <t>Consulting and supervision services</t>
        </is>
      </c>
      <c r="C147" s="146" t="n"/>
      <c r="D147" s="147" t="inlineStr">
        <is>
          <t>-</t>
        </is>
      </c>
      <c r="E147" s="61" t="n"/>
      <c r="F147" s="61" t="n"/>
      <c r="G147" s="61" t="n"/>
      <c r="H147" s="156">
        <f>IFERROR(F147-G147,"N/A")</f>
        <v/>
      </c>
      <c r="I147" s="161">
        <f>IFERROR(('[1]P&amp;L'!$F147-'[1]P&amp;L'!$G147)/ABS('[1]P&amp;L'!$G147),"N/A")</f>
        <v/>
      </c>
      <c r="J147" s="158" t="n"/>
      <c r="K147" s="183" t="n"/>
      <c r="L147" s="160">
        <f>IFERROR(F147-E147,"N/A")</f>
        <v/>
      </c>
      <c r="M147" s="161">
        <f>IFERROR(('[1]P&amp;L'!$F147-'[1]P&amp;L'!$E147)/ABS('[1]P&amp;L'!$E147),"N/A")</f>
        <v/>
      </c>
      <c r="N147" s="158" t="n"/>
      <c r="O147" s="160" t="n"/>
      <c r="P147" s="61" t="n"/>
      <c r="Q147" s="61" t="n"/>
      <c r="R147" s="61" t="n"/>
      <c r="S147" s="175">
        <f>IFERROR(Q147-R147,"N/A")</f>
        <v/>
      </c>
      <c r="T147" s="161">
        <f>IFERROR(('[1]P&amp;L'!$Q147-'[1]P&amp;L'!$R147)/ABS('[1]P&amp;L'!$R147),"N/A")</f>
        <v/>
      </c>
      <c r="U147" s="158" t="n"/>
      <c r="V147" s="184" t="n"/>
      <c r="W147" s="160">
        <f>IFERROR(Q147-P147,"N/A")</f>
        <v/>
      </c>
      <c r="X147" s="161">
        <f>IFERROR(('[1]P&amp;L'!$Q147-'[1]P&amp;L'!$P147)/ABS('[1]P&amp;L'!$P147),"N/A")</f>
        <v/>
      </c>
      <c r="Y147" s="158" t="n"/>
      <c r="Z147" s="184" t="n"/>
    </row>
    <row r="148" ht="12.75" customHeight="1">
      <c r="A148" s="146" t="inlineStr">
        <is>
          <t>02.F.16</t>
        </is>
      </c>
      <c r="B148" s="146" t="inlineStr">
        <is>
          <t>Other (R&amp;D expenses)</t>
        </is>
      </c>
      <c r="C148" s="146" t="n"/>
      <c r="D148" s="147" t="inlineStr">
        <is>
          <t>-</t>
        </is>
      </c>
      <c r="E148" s="61" t="n"/>
      <c r="F148" s="61" t="n"/>
      <c r="G148" s="61" t="n"/>
      <c r="H148" s="156">
        <f>IFERROR(F148-G148,"N/A")</f>
        <v/>
      </c>
      <c r="I148" s="161">
        <f>IFERROR(('[1]P&amp;L'!$F148-'[1]P&amp;L'!$G148)/ABS('[1]P&amp;L'!$G148),"N/A")</f>
        <v/>
      </c>
      <c r="J148" s="158" t="n"/>
      <c r="K148" s="183" t="n"/>
      <c r="L148" s="160">
        <f>IFERROR(F148-E148,"N/A")</f>
        <v/>
      </c>
      <c r="M148" s="161">
        <f>IFERROR(('[1]P&amp;L'!$F148-'[1]P&amp;L'!$E148)/ABS('[1]P&amp;L'!$E148),"N/A")</f>
        <v/>
      </c>
      <c r="N148" s="158" t="n"/>
      <c r="O148" s="160" t="n"/>
      <c r="P148" s="61" t="n"/>
      <c r="Q148" s="61" t="n"/>
      <c r="R148" s="61" t="n"/>
      <c r="S148" s="175">
        <f>IFERROR(Q148-R148,"N/A")</f>
        <v/>
      </c>
      <c r="T148" s="161">
        <f>IFERROR(('[1]P&amp;L'!$Q148-'[1]P&amp;L'!$R148)/ABS('[1]P&amp;L'!$R148),"N/A")</f>
        <v/>
      </c>
      <c r="U148" s="158" t="n"/>
      <c r="V148" s="184" t="n"/>
      <c r="W148" s="160">
        <f>IFERROR(Q148-P148,"N/A")</f>
        <v/>
      </c>
      <c r="X148" s="161">
        <f>IFERROR(('[1]P&amp;L'!$Q148-'[1]P&amp;L'!$P148)/ABS('[1]P&amp;L'!$P148),"N/A")</f>
        <v/>
      </c>
      <c r="Y148" s="158" t="n"/>
      <c r="Z148" s="184" t="n"/>
    </row>
    <row r="149" ht="12.75" customHeight="1">
      <c r="A149" s="181" t="inlineStr">
        <is>
          <t>02.G</t>
        </is>
      </c>
      <c r="B149" s="181" t="inlineStr">
        <is>
          <t>Expected credit loss/(reversal)</t>
        </is>
      </c>
      <c r="C149" s="181" t="n"/>
      <c r="D149" s="147" t="inlineStr">
        <is>
          <t>-/+</t>
        </is>
      </c>
      <c r="E149" s="61" t="n"/>
      <c r="F149" s="61" t="n"/>
      <c r="G149" s="61" t="n"/>
      <c r="H149" s="156">
        <f>IFERROR(F149-G149,"N/A")</f>
        <v/>
      </c>
      <c r="I149" s="161">
        <f>IFERROR(('[1]P&amp;L'!$F149-'[1]P&amp;L'!$G149)/ABS('[1]P&amp;L'!$G149),"N/A")</f>
        <v/>
      </c>
      <c r="J149" s="158" t="n"/>
      <c r="K149" s="183" t="n"/>
      <c r="L149" s="160">
        <f>IFERROR(F149-E149,"N/A")</f>
        <v/>
      </c>
      <c r="M149" s="161">
        <f>IFERROR(('[1]P&amp;L'!$F149-'[1]P&amp;L'!$E149)/ABS('[1]P&amp;L'!$E149),"N/A")</f>
        <v/>
      </c>
      <c r="N149" s="158" t="n"/>
      <c r="O149" s="160" t="n"/>
      <c r="P149" s="61" t="n"/>
      <c r="Q149" s="61" t="n"/>
      <c r="R149" s="61" t="n"/>
      <c r="S149" s="175">
        <f>IFERROR(Q149-R149,"N/A")</f>
        <v/>
      </c>
      <c r="T149" s="161">
        <f>IFERROR(('[1]P&amp;L'!$Q149-'[1]P&amp;L'!$R149)/ABS('[1]P&amp;L'!$R149),"N/A")</f>
        <v/>
      </c>
      <c r="U149" s="158" t="n"/>
      <c r="V149" s="184" t="n"/>
      <c r="W149" s="160">
        <f>IFERROR(Q149-P149,"N/A")</f>
        <v/>
      </c>
      <c r="X149" s="161">
        <f>IFERROR(('[1]P&amp;L'!$Q149-'[1]P&amp;L'!$P149)/ABS('[1]P&amp;L'!$P149),"N/A")</f>
        <v/>
      </c>
      <c r="Y149" s="158" t="n"/>
      <c r="Z149" s="184" t="n"/>
    </row>
    <row r="150" ht="12.75" customHeight="1">
      <c r="A150" s="152" t="inlineStr">
        <is>
          <t>02.H</t>
        </is>
      </c>
      <c r="B150" s="152" t="inlineStr">
        <is>
          <t>Other operating expenses</t>
        </is>
      </c>
      <c r="C150" s="152" t="n"/>
      <c r="D150" s="153" t="inlineStr">
        <is>
          <t>-</t>
        </is>
      </c>
      <c r="E150" s="167">
        <f>SUM(E151:E154)</f>
        <v/>
      </c>
      <c r="F150" s="167">
        <f>SUM(F151:F154)</f>
        <v/>
      </c>
      <c r="G150" s="167">
        <f>SUM(G151:G154)</f>
        <v/>
      </c>
      <c r="H150" s="165">
        <f>IFERROR(F150-G150,"N/A")</f>
        <v/>
      </c>
      <c r="I150" s="166">
        <f>IFERROR(('[1]P&amp;L'!$F150-'[1]P&amp;L'!$G150)/ABS('[1]P&amp;L'!$G150),"N/A")</f>
        <v/>
      </c>
      <c r="J150" s="167" t="n"/>
      <c r="K150" s="167" t="n"/>
      <c r="L150" s="165">
        <f>IFERROR(F150-E150,"N/A")</f>
        <v/>
      </c>
      <c r="M150" s="166">
        <f>IFERROR(('[1]P&amp;L'!$F150-'[1]P&amp;L'!$E150)/ABS('[1]P&amp;L'!$E150),"N/A")</f>
        <v/>
      </c>
      <c r="N150" s="167" t="n"/>
      <c r="O150" s="167" t="n"/>
      <c r="P150" s="167">
        <f>SUM(P151:P154)</f>
        <v/>
      </c>
      <c r="Q150" s="167">
        <f>SUM(Q151:Q154)</f>
        <v/>
      </c>
      <c r="R150" s="167">
        <f>SUM(R151:R154)</f>
        <v/>
      </c>
      <c r="S150" s="167">
        <f>IFERROR(Q150-R150,"N/A")</f>
        <v/>
      </c>
      <c r="T150" s="166">
        <f>IFERROR(('[1]P&amp;L'!$Q150-'[1]P&amp;L'!$R150)/ABS('[1]P&amp;L'!$R150),"N/A")</f>
        <v/>
      </c>
      <c r="U150" s="167" t="n"/>
      <c r="V150" s="167" t="n"/>
      <c r="W150" s="165">
        <f>IFERROR(Q150-P150,"N/A")</f>
        <v/>
      </c>
      <c r="X150" s="166">
        <f>IFERROR(('[1]P&amp;L'!$Q150-'[1]P&amp;L'!$P150)/ABS('[1]P&amp;L'!$P150),"N/A")</f>
        <v/>
      </c>
      <c r="Y150" s="167" t="n"/>
      <c r="Z150" s="143" t="n"/>
    </row>
    <row r="151" ht="27.6" customHeight="1">
      <c r="A151" s="176" t="inlineStr">
        <is>
          <t>02.H.01</t>
        </is>
      </c>
      <c r="B151" s="176" t="inlineStr">
        <is>
          <t>Impairment of property, plant and equipment &amp; intangible assets</t>
        </is>
      </c>
      <c r="C151" s="176" t="n"/>
      <c r="D151" s="187" t="inlineStr">
        <is>
          <t>-/+</t>
        </is>
      </c>
      <c r="E151" s="61" t="n"/>
      <c r="F151" s="61" t="n"/>
      <c r="G151" s="61" t="n"/>
      <c r="H151" s="156">
        <f>IFERROR(F151-G151,"N/A")</f>
        <v/>
      </c>
      <c r="I151" s="161">
        <f>IFERROR(('[1]P&amp;L'!$F151-'[1]P&amp;L'!$G151)/ABS('[1]P&amp;L'!$G151),"N/A")</f>
        <v/>
      </c>
      <c r="J151" s="158" t="n"/>
      <c r="K151" s="184" t="n"/>
      <c r="L151" s="160">
        <f>IFERROR(F151-E151,"N/A")</f>
        <v/>
      </c>
      <c r="M151" s="161">
        <f>IFERROR(('[1]P&amp;L'!$F151-'[1]P&amp;L'!$E151)/ABS('[1]P&amp;L'!$E151),"N/A")</f>
        <v/>
      </c>
      <c r="N151" s="158" t="n"/>
      <c r="O151" s="184" t="n"/>
      <c r="P151" s="61" t="n"/>
      <c r="Q151" s="61" t="n"/>
      <c r="R151" s="61" t="n"/>
      <c r="S151" s="175">
        <f>IFERROR(Q151-R151,"N/A")</f>
        <v/>
      </c>
      <c r="T151" s="161">
        <f>IFERROR(('[1]P&amp;L'!$Q151-'[1]P&amp;L'!$R151)/ABS('[1]P&amp;L'!$R151),"N/A")</f>
        <v/>
      </c>
      <c r="U151" s="158" t="n"/>
      <c r="V151" s="184" t="n"/>
      <c r="W151" s="160">
        <f>IFERROR(Q151-P151,"N/A")</f>
        <v/>
      </c>
      <c r="X151" s="161">
        <f>IFERROR(('[1]P&amp;L'!$Q151-'[1]P&amp;L'!$P151)/ABS('[1]P&amp;L'!$P151),"N/A")</f>
        <v/>
      </c>
      <c r="Y151" s="158" t="n"/>
      <c r="Z151" s="184" t="n"/>
    </row>
    <row r="152" ht="12.75" customHeight="1">
      <c r="A152" s="186" t="inlineStr">
        <is>
          <t>02.H.02</t>
        </is>
      </c>
      <c r="B152" s="186" t="inlineStr">
        <is>
          <t>Change in provisions</t>
        </is>
      </c>
      <c r="C152" s="186" t="n"/>
      <c r="D152" s="187" t="inlineStr">
        <is>
          <t>-/+</t>
        </is>
      </c>
      <c r="E152" s="61" t="n"/>
      <c r="F152" s="61" t="n"/>
      <c r="G152" s="61" t="n"/>
      <c r="H152" s="156">
        <f>IFERROR(F152-G152,"N/A")</f>
        <v/>
      </c>
      <c r="I152" s="161">
        <f>IFERROR(('[1]P&amp;L'!$F152-'[1]P&amp;L'!$G152)/ABS('[1]P&amp;L'!$G152),"N/A")</f>
        <v/>
      </c>
      <c r="J152" s="158" t="n"/>
      <c r="K152" s="184" t="n"/>
      <c r="L152" s="160">
        <f>IFERROR(F152-E152,"N/A")</f>
        <v/>
      </c>
      <c r="M152" s="161">
        <f>IFERROR(('[1]P&amp;L'!$F152-'[1]P&amp;L'!$E152)/ABS('[1]P&amp;L'!$E152),"N/A")</f>
        <v/>
      </c>
      <c r="N152" s="158" t="n"/>
      <c r="O152" s="184" t="n"/>
      <c r="P152" s="61" t="n"/>
      <c r="Q152" s="61" t="n"/>
      <c r="R152" s="61" t="n"/>
      <c r="S152" s="175">
        <f>IFERROR(Q152-R152,"N/A")</f>
        <v/>
      </c>
      <c r="T152" s="161">
        <f>IFERROR(('[1]P&amp;L'!$Q152-'[1]P&amp;L'!$R152)/ABS('[1]P&amp;L'!$R152),"N/A")</f>
        <v/>
      </c>
      <c r="U152" s="158" t="n"/>
      <c r="V152" s="184" t="n"/>
      <c r="W152" s="160">
        <f>IFERROR(Q152-P152,"N/A")</f>
        <v/>
      </c>
      <c r="X152" s="161">
        <f>IFERROR(('[1]P&amp;L'!$Q152-'[1]P&amp;L'!$P152)/ABS('[1]P&amp;L'!$P152),"N/A")</f>
        <v/>
      </c>
      <c r="Y152" s="158" t="n"/>
      <c r="Z152" s="184" t="n"/>
    </row>
    <row r="153" ht="25.5" customHeight="1">
      <c r="A153" s="186" t="inlineStr">
        <is>
          <t>02.H.03</t>
        </is>
      </c>
      <c r="B153" s="186" t="inlineStr">
        <is>
          <t>Services for resale (excluding transportation of products services)</t>
        </is>
      </c>
      <c r="C153" s="186" t="n"/>
      <c r="D153" s="187" t="inlineStr">
        <is>
          <t>-</t>
        </is>
      </c>
      <c r="E153" s="61" t="n"/>
      <c r="F153" s="61" t="n"/>
      <c r="G153" s="61" t="n"/>
      <c r="H153" s="156">
        <f>IFERROR(F153-G153,"N/A")</f>
        <v/>
      </c>
      <c r="I153" s="161">
        <f>IFERROR(('[1]P&amp;L'!$F153-'[1]P&amp;L'!$G153)/ABS('[1]P&amp;L'!$G153),"N/A")</f>
        <v/>
      </c>
      <c r="J153" s="158" t="n"/>
      <c r="K153" s="184" t="n"/>
      <c r="L153" s="160">
        <f>IFERROR(F153-E153,"N/A")</f>
        <v/>
      </c>
      <c r="M153" s="161">
        <f>IFERROR(('[1]P&amp;L'!$F153-'[1]P&amp;L'!$E153)/ABS('[1]P&amp;L'!$E153),"N/A")</f>
        <v/>
      </c>
      <c r="N153" s="158" t="n"/>
      <c r="O153" s="184" t="n"/>
      <c r="P153" s="61" t="n"/>
      <c r="Q153" s="61" t="n"/>
      <c r="R153" s="61" t="n"/>
      <c r="S153" s="175">
        <f>IFERROR(Q153-R153,"N/A")</f>
        <v/>
      </c>
      <c r="T153" s="161">
        <f>IFERROR(('[1]P&amp;L'!$Q153-'[1]P&amp;L'!$R153)/ABS('[1]P&amp;L'!$R153),"N/A")</f>
        <v/>
      </c>
      <c r="U153" s="158" t="n"/>
      <c r="V153" s="184" t="n"/>
      <c r="W153" s="160">
        <f>IFERROR(Q153-P153,"N/A")</f>
        <v/>
      </c>
      <c r="X153" s="161">
        <f>IFERROR(('[1]P&amp;L'!$Q153-'[1]P&amp;L'!$P153)/ABS('[1]P&amp;L'!$P153),"N/A")</f>
        <v/>
      </c>
      <c r="Y153" s="158" t="n"/>
      <c r="Z153" s="184" t="n"/>
    </row>
    <row r="154" ht="12.75" customHeight="1">
      <c r="A154" s="186" t="inlineStr">
        <is>
          <t>02.H.04</t>
        </is>
      </c>
      <c r="B154" s="186" t="inlineStr">
        <is>
          <t>Other (Other operating expenses)</t>
        </is>
      </c>
      <c r="C154" s="186" t="n"/>
      <c r="D154" s="187" t="inlineStr">
        <is>
          <t>-</t>
        </is>
      </c>
      <c r="E154" s="61" t="n"/>
      <c r="F154" s="61" t="n"/>
      <c r="G154" s="61" t="n"/>
      <c r="H154" s="156">
        <f>IFERROR(F154-G154,"N/A")</f>
        <v/>
      </c>
      <c r="I154" s="161">
        <f>IFERROR(('[1]P&amp;L'!$F154-'[1]P&amp;L'!$G154)/ABS('[1]P&amp;L'!$G154),"N/A")</f>
        <v/>
      </c>
      <c r="J154" s="158" t="n"/>
      <c r="K154" s="184" t="n"/>
      <c r="L154" s="160">
        <f>IFERROR(F154-E154,"N/A")</f>
        <v/>
      </c>
      <c r="M154" s="161">
        <f>IFERROR(('[1]P&amp;L'!$F154-'[1]P&amp;L'!$E154)/ABS('[1]P&amp;L'!$E154),"N/A")</f>
        <v/>
      </c>
      <c r="N154" s="158" t="n"/>
      <c r="O154" s="184" t="n"/>
      <c r="P154" s="61" t="n"/>
      <c r="Q154" s="61" t="n"/>
      <c r="R154" s="61" t="n"/>
      <c r="S154" s="175">
        <f>IFERROR(Q154-R154,"N/A")</f>
        <v/>
      </c>
      <c r="T154" s="161">
        <f>IFERROR(('[1]P&amp;L'!$Q154-'[1]P&amp;L'!$R154)/ABS('[1]P&amp;L'!$R154),"N/A")</f>
        <v/>
      </c>
      <c r="U154" s="158" t="n"/>
      <c r="V154" s="184" t="n"/>
      <c r="W154" s="160">
        <f>IFERROR(Q154-P154,"N/A")</f>
        <v/>
      </c>
      <c r="X154" s="161">
        <f>IFERROR(('[1]P&amp;L'!$Q154-'[1]P&amp;L'!$P154)/ABS('[1]P&amp;L'!$P154),"N/A")</f>
        <v/>
      </c>
      <c r="Y154" s="158" t="n"/>
      <c r="Z154" s="184" t="n"/>
    </row>
    <row r="155" ht="12.75" customHeight="1">
      <c r="A155" s="150" t="inlineStr">
        <is>
          <t>03</t>
        </is>
      </c>
      <c r="B155" s="150" t="inlineStr">
        <is>
          <t>Other operating income</t>
        </is>
      </c>
      <c r="C155" s="150" t="n"/>
      <c r="D155" s="130" t="inlineStr">
        <is>
          <t>+</t>
        </is>
      </c>
      <c r="E155" s="134">
        <f>SUM(E156:E158)</f>
        <v/>
      </c>
      <c r="F155" s="134">
        <f>SUM(F156:F158)</f>
        <v/>
      </c>
      <c r="G155" s="134">
        <f>SUM(G156:G158)</f>
        <v/>
      </c>
      <c r="H155" s="135">
        <f>IFERROR(F155-G155,"N/A")</f>
        <v/>
      </c>
      <c r="I155" s="133">
        <f>IFERROR(('[1]P&amp;L'!$F155-'[1]P&amp;L'!$G155)/ABS('[1]P&amp;L'!$G155),"N/A")</f>
        <v/>
      </c>
      <c r="J155" s="134" t="n"/>
      <c r="K155" s="134" t="n"/>
      <c r="L155" s="135">
        <f>IFERROR(F155-E155,"N/A")</f>
        <v/>
      </c>
      <c r="M155" s="133">
        <f>IFERROR(('[1]P&amp;L'!$F155-'[1]P&amp;L'!$E155)/ABS('[1]P&amp;L'!$E155),"N/A")</f>
        <v/>
      </c>
      <c r="N155" s="134" t="n"/>
      <c r="O155" s="134" t="n"/>
      <c r="P155" s="134">
        <f>SUM(P156:P158)</f>
        <v/>
      </c>
      <c r="Q155" s="134">
        <f>SUM(Q156:Q158)</f>
        <v/>
      </c>
      <c r="R155" s="134">
        <f>SUM(R156:R158)</f>
        <v/>
      </c>
      <c r="S155" s="134">
        <f>IFERROR(Q155-R155,"N/A")</f>
        <v/>
      </c>
      <c r="T155" s="133">
        <f>IFERROR(('[1]P&amp;L'!$Q155-'[1]P&amp;L'!$R155)/ABS('[1]P&amp;L'!$R155),"N/A")</f>
        <v/>
      </c>
      <c r="U155" s="134" t="n"/>
      <c r="V155" s="134" t="n"/>
      <c r="W155" s="135">
        <f>IFERROR(Q155-P155,"N/A")</f>
        <v/>
      </c>
      <c r="X155" s="133">
        <f>IFERROR(('[1]P&amp;L'!$Q155-'[1]P&amp;L'!$P155)/ABS('[1]P&amp;L'!$P155),"N/A")</f>
        <v/>
      </c>
      <c r="Y155" s="134" t="n"/>
      <c r="Z155" s="134" t="n"/>
    </row>
    <row r="156" ht="12.75" customHeight="1">
      <c r="A156" s="181" t="inlineStr">
        <is>
          <t>03.A</t>
        </is>
      </c>
      <c r="B156" s="181" t="inlineStr">
        <is>
          <t>Government grant</t>
        </is>
      </c>
      <c r="C156" s="181" t="n"/>
      <c r="D156" s="180" t="inlineStr">
        <is>
          <t>+</t>
        </is>
      </c>
      <c r="E156" s="61" t="n"/>
      <c r="F156" s="61" t="n"/>
      <c r="G156" s="61" t="n"/>
      <c r="H156" s="156">
        <f>IFERROR(F156-G156,"N/A")</f>
        <v/>
      </c>
      <c r="I156" s="161">
        <f>IFERROR(('[1]P&amp;L'!$F156-'[1]P&amp;L'!$G156)/ABS('[1]P&amp;L'!$G156),"N/A")</f>
        <v/>
      </c>
      <c r="J156" s="158" t="n"/>
      <c r="K156" s="184" t="n"/>
      <c r="L156" s="160">
        <f>IFERROR(F156-E156,"N/A")</f>
        <v/>
      </c>
      <c r="M156" s="161">
        <f>IFERROR(('[1]P&amp;L'!$F156-'[1]P&amp;L'!$E156)/ABS('[1]P&amp;L'!$E156),"N/A")</f>
        <v/>
      </c>
      <c r="N156" s="158" t="n"/>
      <c r="O156" s="184" t="n"/>
      <c r="P156" s="61" t="n"/>
      <c r="Q156" s="61" t="n"/>
      <c r="R156" s="61" t="n"/>
      <c r="S156" s="197">
        <f>IFERROR(Q156-R156,"N/A")</f>
        <v/>
      </c>
      <c r="T156" s="161">
        <f>IFERROR(('[1]P&amp;L'!$Q156-'[1]P&amp;L'!$R156)/ABS('[1]P&amp;L'!$R156),"N/A")</f>
        <v/>
      </c>
      <c r="U156" s="158" t="n"/>
      <c r="V156" s="184" t="n"/>
      <c r="W156" s="160">
        <f>IFERROR(Q156-P156,"N/A")</f>
        <v/>
      </c>
      <c r="X156" s="161">
        <f>IFERROR(('[1]P&amp;L'!$Q156-'[1]P&amp;L'!$P156)/ABS('[1]P&amp;L'!$P156),"N/A")</f>
        <v/>
      </c>
      <c r="Y156" s="158" t="n"/>
      <c r="Z156" s="184" t="n"/>
    </row>
    <row r="157" ht="12.75" customHeight="1">
      <c r="A157" s="181" t="inlineStr">
        <is>
          <t>03.B</t>
        </is>
      </c>
      <c r="B157" s="181" t="inlineStr">
        <is>
          <t>Fair value gain/(loss) on financial instrument at FVPL</t>
        </is>
      </c>
      <c r="C157" s="181" t="n"/>
      <c r="D157" s="180" t="inlineStr">
        <is>
          <t>+</t>
        </is>
      </c>
      <c r="E157" s="61" t="n"/>
      <c r="F157" s="61" t="n"/>
      <c r="G157" s="61" t="n"/>
      <c r="H157" s="156">
        <f>IFERROR(F157-G157,"N/A")</f>
        <v/>
      </c>
      <c r="I157" s="161">
        <f>IFERROR(('[1]P&amp;L'!$F157-'[1]P&amp;L'!$G157)/ABS('[1]P&amp;L'!$G157),"N/A")</f>
        <v/>
      </c>
      <c r="J157" s="158" t="n"/>
      <c r="K157" s="184" t="n"/>
      <c r="L157" s="160">
        <f>IFERROR(F157-E157,"N/A")</f>
        <v/>
      </c>
      <c r="M157" s="161">
        <f>IFERROR(('[1]P&amp;L'!$F157-'[1]P&amp;L'!$E157)/ABS('[1]P&amp;L'!$E157),"N/A")</f>
        <v/>
      </c>
      <c r="N157" s="158" t="n"/>
      <c r="O157" s="184" t="n"/>
      <c r="P157" s="61" t="n"/>
      <c r="Q157" s="61" t="n"/>
      <c r="R157" s="61" t="n"/>
      <c r="S157" s="197">
        <f>IFERROR(Q157-R157,"N/A")</f>
        <v/>
      </c>
      <c r="T157" s="161">
        <f>IFERROR(('[1]P&amp;L'!$Q157-'[1]P&amp;L'!$R157)/ABS('[1]P&amp;L'!$R157),"N/A")</f>
        <v/>
      </c>
      <c r="U157" s="158" t="n"/>
      <c r="V157" s="184" t="n"/>
      <c r="W157" s="160">
        <f>IFERROR(Q157-P157,"N/A")</f>
        <v/>
      </c>
      <c r="X157" s="161">
        <f>IFERROR(('[1]P&amp;L'!$Q157-'[1]P&amp;L'!$P157)/ABS('[1]P&amp;L'!$P157),"N/A")</f>
        <v/>
      </c>
      <c r="Y157" s="158" t="n"/>
      <c r="Z157" s="184" t="n"/>
    </row>
    <row r="158" ht="12.75" customHeight="1">
      <c r="A158" s="181" t="inlineStr">
        <is>
          <t>03.C</t>
        </is>
      </c>
      <c r="B158" s="181" t="inlineStr">
        <is>
          <t>Other (Other operating income)</t>
        </is>
      </c>
      <c r="C158" s="181" t="n"/>
      <c r="D158" s="180" t="inlineStr">
        <is>
          <t>+</t>
        </is>
      </c>
      <c r="E158" s="61" t="n"/>
      <c r="F158" s="61" t="n"/>
      <c r="G158" s="61" t="n"/>
      <c r="H158" s="156">
        <f>IFERROR(F158-G158,"N/A")</f>
        <v/>
      </c>
      <c r="I158" s="161">
        <f>IFERROR(('[1]P&amp;L'!$F158-'[1]P&amp;L'!$G158)/ABS('[1]P&amp;L'!$G158),"N/A")</f>
        <v/>
      </c>
      <c r="J158" s="158" t="n"/>
      <c r="K158" s="184" t="n"/>
      <c r="L158" s="160">
        <f>IFERROR(F158-E158,"N/A")</f>
        <v/>
      </c>
      <c r="M158" s="161">
        <f>IFERROR(('[1]P&amp;L'!$F158-'[1]P&amp;L'!$E158)/ABS('[1]P&amp;L'!$E158),"N/A")</f>
        <v/>
      </c>
      <c r="N158" s="158" t="n"/>
      <c r="O158" s="184" t="n"/>
      <c r="P158" s="61" t="n"/>
      <c r="Q158" s="61" t="n"/>
      <c r="R158" s="61" t="n"/>
      <c r="S158" s="197">
        <f>IFERROR(Q158-R158,"N/A")</f>
        <v/>
      </c>
      <c r="T158" s="161">
        <f>IFERROR(('[1]P&amp;L'!$Q158-'[1]P&amp;L'!$R158)/ABS('[1]P&amp;L'!$R158),"N/A")</f>
        <v/>
      </c>
      <c r="U158" s="158" t="n"/>
      <c r="V158" s="184" t="n"/>
      <c r="W158" s="160">
        <f>IFERROR(Q158-P158,"N/A")</f>
        <v/>
      </c>
      <c r="X158" s="161">
        <f>IFERROR(('[1]P&amp;L'!$Q158-'[1]P&amp;L'!$P158)/ABS('[1]P&amp;L'!$P158),"N/A")</f>
        <v/>
      </c>
      <c r="Y158" s="158" t="n"/>
      <c r="Z158" s="184" t="n"/>
    </row>
    <row r="159" ht="12.75" customHeight="1">
      <c r="A159" s="150" t="inlineStr">
        <is>
          <t>04</t>
        </is>
      </c>
      <c r="B159" s="150" t="inlineStr">
        <is>
          <t>Gain/(loss) on disposals of property, plant and equipment and intangible assets</t>
        </is>
      </c>
      <c r="C159" s="150" t="n"/>
      <c r="D159" s="130" t="inlineStr">
        <is>
          <t>+/-</t>
        </is>
      </c>
      <c r="E159" s="61" t="n">
        <v>0</v>
      </c>
      <c r="F159" s="61" t="n">
        <v>548.4514761656876</v>
      </c>
      <c r="G159" s="61" t="n">
        <v>0</v>
      </c>
      <c r="H159" s="196">
        <f>IFERROR(F159-G159,"N/A")</f>
        <v/>
      </c>
      <c r="I159" s="195">
        <f>IFERROR(('[1]P&amp;L'!$F159-'[1]P&amp;L'!$G159)/ABS('[1]P&amp;L'!$G159),"N/A")</f>
        <v/>
      </c>
      <c r="J159" s="190" t="inlineStr">
        <is>
          <t>N/A</t>
        </is>
      </c>
      <c r="K159" s="206" t="n"/>
      <c r="L159" s="192">
        <f>IFERROR(F159-E159,"N/A")</f>
        <v/>
      </c>
      <c r="M159" s="195">
        <f>IFERROR(('[1]P&amp;L'!$F159-'[1]P&amp;L'!$E159)/ABS('[1]P&amp;L'!$E159),"N/A")</f>
        <v/>
      </c>
      <c r="N159" s="190" t="n"/>
      <c r="O159" s="206" t="n"/>
      <c r="P159" s="61" t="n">
        <v>-138.0306809770543</v>
      </c>
      <c r="Q159" s="61" t="n">
        <v>276.3378560273663</v>
      </c>
      <c r="R159" s="61" t="n">
        <v>0</v>
      </c>
      <c r="S159" s="197">
        <f>IFERROR(Q159-R159,"N/A")</f>
        <v/>
      </c>
      <c r="T159" s="195">
        <f>IFERROR(('[1]P&amp;L'!$Q159-'[1]P&amp;L'!$R159)/ABS('[1]P&amp;L'!$R159),"N/A")</f>
        <v/>
      </c>
      <c r="U159" s="190" t="inlineStr">
        <is>
          <t>N/A</t>
        </is>
      </c>
      <c r="V159" s="206" t="n"/>
      <c r="W159" s="192">
        <f>IFERROR(Q159-P159,"N/A")</f>
        <v/>
      </c>
      <c r="X159" s="195">
        <f>IFERROR(('[1]P&amp;L'!$Q159-'[1]P&amp;L'!$P159)/ABS('[1]P&amp;L'!$P159),"N/A")</f>
        <v/>
      </c>
      <c r="Y159" s="190" t="inlineStr">
        <is>
          <t>N/A</t>
        </is>
      </c>
      <c r="Z159" s="206" t="n"/>
    </row>
    <row r="160" ht="12.75" customFormat="1" customHeight="1" s="174">
      <c r="A160" s="170" t="inlineStr">
        <is>
          <t>OP</t>
        </is>
      </c>
      <c r="B160" s="170" t="inlineStr">
        <is>
          <t>Operating profit</t>
        </is>
      </c>
      <c r="C160" s="170" t="n"/>
      <c r="D160" s="171" t="inlineStr">
        <is>
          <t>+/-</t>
        </is>
      </c>
      <c r="E160" s="134">
        <f>SUM(E45,E46,E66,E89,E109,E129,E149,E150,E155,E159)</f>
        <v/>
      </c>
      <c r="F160" s="134" t="n">
        <v>-844.73</v>
      </c>
      <c r="G160" s="134">
        <f>SUM(G45,G46,G66,G89,G109,G129,G149,G150,G155,G159)</f>
        <v/>
      </c>
      <c r="H160" s="135">
        <f>IFERROR(F160-G160,"N/A")</f>
        <v/>
      </c>
      <c r="I160" s="133">
        <f>IFERROR(('[1]P&amp;L'!$F160-'[1]P&amp;L'!$G160)/ABS('[1]P&amp;L'!$G160),"N/A")</f>
        <v/>
      </c>
      <c r="J160" s="134" t="n"/>
      <c r="K160" s="134" t="n"/>
      <c r="L160" s="135">
        <f>IFERROR(F160-E160,"N/A")</f>
        <v/>
      </c>
      <c r="M160" s="133">
        <f>IFERROR(('[1]P&amp;L'!$F160-'[1]P&amp;L'!$E160)/ABS('[1]P&amp;L'!$E160),"N/A")</f>
        <v/>
      </c>
      <c r="N160" s="134" t="n"/>
      <c r="O160" s="134" t="n"/>
      <c r="P160" s="134">
        <f>SUM(P45,P46,P66,P89,P109,P129,P149,P150,P155,P159)</f>
        <v/>
      </c>
      <c r="Q160" s="134" t="n">
        <v>-844.73</v>
      </c>
      <c r="R160" s="134">
        <f>SUM(R45,R46,R66,R89,R109,R129,R149,R150,R155,R159)</f>
        <v/>
      </c>
      <c r="S160" s="134">
        <f>IFERROR(Q160-R160,"N/A")</f>
        <v/>
      </c>
      <c r="T160" s="133">
        <f>IFERROR(('[1]P&amp;L'!$Q160-'[1]P&amp;L'!$R160)/ABS('[1]P&amp;L'!$R160),"N/A")</f>
        <v/>
      </c>
      <c r="U160" s="134" t="n"/>
      <c r="V160" s="134" t="n"/>
      <c r="W160" s="135">
        <f>IFERROR(Q160-P160,"N/A")</f>
        <v/>
      </c>
      <c r="X160" s="133">
        <f>IFERROR(('[1]P&amp;L'!$Q160-'[1]P&amp;L'!$P160)/ABS('[1]P&amp;L'!$P160),"N/A")</f>
        <v/>
      </c>
      <c r="Y160" s="134" t="n"/>
      <c r="Z160" s="134" t="n"/>
    </row>
    <row r="161" ht="12.75" customHeight="1">
      <c r="A161" s="150" t="inlineStr">
        <is>
          <t>05</t>
        </is>
      </c>
      <c r="B161" s="150" t="inlineStr">
        <is>
          <t xml:space="preserve">Other income and dividends </t>
        </is>
      </c>
      <c r="C161" s="150" t="n"/>
      <c r="D161" s="171" t="inlineStr">
        <is>
          <t>+</t>
        </is>
      </c>
      <c r="E161" s="134">
        <f>SUM(E162:E167)</f>
        <v/>
      </c>
      <c r="F161" s="134">
        <f>SUM(F162:F167)</f>
        <v/>
      </c>
      <c r="G161" s="134">
        <f>SUM(G162:G167)</f>
        <v/>
      </c>
      <c r="H161" s="135">
        <f>IFERROR(F161-G161,"N/A")</f>
        <v/>
      </c>
      <c r="I161" s="133">
        <f>IFERROR(('[1]P&amp;L'!$F161-'[1]P&amp;L'!$G161)/ABS('[1]P&amp;L'!$G161),"N/A")</f>
        <v/>
      </c>
      <c r="J161" s="134" t="n"/>
      <c r="K161" s="134" t="n"/>
      <c r="L161" s="135">
        <f>IFERROR(F161-E161,"N/A")</f>
        <v/>
      </c>
      <c r="M161" s="133">
        <f>IFERROR(('[1]P&amp;L'!$F161-'[1]P&amp;L'!$E161)/ABS('[1]P&amp;L'!$E161),"N/A")</f>
        <v/>
      </c>
      <c r="N161" s="134" t="n"/>
      <c r="O161" s="134" t="n"/>
      <c r="P161" s="134">
        <f>SUM(P162:P167)</f>
        <v/>
      </c>
      <c r="Q161" s="134">
        <f>SUM(Q162:Q167)</f>
        <v/>
      </c>
      <c r="R161" s="134">
        <f>SUM(R162:R167)</f>
        <v/>
      </c>
      <c r="S161" s="134">
        <f>IFERROR(Q161-R161,"N/A")</f>
        <v/>
      </c>
      <c r="T161" s="133">
        <f>IFERROR(('[1]P&amp;L'!$Q161-'[1]P&amp;L'!$R161)/ABS('[1]P&amp;L'!$R161),"N/A")</f>
        <v/>
      </c>
      <c r="U161" s="134" t="n"/>
      <c r="V161" s="134" t="n"/>
      <c r="W161" s="135">
        <f>IFERROR(Q161-P161,"N/A")</f>
        <v/>
      </c>
      <c r="X161" s="133">
        <f>IFERROR(('[1]P&amp;L'!$Q161-'[1]P&amp;L'!$P161)/ABS('[1]P&amp;L'!$P161),"N/A")</f>
        <v/>
      </c>
      <c r="Y161" s="134" t="n"/>
      <c r="Z161" s="134" t="n"/>
    </row>
    <row r="162" ht="12.75" customHeight="1">
      <c r="A162" s="193" t="inlineStr">
        <is>
          <t>05.A</t>
        </is>
      </c>
      <c r="B162" s="193" t="inlineStr">
        <is>
          <t>Dividends from joint ventures (for Head office only)</t>
        </is>
      </c>
      <c r="C162" s="193" t="n"/>
      <c r="D162" s="147" t="inlineStr">
        <is>
          <t>+</t>
        </is>
      </c>
      <c r="E162" s="61" t="n"/>
      <c r="F162" s="61" t="n"/>
      <c r="G162" s="61" t="n"/>
      <c r="H162" s="156">
        <f>IFERROR(F162-G162,"N/A")</f>
        <v/>
      </c>
      <c r="I162" s="161">
        <f>IFERROR(('[1]P&amp;L'!$F162-'[1]P&amp;L'!$G162)/ABS('[1]P&amp;L'!$G162),"N/A")</f>
        <v/>
      </c>
      <c r="J162" s="158" t="n"/>
      <c r="K162" s="184" t="n"/>
      <c r="L162" s="160">
        <f>IFERROR(F162-E162,"N/A")</f>
        <v/>
      </c>
      <c r="M162" s="161">
        <f>IFERROR(('[1]P&amp;L'!$F162-'[1]P&amp;L'!$E162)/ABS('[1]P&amp;L'!$E162),"N/A")</f>
        <v/>
      </c>
      <c r="N162" s="158" t="n"/>
      <c r="O162" s="184" t="n"/>
      <c r="P162" s="61" t="n"/>
      <c r="Q162" s="61" t="n"/>
      <c r="R162" s="61" t="n"/>
      <c r="S162" s="197">
        <f>IFERROR(Q162-R162,"N/A")</f>
        <v/>
      </c>
      <c r="T162" s="161">
        <f>IFERROR(('[1]P&amp;L'!$Q162-'[1]P&amp;L'!$R162)/ABS('[1]P&amp;L'!$R162),"N/A")</f>
        <v/>
      </c>
      <c r="U162" s="158" t="n"/>
      <c r="V162" s="184" t="n"/>
      <c r="W162" s="160">
        <f>IFERROR(Q162-P162,"N/A")</f>
        <v/>
      </c>
      <c r="X162" s="161">
        <f>IFERROR(('[1]P&amp;L'!$Q162-'[1]P&amp;L'!$P162)/ABS('[1]P&amp;L'!$P162),"N/A")</f>
        <v/>
      </c>
      <c r="Y162" s="158" t="n"/>
      <c r="Z162" s="184" t="n"/>
    </row>
    <row r="163" ht="12.75" customHeight="1">
      <c r="A163" s="193" t="inlineStr">
        <is>
          <t>05.B</t>
        </is>
      </c>
      <c r="B163" s="193" t="inlineStr">
        <is>
          <t>Dividends from associated entities (for Head office only)</t>
        </is>
      </c>
      <c r="C163" s="193" t="n"/>
      <c r="D163" s="147" t="inlineStr">
        <is>
          <t>+</t>
        </is>
      </c>
      <c r="E163" s="61" t="n"/>
      <c r="F163" s="61" t="n"/>
      <c r="G163" s="61" t="n"/>
      <c r="H163" s="156">
        <f>IFERROR(F163-G163,"N/A")</f>
        <v/>
      </c>
      <c r="I163" s="161">
        <f>IFERROR(('[1]P&amp;L'!$F163-'[1]P&amp;L'!$G163)/ABS('[1]P&amp;L'!$G163),"N/A")</f>
        <v/>
      </c>
      <c r="J163" s="158" t="n"/>
      <c r="K163" s="184" t="n"/>
      <c r="L163" s="160">
        <f>IFERROR(F163-E163,"N/A")</f>
        <v/>
      </c>
      <c r="M163" s="161">
        <f>IFERROR(('[1]P&amp;L'!$F163-'[1]P&amp;L'!$E163)/ABS('[1]P&amp;L'!$E163),"N/A")</f>
        <v/>
      </c>
      <c r="N163" s="158" t="n"/>
      <c r="O163" s="184" t="n"/>
      <c r="P163" s="61" t="n"/>
      <c r="Q163" s="61" t="n"/>
      <c r="R163" s="61" t="n"/>
      <c r="S163" s="197">
        <f>IFERROR(Q163-R163,"N/A")</f>
        <v/>
      </c>
      <c r="T163" s="161">
        <f>IFERROR(('[1]P&amp;L'!$Q163-'[1]P&amp;L'!$R163)/ABS('[1]P&amp;L'!$R163),"N/A")</f>
        <v/>
      </c>
      <c r="U163" s="158" t="n"/>
      <c r="V163" s="184" t="n"/>
      <c r="W163" s="160">
        <f>IFERROR(Q163-P163,"N/A")</f>
        <v/>
      </c>
      <c r="X163" s="161">
        <f>IFERROR(('[1]P&amp;L'!$Q163-'[1]P&amp;L'!$P163)/ABS('[1]P&amp;L'!$P163),"N/A")</f>
        <v/>
      </c>
      <c r="Y163" s="158" t="n"/>
      <c r="Z163" s="184" t="n"/>
    </row>
    <row r="164" ht="12.75" customHeight="1">
      <c r="A164" s="193" t="inlineStr">
        <is>
          <t>05.C</t>
        </is>
      </c>
      <c r="B164" s="193" t="inlineStr">
        <is>
          <t>Dividends from subsidiaries (for stand alone reports only)</t>
        </is>
      </c>
      <c r="C164" s="193" t="n"/>
      <c r="D164" s="147" t="inlineStr">
        <is>
          <t>+</t>
        </is>
      </c>
      <c r="E164" s="61" t="n"/>
      <c r="F164" s="61" t="n"/>
      <c r="G164" s="61" t="n"/>
      <c r="H164" s="156">
        <f>IFERROR(F164-G164,"N/A")</f>
        <v/>
      </c>
      <c r="I164" s="161">
        <f>IFERROR(('[1]P&amp;L'!$F164-'[1]P&amp;L'!$G164)/ABS('[1]P&amp;L'!$G164),"N/A")</f>
        <v/>
      </c>
      <c r="J164" s="158" t="n"/>
      <c r="K164" s="184" t="n"/>
      <c r="L164" s="160">
        <f>IFERROR(F164-E164,"N/A")</f>
        <v/>
      </c>
      <c r="M164" s="161">
        <f>IFERROR(('[1]P&amp;L'!$F164-'[1]P&amp;L'!$E164)/ABS('[1]P&amp;L'!$E164),"N/A")</f>
        <v/>
      </c>
      <c r="N164" s="158" t="n"/>
      <c r="O164" s="184" t="n"/>
      <c r="P164" s="61" t="n"/>
      <c r="Q164" s="61" t="n"/>
      <c r="R164" s="61" t="n"/>
      <c r="S164" s="197">
        <f>IFERROR(Q164-R164,"N/A")</f>
        <v/>
      </c>
      <c r="T164" s="161">
        <f>IFERROR(('[1]P&amp;L'!$Q164-'[1]P&amp;L'!$R164)/ABS('[1]P&amp;L'!$R164),"N/A")</f>
        <v/>
      </c>
      <c r="U164" s="158" t="n"/>
      <c r="V164" s="184" t="n"/>
      <c r="W164" s="160">
        <f>IFERROR(Q164-P164,"N/A")</f>
        <v/>
      </c>
      <c r="X164" s="161">
        <f>IFERROR(('[1]P&amp;L'!$Q164-'[1]P&amp;L'!$P164)/ABS('[1]P&amp;L'!$P164),"N/A")</f>
        <v/>
      </c>
      <c r="Y164" s="158" t="n"/>
      <c r="Z164" s="184" t="n"/>
    </row>
    <row r="165" ht="12.75" customHeight="1">
      <c r="A165" s="193" t="inlineStr">
        <is>
          <t>05.D</t>
        </is>
      </c>
      <c r="B165" s="193" t="inlineStr">
        <is>
          <t>Share of result of joint ventures</t>
        </is>
      </c>
      <c r="C165" s="193" t="n"/>
      <c r="D165" s="147" t="inlineStr">
        <is>
          <t>+/-</t>
        </is>
      </c>
      <c r="E165" s="61" t="n"/>
      <c r="F165" s="61" t="n"/>
      <c r="G165" s="61" t="n"/>
      <c r="H165" s="156">
        <f>IFERROR(F165-G165,"N/A")</f>
        <v/>
      </c>
      <c r="I165" s="161">
        <f>IFERROR(('[1]P&amp;L'!$F165-'[1]P&amp;L'!$G165)/ABS('[1]P&amp;L'!$G165),"N/A")</f>
        <v/>
      </c>
      <c r="J165" s="158" t="n"/>
      <c r="K165" s="184" t="n"/>
      <c r="L165" s="160">
        <f>IFERROR(F165-E165,"N/A")</f>
        <v/>
      </c>
      <c r="M165" s="161">
        <f>IFERROR(('[1]P&amp;L'!$F165-'[1]P&amp;L'!$E165)/ABS('[1]P&amp;L'!$E165),"N/A")</f>
        <v/>
      </c>
      <c r="N165" s="158" t="n"/>
      <c r="O165" s="184" t="n"/>
      <c r="P165" s="61" t="n"/>
      <c r="Q165" s="61" t="n"/>
      <c r="R165" s="61" t="n"/>
      <c r="S165" s="197">
        <f>IFERROR(Q165-R165,"N/A")</f>
        <v/>
      </c>
      <c r="T165" s="161">
        <f>IFERROR(('[1]P&amp;L'!$Q165-'[1]P&amp;L'!$R165)/ABS('[1]P&amp;L'!$R165),"N/A")</f>
        <v/>
      </c>
      <c r="U165" s="158" t="n"/>
      <c r="V165" s="184" t="n"/>
      <c r="W165" s="160">
        <f>IFERROR(Q165-P165,"N/A")</f>
        <v/>
      </c>
      <c r="X165" s="161">
        <f>IFERROR(('[1]P&amp;L'!$Q165-'[1]P&amp;L'!$P165)/ABS('[1]P&amp;L'!$P165),"N/A")</f>
        <v/>
      </c>
      <c r="Y165" s="158" t="n"/>
      <c r="Z165" s="184" t="n"/>
    </row>
    <row r="166" ht="12.75" customHeight="1">
      <c r="A166" s="193" t="inlineStr">
        <is>
          <t>05.E</t>
        </is>
      </c>
      <c r="B166" s="193" t="inlineStr">
        <is>
          <t>Share of result of associates</t>
        </is>
      </c>
      <c r="C166" s="193" t="n"/>
      <c r="D166" s="147" t="inlineStr">
        <is>
          <t>+/-</t>
        </is>
      </c>
      <c r="E166" s="61" t="n"/>
      <c r="F166" s="61" t="n"/>
      <c r="G166" s="61" t="n"/>
      <c r="H166" s="156">
        <f>IFERROR(F166-G166,"N/A")</f>
        <v/>
      </c>
      <c r="I166" s="161">
        <f>IFERROR(('[1]P&amp;L'!$F166-'[1]P&amp;L'!$G166)/ABS('[1]P&amp;L'!$G166),"N/A")</f>
        <v/>
      </c>
      <c r="J166" s="158" t="n"/>
      <c r="K166" s="184" t="n"/>
      <c r="L166" s="160">
        <f>IFERROR(F166-E166,"N/A")</f>
        <v/>
      </c>
      <c r="M166" s="161">
        <f>IFERROR(('[1]P&amp;L'!$F166-'[1]P&amp;L'!$E166)/ABS('[1]P&amp;L'!$E166),"N/A")</f>
        <v/>
      </c>
      <c r="N166" s="158" t="n"/>
      <c r="O166" s="184" t="n"/>
      <c r="P166" s="61" t="n"/>
      <c r="Q166" s="61" t="n"/>
      <c r="R166" s="61" t="n"/>
      <c r="S166" s="197">
        <f>IFERROR(Q166-R166,"N/A")</f>
        <v/>
      </c>
      <c r="T166" s="161">
        <f>IFERROR(('[1]P&amp;L'!$Q166-'[1]P&amp;L'!$R166)/ABS('[1]P&amp;L'!$R166),"N/A")</f>
        <v/>
      </c>
      <c r="U166" s="158" t="n"/>
      <c r="V166" s="184" t="n"/>
      <c r="W166" s="160">
        <f>IFERROR(Q166-P166,"N/A")</f>
        <v/>
      </c>
      <c r="X166" s="161">
        <f>IFERROR(('[1]P&amp;L'!$Q166-'[1]P&amp;L'!$P166)/ABS('[1]P&amp;L'!$P166),"N/A")</f>
        <v/>
      </c>
      <c r="Y166" s="158" t="n"/>
      <c r="Z166" s="184" t="n"/>
    </row>
    <row r="167" ht="12.75" customHeight="1">
      <c r="A167" s="193" t="inlineStr">
        <is>
          <t>05.F</t>
        </is>
      </c>
      <c r="B167" s="193" t="inlineStr">
        <is>
          <t>Other (Other income and dividends)</t>
        </is>
      </c>
      <c r="C167" s="193" t="n"/>
      <c r="D167" s="147" t="inlineStr">
        <is>
          <t>+</t>
        </is>
      </c>
      <c r="E167" s="61" t="n"/>
      <c r="F167" s="61" t="n"/>
      <c r="G167" s="61" t="n"/>
      <c r="H167" s="156">
        <f>IFERROR(F167-G167,"N/A")</f>
        <v/>
      </c>
      <c r="I167" s="161">
        <f>IFERROR(('[1]P&amp;L'!$F167-'[1]P&amp;L'!$G167)/ABS('[1]P&amp;L'!$G167),"N/A")</f>
        <v/>
      </c>
      <c r="J167" s="158" t="n"/>
      <c r="K167" s="184" t="n"/>
      <c r="L167" s="160">
        <f>IFERROR(F167-E167,"N/A")</f>
        <v/>
      </c>
      <c r="M167" s="161">
        <f>IFERROR(('[1]P&amp;L'!$F167-'[1]P&amp;L'!$E167)/ABS('[1]P&amp;L'!$E167),"N/A")</f>
        <v/>
      </c>
      <c r="N167" s="158" t="n"/>
      <c r="O167" s="184" t="n"/>
      <c r="P167" s="61" t="n"/>
      <c r="Q167" s="61" t="n"/>
      <c r="R167" s="61" t="n"/>
      <c r="S167" s="197">
        <f>IFERROR(Q167-R167,"N/A")</f>
        <v/>
      </c>
      <c r="T167" s="161">
        <f>IFERROR(('[1]P&amp;L'!$Q167-'[1]P&amp;L'!$R167)/ABS('[1]P&amp;L'!$R167),"N/A")</f>
        <v/>
      </c>
      <c r="U167" s="158" t="n"/>
      <c r="V167" s="184" t="n"/>
      <c r="W167" s="160">
        <f>IFERROR(Q167-P167,"N/A")</f>
        <v/>
      </c>
      <c r="X167" s="161">
        <f>IFERROR(('[1]P&amp;L'!$Q167-'[1]P&amp;L'!$P167)/ABS('[1]P&amp;L'!$P167),"N/A")</f>
        <v/>
      </c>
      <c r="Y167" s="158" t="n"/>
      <c r="Z167" s="184" t="n"/>
    </row>
    <row r="168" ht="12.75" customHeight="1">
      <c r="A168" s="150" t="inlineStr">
        <is>
          <t>06</t>
        </is>
      </c>
      <c r="B168" s="150" t="inlineStr">
        <is>
          <t>Net financing cost other than interest</t>
        </is>
      </c>
      <c r="C168" s="150" t="n"/>
      <c r="D168" s="130" t="inlineStr">
        <is>
          <t>+/-</t>
        </is>
      </c>
      <c r="E168" s="134">
        <f>SUM(E169:E169)</f>
        <v/>
      </c>
      <c r="F168" s="134" t="n">
        <v>45.33</v>
      </c>
      <c r="G168" s="134">
        <f>SUM(G169:G169)</f>
        <v/>
      </c>
      <c r="H168" s="135">
        <f>IFERROR(F168-G168,"N/A")</f>
        <v/>
      </c>
      <c r="I168" s="133">
        <f>IFERROR(('[1]P&amp;L'!$F168-'[1]P&amp;L'!$G168)/ABS('[1]P&amp;L'!$G168),"N/A")</f>
        <v/>
      </c>
      <c r="J168" s="134" t="n"/>
      <c r="K168" s="134" t="n"/>
      <c r="L168" s="135">
        <f>IFERROR(F168-E168,"N/A")</f>
        <v/>
      </c>
      <c r="M168" s="133">
        <f>IFERROR(('[1]P&amp;L'!$F168-'[1]P&amp;L'!$E168)/ABS('[1]P&amp;L'!$E168),"N/A")</f>
        <v/>
      </c>
      <c r="N168" s="134" t="n"/>
      <c r="O168" s="134" t="n"/>
      <c r="P168" s="134">
        <f>SUM(P169:P169)</f>
        <v/>
      </c>
      <c r="Q168" s="134" t="n">
        <v>45.33</v>
      </c>
      <c r="R168" s="134">
        <f>SUM(R169:R169)</f>
        <v/>
      </c>
      <c r="S168" s="134">
        <f>IFERROR(Q168-R168,"N/A")</f>
        <v/>
      </c>
      <c r="T168" s="133">
        <f>IFERROR(('[1]P&amp;L'!$Q168-'[1]P&amp;L'!$R168)/ABS('[1]P&amp;L'!$R168),"N/A")</f>
        <v/>
      </c>
      <c r="U168" s="134" t="n"/>
      <c r="V168" s="134" t="n"/>
      <c r="W168" s="135">
        <f>IFERROR(Q168-P168,"N/A")</f>
        <v/>
      </c>
      <c r="X168" s="133">
        <f>IFERROR(('[1]P&amp;L'!$Q168-'[1]P&amp;L'!$P168)/ABS('[1]P&amp;L'!$P168),"N/A")</f>
        <v/>
      </c>
      <c r="Y168" s="134" t="n"/>
      <c r="Z168" s="134" t="n"/>
    </row>
    <row r="169" ht="12.75" customHeight="1">
      <c r="A169" s="193" t="inlineStr">
        <is>
          <t>06.А</t>
        </is>
      </c>
      <c r="B169" s="193" t="inlineStr">
        <is>
          <t>Other income (expenses) from financing activities</t>
        </is>
      </c>
      <c r="C169" s="193" t="n"/>
      <c r="D169" s="147" t="inlineStr">
        <is>
          <t>+/-</t>
        </is>
      </c>
      <c r="E169" s="61" t="n">
        <v>-2137.633885645077</v>
      </c>
      <c r="F169" s="61" t="n">
        <v>45.33</v>
      </c>
      <c r="G169" s="61" t="n">
        <v>0</v>
      </c>
      <c r="H169" s="156">
        <f>IFERROR(F169-G169,"N/A")</f>
        <v/>
      </c>
      <c r="I169" s="161">
        <f>IFERROR(('[1]P&amp;L'!$F169-'[1]P&amp;L'!$G169)/ABS('[1]P&amp;L'!$G169),"N/A")</f>
        <v/>
      </c>
      <c r="J169" s="190" t="inlineStr">
        <is>
          <t>N/A</t>
        </is>
      </c>
      <c r="K169" s="184" t="n"/>
      <c r="L169" s="160">
        <f>IFERROR(F169-E169,"N/A")</f>
        <v/>
      </c>
      <c r="M169" s="161">
        <f>IFERROR(('[1]P&amp;L'!$F169-'[1]P&amp;L'!$E169)/ABS('[1]P&amp;L'!$E169),"N/A")</f>
        <v/>
      </c>
      <c r="N169" s="190" t="inlineStr">
        <is>
          <t>N/A</t>
        </is>
      </c>
      <c r="O169" s="184" t="n"/>
      <c r="P169" s="61" t="n">
        <v>4261.845540780778</v>
      </c>
      <c r="Q169" s="61" t="n">
        <v>45.33</v>
      </c>
      <c r="R169" s="61" t="n">
        <v>0</v>
      </c>
      <c r="S169" s="197">
        <f>IFERROR(Q169-R169,"N/A")</f>
        <v/>
      </c>
      <c r="T169" s="161">
        <f>IFERROR(('[1]P&amp;L'!$Q169-'[1]P&amp;L'!$R169)/ABS('[1]P&amp;L'!$R169),"N/A")</f>
        <v/>
      </c>
      <c r="U169" s="190" t="inlineStr">
        <is>
          <t>N/A</t>
        </is>
      </c>
      <c r="V169" s="184" t="n"/>
      <c r="W169" s="160">
        <f>IFERROR(Q169-P169,"N/A")</f>
        <v/>
      </c>
      <c r="X169" s="161">
        <f>IFERROR(('[1]P&amp;L'!$Q169-'[1]P&amp;L'!$P169)/ABS('[1]P&amp;L'!$P169),"N/A")</f>
        <v/>
      </c>
      <c r="Y169" s="190" t="inlineStr">
        <is>
          <t>N/A</t>
        </is>
      </c>
      <c r="Z169" s="184" t="n"/>
    </row>
    <row r="170" ht="12.75" customHeight="1">
      <c r="A170" s="150" t="inlineStr">
        <is>
          <t>07</t>
        </is>
      </c>
      <c r="B170" s="150" t="inlineStr">
        <is>
          <t>Foreign exchange difference</t>
        </is>
      </c>
      <c r="C170" s="150" t="n"/>
      <c r="D170" s="194" t="inlineStr">
        <is>
          <t>+/-</t>
        </is>
      </c>
      <c r="E170" s="61" t="n">
        <v>-5500.127938356221</v>
      </c>
      <c r="F170" s="61" t="n">
        <v>517.7819776431762</v>
      </c>
      <c r="G170" s="61" t="n">
        <v>0</v>
      </c>
      <c r="H170" s="196">
        <f>IFERROR(F170-G170,"N/A")</f>
        <v/>
      </c>
      <c r="I170" s="195">
        <f>IFERROR(('[1]P&amp;L'!$F170-'[1]P&amp;L'!$G170)/ABS('[1]P&amp;L'!$G170),"N/A")</f>
        <v/>
      </c>
      <c r="J170" s="190" t="n"/>
      <c r="K170" s="206" t="n"/>
      <c r="L170" s="196">
        <f>IFERROR(F170-E170,"N/A")</f>
        <v/>
      </c>
      <c r="M170" s="195">
        <f>IFERROR(('[1]P&amp;L'!$F170-'[1]P&amp;L'!$E170)/ABS('[1]P&amp;L'!$E170),"N/A")</f>
        <v/>
      </c>
      <c r="N170" s="190" t="n"/>
      <c r="O170" s="206" t="n"/>
      <c r="P170" s="61" t="n">
        <v>16297.7848763417</v>
      </c>
      <c r="Q170" s="61" t="n">
        <v>5132.408699136169</v>
      </c>
      <c r="R170" s="61" t="n">
        <v>0</v>
      </c>
      <c r="S170" s="197">
        <f>IFERROR(Q170-R170,"N/A")</f>
        <v/>
      </c>
      <c r="T170" s="195">
        <f>IFERROR(('[1]P&amp;L'!$Q170-'[1]P&amp;L'!$R170)/ABS('[1]P&amp;L'!$R170),"N/A")</f>
        <v/>
      </c>
      <c r="U170" s="190" t="n"/>
      <c r="V170" s="206" t="n"/>
      <c r="W170" s="196">
        <f>IFERROR(Q170-P170,"N/A")</f>
        <v/>
      </c>
      <c r="X170" s="195">
        <f>IFERROR(('[1]P&amp;L'!$Q170-'[1]P&amp;L'!$P170)/ABS('[1]P&amp;L'!$P170),"N/A")</f>
        <v/>
      </c>
      <c r="Y170" s="190" t="n"/>
      <c r="Z170" s="206" t="n"/>
    </row>
    <row r="171" ht="12.75" customHeight="1">
      <c r="A171" s="198" t="inlineStr">
        <is>
          <t>08</t>
        </is>
      </c>
      <c r="B171" s="198" t="inlineStr">
        <is>
          <t>Profit/(loss) before taxes and interest</t>
        </is>
      </c>
      <c r="C171" s="198" t="n"/>
      <c r="D171" s="130" t="inlineStr">
        <is>
          <t>+/-</t>
        </is>
      </c>
      <c r="E171" s="134">
        <f>SUM(E160,E161,E168,E170)</f>
        <v/>
      </c>
      <c r="F171" s="134" t="n">
        <v>-1650.62</v>
      </c>
      <c r="G171" s="134">
        <f>SUM(G160,G161,G168,G170)</f>
        <v/>
      </c>
      <c r="H171" s="135">
        <f>IFERROR(F171-G171,"N/A")</f>
        <v/>
      </c>
      <c r="I171" s="133">
        <f>IFERROR(('[1]P&amp;L'!$F171-'[1]P&amp;L'!$G171)/ABS('[1]P&amp;L'!$G171),"N/A")</f>
        <v/>
      </c>
      <c r="J171" s="134" t="n"/>
      <c r="K171" s="134" t="n"/>
      <c r="L171" s="135">
        <f>IFERROR(F171-E171,"N/A")</f>
        <v/>
      </c>
      <c r="M171" s="133">
        <f>IFERROR(('[1]P&amp;L'!$F171-'[1]P&amp;L'!$E171)/ABS('[1]P&amp;L'!$E171),"N/A")</f>
        <v/>
      </c>
      <c r="N171" s="134" t="n"/>
      <c r="O171" s="134" t="n"/>
      <c r="P171" s="134">
        <f>SUM(P160,P161,P168,P170)</f>
        <v/>
      </c>
      <c r="Q171" s="134" t="n">
        <v>-1650.62</v>
      </c>
      <c r="R171" s="134">
        <f>SUM(R160,R161,R168,R170)</f>
        <v/>
      </c>
      <c r="S171" s="134">
        <f>IFERROR(Q171-R171,"N/A")</f>
        <v/>
      </c>
      <c r="T171" s="133">
        <f>IFERROR(('[1]P&amp;L'!$Q171-'[1]P&amp;L'!$R171)/ABS('[1]P&amp;L'!$R171),"N/A")</f>
        <v/>
      </c>
      <c r="U171" s="134" t="n"/>
      <c r="V171" s="134" t="n"/>
      <c r="W171" s="135">
        <f>IFERROR(Q171-P171,"N/A")</f>
        <v/>
      </c>
      <c r="X171" s="133">
        <f>IFERROR(('[1]P&amp;L'!$Q171-'[1]P&amp;L'!$P171)/ABS('[1]P&amp;L'!$P171),"N/A")</f>
        <v/>
      </c>
      <c r="Y171" s="134" t="n"/>
      <c r="Z171" s="134" t="n"/>
    </row>
    <row r="172" ht="12.75" customFormat="1" customHeight="1" s="203">
      <c r="A172" s="199" t="inlineStr">
        <is>
          <t>EBITDA</t>
        </is>
      </c>
      <c r="B172" s="199" t="inlineStr">
        <is>
          <t>For reference: EBITDA</t>
        </is>
      </c>
      <c r="C172" s="199" t="n"/>
      <c r="D172" s="200" t="inlineStr">
        <is>
          <t>+/-</t>
        </is>
      </c>
      <c r="E172" s="201">
        <f>E176-(E173+E170+E168+E151+E149+E131+E111+E91+E68+E48+E24)</f>
        <v/>
      </c>
      <c r="F172" s="201" t="n">
        <v>-6433.73</v>
      </c>
      <c r="G172" s="201">
        <f>G176-(G173+G170+G168+G151+G149+G131+G111+G91+G68+G48+G24)</f>
        <v/>
      </c>
      <c r="H172" s="202">
        <f>IFERROR(F172-G172,"N/A")</f>
        <v/>
      </c>
      <c r="I172" s="161">
        <f>IFERROR(('[1]P&amp;L'!$F172-'[1]P&amp;L'!$G172)/ABS('[1]P&amp;L'!$G172),"N/A")</f>
        <v/>
      </c>
      <c r="J172" s="184" t="n"/>
      <c r="K172" s="184" t="n"/>
      <c r="L172" s="160">
        <f>IFERROR(F172-E172,"N/A")</f>
        <v/>
      </c>
      <c r="M172" s="161">
        <f>IFERROR(('[1]P&amp;L'!$F172-'[1]P&amp;L'!$E172)/ABS('[1]P&amp;L'!$E172),"N/A")</f>
        <v/>
      </c>
      <c r="N172" s="184" t="n"/>
      <c r="O172" s="184" t="n"/>
      <c r="P172" s="201">
        <f>P176-(P173+P170+P168+P151+P149+P131+P111+P91+P68+P48+P24)</f>
        <v/>
      </c>
      <c r="Q172" s="201" t="n">
        <v>-6433.73</v>
      </c>
      <c r="R172" s="201">
        <f>R176-(R173+R170+R168+R151+R149+R131+R111+R91+R68+R48+R24)</f>
        <v/>
      </c>
      <c r="S172" s="201">
        <f>IFERROR(Q172-R172,"N/A")</f>
        <v/>
      </c>
      <c r="T172" s="161">
        <f>IFERROR(('[1]P&amp;L'!$Q172-'[1]P&amp;L'!$R172)/ABS('[1]P&amp;L'!$R172),"N/A")</f>
        <v/>
      </c>
      <c r="U172" s="184" t="n"/>
      <c r="V172" s="184" t="n"/>
      <c r="W172" s="160">
        <f>IFERROR(Q172-P172,"N/A")</f>
        <v/>
      </c>
      <c r="X172" s="161">
        <f>IFERROR(('[1]P&amp;L'!$Q172-'[1]P&amp;L'!$P172)/ABS('[1]P&amp;L'!$P172),"N/A")</f>
        <v/>
      </c>
      <c r="Y172" s="184" t="n"/>
      <c r="Z172" s="184" t="n"/>
    </row>
    <row r="173" ht="12.75" customHeight="1">
      <c r="A173" s="150" t="inlineStr">
        <is>
          <t>09</t>
        </is>
      </c>
      <c r="B173" s="150" t="inlineStr">
        <is>
          <t>Net interest income (expense)</t>
        </is>
      </c>
      <c r="C173" s="150" t="n"/>
      <c r="D173" s="130" t="inlineStr">
        <is>
          <t>+/-</t>
        </is>
      </c>
      <c r="E173" s="134">
        <f>SUM(E174:E175)</f>
        <v/>
      </c>
      <c r="F173" s="134" t="n">
        <v>-1115.72</v>
      </c>
      <c r="G173" s="134">
        <f>SUM(G174:G175)</f>
        <v/>
      </c>
      <c r="H173" s="135">
        <f>IFERROR(F173-G173,"N/A")</f>
        <v/>
      </c>
      <c r="I173" s="133">
        <f>IFERROR(('[1]P&amp;L'!$F173-'[1]P&amp;L'!$G173)/ABS('[1]P&amp;L'!$G173),"N/A")</f>
        <v/>
      </c>
      <c r="J173" s="134" t="n"/>
      <c r="K173" s="134" t="n"/>
      <c r="L173" s="135">
        <f>IFERROR(F173-E173,"N/A")</f>
        <v/>
      </c>
      <c r="M173" s="133">
        <f>IFERROR(('[1]P&amp;L'!$F173-'[1]P&amp;L'!$E173)/ABS('[1]P&amp;L'!$E173),"N/A")</f>
        <v/>
      </c>
      <c r="N173" s="134" t="n"/>
      <c r="O173" s="134" t="n"/>
      <c r="P173" s="134">
        <f>SUM(P174:P175)</f>
        <v/>
      </c>
      <c r="Q173" s="134" t="n">
        <v>-1115.72</v>
      </c>
      <c r="R173" s="134">
        <f>SUM(R174:R175)</f>
        <v/>
      </c>
      <c r="S173" s="134">
        <f>IFERROR(Q173-R173,"N/A")</f>
        <v/>
      </c>
      <c r="T173" s="133">
        <f>IFERROR(('[1]P&amp;L'!$Q173-'[1]P&amp;L'!$R173)/ABS('[1]P&amp;L'!$R173),"N/A")</f>
        <v/>
      </c>
      <c r="U173" s="134" t="n"/>
      <c r="V173" s="134" t="n"/>
      <c r="W173" s="135">
        <f>IFERROR(Q173-P173,"N/A")</f>
        <v/>
      </c>
      <c r="X173" s="133">
        <f>IFERROR(('[1]P&amp;L'!$Q173-'[1]P&amp;L'!$P173)/ABS('[1]P&amp;L'!$P173),"N/A")</f>
        <v/>
      </c>
      <c r="Y173" s="134" t="n"/>
      <c r="Z173" s="134" t="n"/>
    </row>
    <row r="174" ht="12.75" customHeight="1">
      <c r="A174" s="258" t="inlineStr">
        <is>
          <t>09.A</t>
        </is>
      </c>
      <c r="B174" s="258" t="inlineStr">
        <is>
          <t>Interest income</t>
        </is>
      </c>
      <c r="C174" s="258" t="inlineStr">
        <is>
          <t>Faiz gəliri</t>
        </is>
      </c>
      <c r="D174" s="147" t="inlineStr">
        <is>
          <t>+</t>
        </is>
      </c>
      <c r="E174" s="61" t="n">
        <v>0</v>
      </c>
      <c r="F174" s="61" t="n">
        <v>0.27</v>
      </c>
      <c r="G174" s="61" t="n">
        <v>0</v>
      </c>
      <c r="H174" s="196">
        <f>IFERROR(F174-G174,"N/A")</f>
        <v/>
      </c>
      <c r="I174" s="161">
        <f>IFERROR(('[1]P&amp;L'!$F174-'[1]P&amp;L'!$G174)/ABS('[1]P&amp;L'!$G174),"N/A")</f>
        <v/>
      </c>
      <c r="J174" s="158" t="n"/>
      <c r="K174" s="184" t="n"/>
      <c r="L174" s="160">
        <f>IFERROR(F174-E174,"N/A")</f>
        <v/>
      </c>
      <c r="M174" s="161">
        <f>IFERROR(('[1]P&amp;L'!$F174-'[1]P&amp;L'!$E174)/ABS('[1]P&amp;L'!$E174),"N/A")</f>
        <v/>
      </c>
      <c r="N174" s="158" t="n"/>
      <c r="O174" s="184" t="n"/>
      <c r="P174" s="61" t="n">
        <v>0</v>
      </c>
      <c r="Q174" s="61" t="n">
        <v>0.27</v>
      </c>
      <c r="R174" s="61" t="n">
        <v>0</v>
      </c>
      <c r="S174" s="197">
        <f>IFERROR(Q174-R174,"N/A")</f>
        <v/>
      </c>
      <c r="T174" s="161">
        <f>IFERROR(('[1]P&amp;L'!$Q174-'[1]P&amp;L'!$R174)/ABS('[1]P&amp;L'!$R174),"N/A")</f>
        <v/>
      </c>
      <c r="U174" s="158" t="n"/>
      <c r="V174" s="184" t="n"/>
      <c r="W174" s="160">
        <f>IFERROR(Q174-P174,"N/A")</f>
        <v/>
      </c>
      <c r="X174" s="161">
        <f>IFERROR(('[1]P&amp;L'!$Q174-'[1]P&amp;L'!$P174)/ABS('[1]P&amp;L'!$P174),"N/A")</f>
        <v/>
      </c>
      <c r="Y174" s="158" t="n"/>
      <c r="Z174" s="184" t="n"/>
    </row>
    <row r="175" ht="12.75" customHeight="1">
      <c r="A175" s="258" t="inlineStr">
        <is>
          <t>09.B</t>
        </is>
      </c>
      <c r="B175" s="258" t="inlineStr">
        <is>
          <t>Interest expenses</t>
        </is>
      </c>
      <c r="C175" s="258" t="n"/>
      <c r="D175" s="147" t="inlineStr">
        <is>
          <t>-</t>
        </is>
      </c>
      <c r="E175" s="61" t="n">
        <v>-1519.685650905736</v>
      </c>
      <c r="F175" s="61" t="n">
        <v>-1115.99</v>
      </c>
      <c r="G175" s="61" t="n">
        <v>-1289.411764705882</v>
      </c>
      <c r="H175" s="156">
        <f>IFERROR(F175-G175,"N/A")</f>
        <v/>
      </c>
      <c r="I175" s="161">
        <f>IFERROR(('[1]P&amp;L'!$F175-'[1]P&amp;L'!$G175)/ABS('[1]P&amp;L'!$G175),"N/A")</f>
        <v/>
      </c>
      <c r="J175" s="158" t="n"/>
      <c r="K175" s="184" t="n"/>
      <c r="L175" s="160">
        <f>IFERROR(F175-E175,"N/A")</f>
        <v/>
      </c>
      <c r="M175" s="161">
        <f>IFERROR(('[1]P&amp;L'!$F175-'[1]P&amp;L'!$E175)/ABS('[1]P&amp;L'!$E175),"N/A")</f>
        <v/>
      </c>
      <c r="N175" s="158" t="n"/>
      <c r="O175" s="184" t="n"/>
      <c r="P175" s="61" t="n">
        <v>-29912.55912315072</v>
      </c>
      <c r="Q175" s="61" t="n">
        <v>-1115.99</v>
      </c>
      <c r="R175" s="61" t="n">
        <v>-16529.41176470588</v>
      </c>
      <c r="S175" s="197">
        <f>IFERROR(Q175-R175,"N/A")</f>
        <v/>
      </c>
      <c r="T175" s="161">
        <f>IFERROR(('[1]P&amp;L'!$Q175-'[1]P&amp;L'!$R175)/ABS('[1]P&amp;L'!$R175),"N/A")</f>
        <v/>
      </c>
      <c r="U175" s="158" t="n"/>
      <c r="V175" s="184" t="n"/>
      <c r="W175" s="160">
        <f>IFERROR(Q175-P175,"N/A")</f>
        <v/>
      </c>
      <c r="X175" s="161">
        <f>IFERROR(('[1]P&amp;L'!$Q175-'[1]P&amp;L'!$P175)/ABS('[1]P&amp;L'!$P175),"N/A")</f>
        <v/>
      </c>
      <c r="Y175" s="158" t="n"/>
      <c r="Z175" s="184" t="n"/>
    </row>
    <row r="176" ht="12.75" customHeight="1">
      <c r="A176" s="198" t="n">
        <v>10</v>
      </c>
      <c r="B176" s="198" t="inlineStr">
        <is>
          <t>Profit/(loss) before income tax</t>
        </is>
      </c>
      <c r="C176" s="198" t="n"/>
      <c r="D176" s="130" t="inlineStr">
        <is>
          <t>+/-</t>
        </is>
      </c>
      <c r="E176" s="134">
        <f>SUM(E171,E173)</f>
        <v/>
      </c>
      <c r="F176" s="134" t="n">
        <v>-2703.48</v>
      </c>
      <c r="G176" s="134">
        <f>SUM(G171,G173)</f>
        <v/>
      </c>
      <c r="H176" s="135">
        <f>IFERROR(F176-G176,"N/A")</f>
        <v/>
      </c>
      <c r="I176" s="133">
        <f>IFERROR(('[1]P&amp;L'!$F176-'[1]P&amp;L'!$G176)/ABS('[1]P&amp;L'!$G176),"N/A")</f>
        <v/>
      </c>
      <c r="J176" s="134" t="n"/>
      <c r="K176" s="134" t="n"/>
      <c r="L176" s="135">
        <f>IFERROR(F176-E176,"N/A")</f>
        <v/>
      </c>
      <c r="M176" s="133">
        <f>IFERROR(('[1]P&amp;L'!$F176-'[1]P&amp;L'!$E176)/ABS('[1]P&amp;L'!$E176),"N/A")</f>
        <v/>
      </c>
      <c r="N176" s="134" t="n"/>
      <c r="O176" s="134" t="n"/>
      <c r="P176" s="134">
        <f>SUM(P171,P173)</f>
        <v/>
      </c>
      <c r="Q176" s="134" t="n">
        <v>-2703.48</v>
      </c>
      <c r="R176" s="134">
        <f>SUM(R171,R173)</f>
        <v/>
      </c>
      <c r="S176" s="134">
        <f>IFERROR(Q176-R176,"N/A")</f>
        <v/>
      </c>
      <c r="T176" s="133">
        <f>IFERROR(('[1]P&amp;L'!$Q176-'[1]P&amp;L'!$R176)/ABS('[1]P&amp;L'!$R176),"N/A")</f>
        <v/>
      </c>
      <c r="U176" s="134" t="n"/>
      <c r="V176" s="134" t="n"/>
      <c r="W176" s="135">
        <f>IFERROR(Q176-P176,"N/A")</f>
        <v/>
      </c>
      <c r="X176" s="133">
        <f>IFERROR(('[1]P&amp;L'!$Q176-'[1]P&amp;L'!$P176)/ABS('[1]P&amp;L'!$P176),"N/A")</f>
        <v/>
      </c>
      <c r="Y176" s="134" t="n"/>
      <c r="Z176" s="134" t="n"/>
    </row>
    <row r="177" ht="12.75" customHeight="1">
      <c r="A177" s="198" t="n">
        <v>11</v>
      </c>
      <c r="B177" s="198" t="inlineStr">
        <is>
          <t>Income tax</t>
        </is>
      </c>
      <c r="C177" s="198" t="n"/>
      <c r="D177" s="130" t="inlineStr">
        <is>
          <t>-</t>
        </is>
      </c>
      <c r="E177" s="61" t="n"/>
      <c r="F177" s="61" t="n"/>
      <c r="G177" s="61" t="n"/>
      <c r="H177" s="192">
        <f>IFERROR(F177-G177,"N/A")</f>
        <v/>
      </c>
      <c r="I177" s="161">
        <f>IFERROR(('[1]P&amp;L'!$F177-'[1]P&amp;L'!$G177)/ABS('[1]P&amp;L'!$G177),"N/A")</f>
        <v/>
      </c>
      <c r="J177" s="205" t="n"/>
      <c r="K177" s="184" t="n"/>
      <c r="L177" s="196">
        <f>IFERROR(F177-E177,"N/A")</f>
        <v/>
      </c>
      <c r="M177" s="161">
        <f>IFERROR(('[1]P&amp;L'!$F177-'[1]P&amp;L'!$E177)/ABS('[1]P&amp;L'!$E177),"N/A")</f>
        <v/>
      </c>
      <c r="N177" s="190" t="n"/>
      <c r="O177" s="184" t="n"/>
      <c r="P177" s="61" t="n"/>
      <c r="Q177" s="61" t="n"/>
      <c r="R177" s="61" t="n"/>
      <c r="S177" s="206">
        <f>IFERROR(Q177-R177,"N/A")</f>
        <v/>
      </c>
      <c r="T177" s="161">
        <f>IFERROR(('[1]P&amp;L'!$Q177-'[1]P&amp;L'!$R177)/ABS('[1]P&amp;L'!$R177),"N/A")</f>
        <v/>
      </c>
      <c r="U177" s="205" t="n"/>
      <c r="V177" s="184" t="n"/>
      <c r="W177" s="196">
        <f>IFERROR(Q177-P177,"N/A")</f>
        <v/>
      </c>
      <c r="X177" s="161">
        <f>IFERROR(('[1]P&amp;L'!$Q177-'[1]P&amp;L'!$P177)/ABS('[1]P&amp;L'!$P177),"N/A")</f>
        <v/>
      </c>
      <c r="Y177" s="190" t="n"/>
      <c r="Z177" s="184" t="n"/>
    </row>
    <row r="178" ht="12.75" customHeight="1">
      <c r="A178" s="198" t="n">
        <v>12</v>
      </c>
      <c r="B178" s="198" t="inlineStr">
        <is>
          <t>Net income/(loss)</t>
        </is>
      </c>
      <c r="C178" s="198" t="n"/>
      <c r="D178" s="130" t="inlineStr">
        <is>
          <t>+/-</t>
        </is>
      </c>
      <c r="E178" s="134">
        <f>SUM(E176:E177)</f>
        <v/>
      </c>
      <c r="F178" s="134" t="n">
        <v>-2703.48</v>
      </c>
      <c r="G178" s="134">
        <f>SUM(G176:G177)</f>
        <v/>
      </c>
      <c r="H178" s="135">
        <f>IFERROR(F178-G178,"N/A")</f>
        <v/>
      </c>
      <c r="I178" s="133">
        <f>IFERROR(('[1]P&amp;L'!$F178-'[1]P&amp;L'!$G178)/ABS('[1]P&amp;L'!$G178),"N/A")</f>
        <v/>
      </c>
      <c r="J178" s="134" t="n"/>
      <c r="K178" s="134" t="n"/>
      <c r="L178" s="135">
        <f>IFERROR(F178-E178,"N/A")</f>
        <v/>
      </c>
      <c r="M178" s="133">
        <f>IFERROR(('[1]P&amp;L'!$F178-'[1]P&amp;L'!$E178)/ABS('[1]P&amp;L'!$E178),"N/A")</f>
        <v/>
      </c>
      <c r="N178" s="134" t="n"/>
      <c r="O178" s="134" t="n"/>
      <c r="P178" s="134">
        <f>SUM(P176:P177)</f>
        <v/>
      </c>
      <c r="Q178" s="134" t="n">
        <v>-2703.48</v>
      </c>
      <c r="R178" s="134">
        <f>SUM(R176:R177)</f>
        <v/>
      </c>
      <c r="S178" s="134">
        <f>IFERROR(Q178-R178,"N/A")</f>
        <v/>
      </c>
      <c r="T178" s="133">
        <f>IFERROR(('[1]P&amp;L'!$Q178-'[1]P&amp;L'!$R178)/ABS('[1]P&amp;L'!$R178),"N/A")</f>
        <v/>
      </c>
      <c r="U178" s="134" t="n"/>
      <c r="V178" s="134" t="n"/>
      <c r="W178" s="135">
        <f>IFERROR(Q178-P178,"N/A")</f>
        <v/>
      </c>
      <c r="X178" s="133">
        <f>IFERROR(('[1]P&amp;L'!$Q178-'[1]P&amp;L'!$P178)/ABS('[1]P&amp;L'!$P178),"N/A")</f>
        <v/>
      </c>
      <c r="Y178" s="134" t="n"/>
      <c r="Z178" s="134" t="n"/>
    </row>
    <row r="179" ht="12.75" customHeight="1">
      <c r="A179" s="198" t="inlineStr">
        <is>
          <t>13</t>
        </is>
      </c>
      <c r="B179" s="198" t="inlineStr">
        <is>
          <t>Comprehensive (loss)/income for the year</t>
        </is>
      </c>
      <c r="C179" s="198" t="n"/>
      <c r="D179" s="130" t="inlineStr">
        <is>
          <t>+/-</t>
        </is>
      </c>
      <c r="E179" s="61" t="n"/>
      <c r="F179" s="61" t="n"/>
      <c r="G179" s="61" t="n"/>
      <c r="H179" s="192">
        <f>IFERROR(F179-G179,"N/A")</f>
        <v/>
      </c>
      <c r="I179" s="161">
        <f>IFERROR(('[1]P&amp;L'!$F179-'[1]P&amp;L'!$G179)/ABS('[1]P&amp;L'!$G179),"N/A")</f>
        <v/>
      </c>
      <c r="J179" s="205" t="n"/>
      <c r="K179" s="184" t="n"/>
      <c r="L179" s="196">
        <f>IFERROR(F179-E179,"N/A")</f>
        <v/>
      </c>
      <c r="M179" s="161">
        <f>IFERROR(('[1]P&amp;L'!$F179-'[1]P&amp;L'!$E179)/ABS('[1]P&amp;L'!$E179),"N/A")</f>
        <v/>
      </c>
      <c r="N179" s="190" t="n"/>
      <c r="O179" s="184" t="n"/>
      <c r="P179" s="61" t="n"/>
      <c r="Q179" s="61" t="n"/>
      <c r="R179" s="61" t="n"/>
      <c r="S179" s="206">
        <f>IFERROR(Q179-R179,"N/A")</f>
        <v/>
      </c>
      <c r="T179" s="161">
        <f>IFERROR(('[1]P&amp;L'!$Q179-'[1]P&amp;L'!$R179)/ABS('[1]P&amp;L'!$R179),"N/A")</f>
        <v/>
      </c>
      <c r="U179" s="205" t="n"/>
      <c r="V179" s="184" t="n"/>
      <c r="W179" s="196">
        <f>IFERROR(Q179-P179,"N/A")</f>
        <v/>
      </c>
      <c r="X179" s="161">
        <f>IFERROR(('[1]P&amp;L'!$Q179-'[1]P&amp;L'!$P179)/ABS('[1]P&amp;L'!$P179),"N/A")</f>
        <v/>
      </c>
      <c r="Y179" s="190" t="n"/>
      <c r="Z179" s="184" t="n"/>
    </row>
    <row r="180" ht="12.75" customHeight="1">
      <c r="A180" s="198" t="inlineStr">
        <is>
          <t>14</t>
        </is>
      </c>
      <c r="B180" s="198" t="inlineStr">
        <is>
          <t>Total comprehensive (loss)/income for the year</t>
        </is>
      </c>
      <c r="C180" s="198" t="n"/>
      <c r="D180" s="130" t="inlineStr">
        <is>
          <t>+/-</t>
        </is>
      </c>
      <c r="E180" s="134">
        <f>SUM(E178:E179)</f>
        <v/>
      </c>
      <c r="F180" s="134" t="n">
        <v>-2703.48</v>
      </c>
      <c r="G180" s="134">
        <f>SUM(G178:G179)</f>
        <v/>
      </c>
      <c r="H180" s="135">
        <f>IFERROR(F180-G180,"N/A")</f>
        <v/>
      </c>
      <c r="I180" s="133">
        <f>IFERROR(('[1]P&amp;L'!$F180-'[1]P&amp;L'!$G180)/ABS('[1]P&amp;L'!$G180),"N/A")</f>
        <v/>
      </c>
      <c r="J180" s="134" t="n"/>
      <c r="K180" s="134" t="n"/>
      <c r="L180" s="135">
        <f>IFERROR(F180-E180,"N/A")</f>
        <v/>
      </c>
      <c r="M180" s="133">
        <f>IFERROR(('[1]P&amp;L'!$F180-'[1]P&amp;L'!$E180)/ABS('[1]P&amp;L'!$E180),"N/A")</f>
        <v/>
      </c>
      <c r="N180" s="134" t="n"/>
      <c r="O180" s="134" t="n"/>
      <c r="P180" s="134">
        <f>SUM(P178:P179)</f>
        <v/>
      </c>
      <c r="Q180" s="134" t="n">
        <v>-2703.48</v>
      </c>
      <c r="R180" s="134">
        <f>SUM(R178:R179)</f>
        <v/>
      </c>
      <c r="S180" s="134">
        <f>IFERROR(Q180-R180,"N/A")</f>
        <v/>
      </c>
      <c r="T180" s="133">
        <f>IFERROR(('[1]P&amp;L'!$Q180-'[1]P&amp;L'!$R180)/ABS('[1]P&amp;L'!$R180),"N/A")</f>
        <v/>
      </c>
      <c r="U180" s="134" t="n"/>
      <c r="V180" s="134" t="n"/>
      <c r="W180" s="135">
        <f>IFERROR(Q180-P180,"N/A")</f>
        <v/>
      </c>
      <c r="X180" s="133">
        <f>IFERROR(('[1]P&amp;L'!$Q180-'[1]P&amp;L'!$P180)/ABS('[1]P&amp;L'!$P180),"N/A")</f>
        <v/>
      </c>
      <c r="Y180" s="134" t="n"/>
      <c r="Z180" s="134" t="n"/>
    </row>
    <row r="181">
      <c r="F181" s="207" t="n"/>
      <c r="G181" s="207" t="n"/>
    </row>
    <row r="182">
      <c r="F182" s="207" t="n"/>
      <c r="G182" s="207" t="n"/>
    </row>
  </sheetData>
  <mergeCells count="22">
    <mergeCell ref="A7:A8"/>
    <mergeCell ref="G7:G8"/>
    <mergeCell ref="R7:R8"/>
    <mergeCell ref="P9:Z9"/>
    <mergeCell ref="P6:Z6"/>
    <mergeCell ref="D7:D8"/>
    <mergeCell ref="L7:O7"/>
    <mergeCell ref="P7:P8"/>
    <mergeCell ref="N8:O8"/>
    <mergeCell ref="E9:O9"/>
    <mergeCell ref="E6:O6"/>
    <mergeCell ref="C7:C8"/>
    <mergeCell ref="E7:E8"/>
    <mergeCell ref="S7:V7"/>
    <mergeCell ref="Q7:Q8"/>
    <mergeCell ref="U8:V8"/>
    <mergeCell ref="B7:B8"/>
    <mergeCell ref="W7:Z7"/>
    <mergeCell ref="F7:F8"/>
    <mergeCell ref="H7:K7"/>
    <mergeCell ref="J8:K8"/>
    <mergeCell ref="Y8:Z8"/>
  </mergeCells>
  <conditionalFormatting sqref="K23 K47 K67 K84:K88 K90 K92:K108 K110 K112:K128 K130">
    <cfRule type="expression" priority="60" dxfId="81">
      <formula>IF(AND(IF(OR(IFERROR((F23-G23)/ABS(G23),"-")&gt;10%,IFERROR((F23-G23)/ABS(G23),"-")&lt;-5%),"true","false"),IF(ABS(F23-G23)&gt;ABS(0.1%*$F$21),"true","false")),TRUE,FALSE)=TRUE</formula>
    </cfRule>
  </conditionalFormatting>
  <conditionalFormatting sqref="K25:K44">
    <cfRule type="expression" priority="35" dxfId="81">
      <formula>IF(AND(IF(OR(IFERROR((F25-G25)/ABS(G25),"-")&gt;10%,IFERROR((F25-G25)/ABS(G25),"-")&lt;-5%),"true","false"),IF(ABS(F25-G25)&gt;ABS(0.1%*$F$21),"true","false")),TRUE,FALSE)=TRUE</formula>
    </cfRule>
  </conditionalFormatting>
  <conditionalFormatting sqref="K49:K65">
    <cfRule type="expression" priority="29" dxfId="81">
      <formula>IF(AND(IF(OR(IFERROR((F49-G49)/ABS(G49),"-")&gt;10%,IFERROR((F49-G49)/ABS(G49),"-")&lt;-5%),"true","false"),IF(ABS(F49-G49)&gt;ABS(0.1%*$F$21),"true","false")),TRUE,FALSE)=TRUE</formula>
    </cfRule>
  </conditionalFormatting>
  <conditionalFormatting sqref="K69:K82">
    <cfRule type="expression" priority="22" dxfId="81">
      <formula>IF(AND(IF(OR(IFERROR((F69-G69)/ABS(G69),"-")&gt;10%,IFERROR((F69-G69)/ABS(G69),"-")&lt;-5%),"true","false"),IF(ABS(F69-G69)&gt;ABS(0.1%*$F$21),"true","false")),TRUE,FALSE)=TRUE</formula>
    </cfRule>
  </conditionalFormatting>
  <conditionalFormatting sqref="K132:K149">
    <cfRule type="expression" priority="18" dxfId="81">
      <formula>IF(AND(IF(OR(IFERROR((F132-G132)/ABS(G132),"-")&gt;10%,IFERROR((F132-G132)/ABS(G132),"-")&lt;-5%),"true","false"),IF(ABS(F132-G132)&gt;ABS(0.1%*$F$21),"true","false")),TRUE,FALSE)=TRUE</formula>
    </cfRule>
  </conditionalFormatting>
  <conditionalFormatting sqref="K151:K154">
    <cfRule type="expression" priority="51" dxfId="81">
      <formula>IF(AND(IF(OR(IFERROR((F151-G151)/ABS(G151),"-")&gt;10%,IFERROR((F151-G151)/ABS(G151),"-")&lt;-5%),"true","false"),IF(ABS(F151-G151)&gt;ABS(0.1%*$F$21),"true","false")),TRUE,FALSE)=TRUE</formula>
    </cfRule>
  </conditionalFormatting>
  <conditionalFormatting sqref="K156:K159">
    <cfRule type="expression" priority="3" dxfId="81">
      <formula>IF(AND(IF(OR(IFERROR((F156-G156)/ABS(G156),"-")&gt;10%,IFERROR((F156-G156)/ABS(G156),"-")&lt;-5%),"true","false"),IF(ABS(F156-G156)&gt;ABS(0.1%*$F$172),"true","false")),TRUE,FALSE)=TRUE</formula>
    </cfRule>
  </conditionalFormatting>
  <conditionalFormatting sqref="K162:K167 K169 K174:K175">
    <cfRule type="expression" priority="66" dxfId="81">
      <formula>IF(AND(IF(OR(IFERROR((F162-G162)/ABS(G162),"-")&gt;10%,IFERROR((F162-G162)/ABS(G162),"-")&lt;-5%),"true","false"),IF(ABS(F162-G162)&gt;ABS(0.1%*$F$172),"true","false")),TRUE,FALSE)=TRUE</formula>
    </cfRule>
  </conditionalFormatting>
  <conditionalFormatting sqref="K170 O170 V170 Z170">
    <cfRule type="expression" priority="89" dxfId="81">
      <formula>IF(AND(IF(OR(IFERROR((I1138),"-")&gt;10%,IFERROR((I170),"-")&lt;-5%),"true","false"),IF(ABS(H170)&gt;ABS(0),"true","false")),TRUE,FALSE)=TRUE</formula>
    </cfRule>
  </conditionalFormatting>
  <conditionalFormatting sqref="K172">
    <cfRule type="expression" priority="88" dxfId="81">
      <formula>IF(AND(IF(OR(IFERROR((I1141),"-")&gt;10%,IFERROR((I172),"-")&lt;-5%),"true","false"),IF(ABS(H172)&gt;ABS(0),"true","false")),TRUE,FALSE)=TRUE</formula>
    </cfRule>
  </conditionalFormatting>
  <conditionalFormatting sqref="K177">
    <cfRule type="expression" priority="62" dxfId="81">
      <formula>IF(AND(IF(OR(IFERROR((I1147),"-")&gt;10%,IFERROR((I177),"-")&lt;-5%),"true","false"),IF(ABS(H177)&gt;ABS(0),"true","false")),TRUE,FALSE)=TRUE</formula>
    </cfRule>
  </conditionalFormatting>
  <conditionalFormatting sqref="K179">
    <cfRule type="expression" priority="7" dxfId="81">
      <formula>IF(AND(IF(OR(IFERROR((I1149),"-")&gt;10%,IFERROR((I179),"-")&lt;-5%),"true","false"),IF(ABS(H179)&gt;ABS(0),"true","false")),TRUE,FALSE)=TRUE</formula>
    </cfRule>
  </conditionalFormatting>
  <conditionalFormatting sqref="L23 L47 L67 L84:L88 L90 L92:L108 L110 L112:L128 L130 N23 N29:N39 N47 N67 N84:N88 N90:O90 N92:O108 N110:O110 N112:O128 N130:O130 U90 U92:U108 U110 U112:U128 U130 W90 W92:W108 W110 W112:W128 W130 Y90 Y92:Y108 Y110 Y112:Y128 Y130">
    <cfRule type="containsText" priority="87" operator="containsText" dxfId="81" text="Please provide your comments">
      <formula>NOT(ISERROR(SEARCH("Please provide your comments",L23)))</formula>
    </cfRule>
  </conditionalFormatting>
  <conditionalFormatting sqref="L49:L65">
    <cfRule type="containsText" priority="31" operator="containsText" dxfId="81" text="Please provide your comments">
      <formula>NOT(ISERROR(SEARCH("Please provide your comments",L49)))</formula>
    </cfRule>
  </conditionalFormatting>
  <conditionalFormatting sqref="L69:L82 N69:N82">
    <cfRule type="containsText" priority="25" operator="containsText" dxfId="81" text="Please provide your comments">
      <formula>NOT(ISERROR(SEARCH("Please provide your comments",L69)))</formula>
    </cfRule>
  </conditionalFormatting>
  <conditionalFormatting sqref="L132:L149 N132:O149">
    <cfRule type="containsText" priority="15" operator="containsText" dxfId="81" text="Please provide your comments">
      <formula>NOT(ISERROR(SEARCH("Please provide your comments",L132)))</formula>
    </cfRule>
  </conditionalFormatting>
  <conditionalFormatting sqref="L151:L154 N151:N154">
    <cfRule type="containsText" priority="54" operator="containsText" dxfId="81" text="Please provide your comments">
      <formula>NOT(ISERROR(SEARCH("Please provide your comments",L151)))</formula>
    </cfRule>
  </conditionalFormatting>
  <conditionalFormatting sqref="L156:L159 N156:N159">
    <cfRule type="containsText" priority="12" operator="containsText" dxfId="81" text="Please provide your comments">
      <formula>NOT(ISERROR(SEARCH("Please provide your comments",L156)))</formula>
    </cfRule>
  </conditionalFormatting>
  <conditionalFormatting sqref="L162:L167">
    <cfRule type="containsText" priority="86" operator="containsText" dxfId="91" text="Please provide your comments">
      <formula>NOT(ISERROR(SEARCH("Please provide your comments",L162)))</formula>
    </cfRule>
  </conditionalFormatting>
  <conditionalFormatting sqref="L169">
    <cfRule type="containsText" priority="85" operator="containsText" dxfId="91" text="Please provide your comments">
      <formula>NOT(ISERROR(SEARCH("Please provide your comments",L169)))</formula>
    </cfRule>
  </conditionalFormatting>
  <conditionalFormatting sqref="L172">
    <cfRule type="containsText" priority="84" operator="containsText" dxfId="91" text="Please provide your comments">
      <formula>NOT(ISERROR(SEARCH("Please provide your comments",L172)))</formula>
    </cfRule>
  </conditionalFormatting>
  <conditionalFormatting sqref="L174:L175">
    <cfRule type="containsText" priority="83" operator="containsText" dxfId="91" text="Please provide your comments">
      <formula>NOT(ISERROR(SEARCH("Please provide your comments",L174)))</formula>
    </cfRule>
  </conditionalFormatting>
  <conditionalFormatting sqref="L25:L44 N25:N27">
    <cfRule type="containsText" priority="38" operator="containsText" dxfId="81" text="Please provide your comments">
      <formula>NOT(ISERROR(SEARCH("Please provide your comments",L25)))</formula>
    </cfRule>
  </conditionalFormatting>
  <conditionalFormatting sqref="N41">
    <cfRule type="containsText" priority="44" operator="containsText" dxfId="81" text="Please provide your comments">
      <formula>NOT(ISERROR(SEARCH("Please provide your comments",N41)))</formula>
    </cfRule>
  </conditionalFormatting>
  <conditionalFormatting sqref="N43:N44">
    <cfRule type="containsText" priority="41" operator="containsText" dxfId="81" text="Please provide your comments">
      <formula>NOT(ISERROR(SEARCH("Please provide your comments",N43)))</formula>
    </cfRule>
  </conditionalFormatting>
  <conditionalFormatting sqref="N49:N65">
    <cfRule type="containsText" priority="2" operator="containsText" dxfId="81" text="Please provide your comments">
      <formula>NOT(ISERROR(SEARCH("Please provide your comments",N49)))</formula>
    </cfRule>
  </conditionalFormatting>
  <conditionalFormatting sqref="N162:N167">
    <cfRule type="containsText" priority="82" operator="containsText" dxfId="91" text="Please provide your comments">
      <formula>NOT(ISERROR(SEARCH("Please provide your comments",N162)))</formula>
    </cfRule>
  </conditionalFormatting>
  <conditionalFormatting sqref="N170">
    <cfRule type="containsText" priority="80" operator="containsText" dxfId="91" text="Please provide your comments">
      <formula>NOT(ISERROR(SEARCH("Please provide your comments",N170)))</formula>
    </cfRule>
  </conditionalFormatting>
  <conditionalFormatting sqref="N174:N175">
    <cfRule type="containsText" priority="81" operator="containsText" dxfId="91" text="Please provide your comments">
      <formula>NOT(ISERROR(SEARCH("Please provide your comments",N174)))</formula>
    </cfRule>
  </conditionalFormatting>
  <conditionalFormatting sqref="N172:O172">
    <cfRule type="containsText" priority="46" operator="containsText" dxfId="91" text="Please provide your comments">
      <formula>NOT(ISERROR(SEARCH("Please provide your comments",N172)))</formula>
    </cfRule>
  </conditionalFormatting>
  <conditionalFormatting sqref="O23 O47 O67 O84:O88">
    <cfRule type="expression" priority="59" dxfId="81">
      <formula>IF(AND(IF(OR(IFERROR((F23-E23)/ABS(E23),"-")&gt;10%,IFERROR((F23-E23)/ABS(E23),"-")&lt;-5%),"true","false"),IF(ABS(F23-E23)&gt;ABS(0.1%*$F$21),"true","false")),TRUE,FALSE)=TRUE</formula>
    </cfRule>
  </conditionalFormatting>
  <conditionalFormatting sqref="O25:O44">
    <cfRule type="expression" priority="34" dxfId="81">
      <formula>IF(AND(IF(OR(IFERROR((F25-E25)/ABS(E25),"-")&gt;10%,IFERROR((F25-E25)/ABS(E25),"-")&lt;-5%),"true","false"),IF(ABS(F25-E25)&gt;ABS(0.1%*$F$21),"true","false")),TRUE,FALSE)=TRUE</formula>
    </cfRule>
  </conditionalFormatting>
  <conditionalFormatting sqref="O49:O65">
    <cfRule type="expression" priority="28" dxfId="81">
      <formula>IF(AND(IF(OR(IFERROR((F49-E49)/ABS(E49),"-")&gt;10%,IFERROR((F49-E49)/ABS(E49),"-")&lt;-5%),"true","false"),IF(ABS(F49-E49)&gt;ABS(0.1%*$F$21),"true","false")),TRUE,FALSE)=TRUE</formula>
    </cfRule>
  </conditionalFormatting>
  <conditionalFormatting sqref="O69:O82">
    <cfRule type="expression" priority="21" dxfId="81">
      <formula>IF(AND(IF(OR(IFERROR((F69-E69)/ABS(E69),"-")&gt;10%,IFERROR((F69-E69)/ABS(E69),"-")&lt;-5%),"true","false"),IF(ABS(F69-E69)&gt;ABS(0.1%*$F$21),"true","false")),TRUE,FALSE)=TRUE</formula>
    </cfRule>
  </conditionalFormatting>
  <conditionalFormatting sqref="O151:O154">
    <cfRule type="expression" priority="50" dxfId="81">
      <formula>IF(AND(IF(OR(IFERROR((F151-E151)/ABS(E151),"-")&gt;10%,IFERROR((F151-E151)/ABS(E151),"-")&lt;-5%),"true","false"),IF(ABS(F151-E151)&gt;ABS(0.1%*$F$21),"true","false")),TRUE,FALSE)=TRUE</formula>
    </cfRule>
  </conditionalFormatting>
  <conditionalFormatting sqref="O156:O159">
    <cfRule type="expression" priority="10" dxfId="81">
      <formula>IF(AND(IF(OR(IFERROR((F156-E156)/ABS(E156),"-")&gt;10%,IFERROR((F156-E156)/ABS(E156),"-")&lt;-5%),"true","false"),IF(ABS(F156-E156)&gt;ABS(0.1%*$F$172),"true","false")),TRUE,FALSE)=TRUE</formula>
    </cfRule>
  </conditionalFormatting>
  <conditionalFormatting sqref="O162:O167 O169 O174:O175">
    <cfRule type="expression" priority="65" dxfId="81">
      <formula>IF(AND(IF(OR(IFERROR((F162-E162)/ABS(E162),"-")&gt;10%,IFERROR((F162-E162)/ABS(E162),"-")&lt;-5%),"true","false"),IF(ABS(F162-E162)&gt;ABS(0.1%*$F$172),"true","false")),TRUE,FALSE)=TRUE</formula>
    </cfRule>
  </conditionalFormatting>
  <conditionalFormatting sqref="O177">
    <cfRule type="expression" priority="61" dxfId="81">
      <formula>IF(AND(IF(OR(IFERROR((M1147),"-")&gt;10%,IFERROR((M177),"-")&lt;-5%),"true","false"),IF(ABS(L177)&gt;ABS(0),"true","false")),TRUE,FALSE)=TRUE</formula>
    </cfRule>
  </conditionalFormatting>
  <conditionalFormatting sqref="O179">
    <cfRule type="expression" priority="6" dxfId="81">
      <formula>IF(AND(IF(OR(IFERROR((M1149),"-")&gt;10%,IFERROR((M179),"-")&lt;-5%),"true","false"),IF(ABS(L179)&gt;ABS(0),"true","false")),TRUE,FALSE)=TRUE</formula>
    </cfRule>
  </conditionalFormatting>
  <conditionalFormatting sqref="U23">
    <cfRule type="containsText" priority="73" operator="containsText" dxfId="81" text="Please provide your comments">
      <formula>NOT(ISERROR(SEARCH("Please provide your comments",U23)))</formula>
    </cfRule>
  </conditionalFormatting>
  <conditionalFormatting sqref="U25:U27">
    <cfRule type="containsText" priority="36" operator="containsText" dxfId="81" text="Please provide your comments">
      <formula>NOT(ISERROR(SEARCH("Please provide your comments",U25)))</formula>
    </cfRule>
  </conditionalFormatting>
  <conditionalFormatting sqref="U29:U41">
    <cfRule type="containsText" priority="42" operator="containsText" dxfId="81" text="Please provide your comments">
      <formula>NOT(ISERROR(SEARCH("Please provide your comments",U29)))</formula>
    </cfRule>
  </conditionalFormatting>
  <conditionalFormatting sqref="U43:U44">
    <cfRule type="containsText" priority="39" operator="containsText" dxfId="81" text="Please provide your comments">
      <formula>NOT(ISERROR(SEARCH("Please provide your comments",U43)))</formula>
    </cfRule>
  </conditionalFormatting>
  <conditionalFormatting sqref="U47">
    <cfRule type="containsText" priority="72" operator="containsText" dxfId="81" text="Please provide your comments">
      <formula>NOT(ISERROR(SEARCH("Please provide your comments",U47)))</formula>
    </cfRule>
  </conditionalFormatting>
  <conditionalFormatting sqref="U49:U65">
    <cfRule type="containsText" priority="1" operator="containsText" dxfId="81" text="Please provide your comments">
      <formula>NOT(ISERROR(SEARCH("Please provide your comments",U49)))</formula>
    </cfRule>
  </conditionalFormatting>
  <conditionalFormatting sqref="U67 U84:U88 U156:U158">
    <cfRule type="containsText" priority="71" operator="containsText" dxfId="81" text="Please provide your comments">
      <formula>NOT(ISERROR(SEARCH("Please provide your comments",U67)))</formula>
    </cfRule>
  </conditionalFormatting>
  <conditionalFormatting sqref="U69:U82">
    <cfRule type="containsText" priority="23" operator="containsText" dxfId="81" text="Please provide your comments">
      <formula>NOT(ISERROR(SEARCH("Please provide your comments",U69)))</formula>
    </cfRule>
  </conditionalFormatting>
  <conditionalFormatting sqref="U132:U149">
    <cfRule type="containsText" priority="14" operator="containsText" dxfId="81" text="Please provide your comments">
      <formula>NOT(ISERROR(SEARCH("Please provide your comments",U132)))</formula>
    </cfRule>
  </conditionalFormatting>
  <conditionalFormatting sqref="U151:U154">
    <cfRule type="containsText" priority="52" operator="containsText" dxfId="81" text="Please provide your comments">
      <formula>NOT(ISERROR(SEARCH("Please provide your comments",U151)))</formula>
    </cfRule>
  </conditionalFormatting>
  <conditionalFormatting sqref="U162:U167">
    <cfRule type="containsText" priority="70" operator="containsText" dxfId="91" text="Please provide your comments">
      <formula>NOT(ISERROR(SEARCH("Please provide your comments",U162)))</formula>
    </cfRule>
  </conditionalFormatting>
  <conditionalFormatting sqref="U170">
    <cfRule type="containsText" priority="68" operator="containsText" dxfId="91" text="Please provide your comments">
      <formula>NOT(ISERROR(SEARCH("Please provide your comments",U170)))</formula>
    </cfRule>
  </conditionalFormatting>
  <conditionalFormatting sqref="U174:U175">
    <cfRule type="containsText" priority="69" operator="containsText" dxfId="91" text="Please provide your comments">
      <formula>NOT(ISERROR(SEARCH("Please provide your comments",U174)))</formula>
    </cfRule>
  </conditionalFormatting>
  <conditionalFormatting sqref="U172:W172">
    <cfRule type="containsText" priority="47" operator="containsText" dxfId="91" text="Please provide your comments">
      <formula>NOT(ISERROR(SEARCH("Please provide your comments",U172)))</formula>
    </cfRule>
  </conditionalFormatting>
  <conditionalFormatting sqref="V23 V47 V67 V84:V88 V90 V92:V108 V110 V112:V128 V130">
    <cfRule type="expression" priority="58" dxfId="81">
      <formula>IF(AND(IF(OR(IFERROR((Q23-R23)/ABS(R23),"-")&gt;10%,IFERROR((Q23-R23)/ABS(R23),"-")&lt;-5%),"true","false"),IF(ABS(Q23-R23)&gt;ABS(0.1%*$Q$21),"true","false")),TRUE,FALSE)=TRUE</formula>
    </cfRule>
  </conditionalFormatting>
  <conditionalFormatting sqref="V25:V44">
    <cfRule type="expression" priority="33" dxfId="81">
      <formula>IF(AND(IF(OR(IFERROR((Q25-R25)/ABS(R25),"-")&gt;10%,IFERROR((Q25-R25)/ABS(R25),"-")&lt;-5%),"true","false"),IF(ABS(Q25-R25)&gt;ABS(0.1%*$Q$21),"true","false")),TRUE,FALSE)=TRUE</formula>
    </cfRule>
  </conditionalFormatting>
  <conditionalFormatting sqref="V49:V65">
    <cfRule type="expression" priority="27" dxfId="81">
      <formula>IF(AND(IF(OR(IFERROR((Q49-R49)/ABS(R49),"-")&gt;10%,IFERROR((Q49-R49)/ABS(R49),"-")&lt;-5%),"true","false"),IF(ABS(Q49-R49)&gt;ABS(0.1%*$Q$21),"true","false")),TRUE,FALSE)=TRUE</formula>
    </cfRule>
  </conditionalFormatting>
  <conditionalFormatting sqref="V69:V82">
    <cfRule type="expression" priority="20" dxfId="81">
      <formula>IF(AND(IF(OR(IFERROR((Q69-R69)/ABS(R69),"-")&gt;10%,IFERROR((Q69-R69)/ABS(R69),"-")&lt;-5%),"true","false"),IF(ABS(Q69-R69)&gt;ABS(0.1%*$Q$21),"true","false")),TRUE,FALSE)=TRUE</formula>
    </cfRule>
  </conditionalFormatting>
  <conditionalFormatting sqref="V132:V149">
    <cfRule type="expression" priority="17" dxfId="81">
      <formula>IF(AND(IF(OR(IFERROR((Q132-R132)/ABS(R132),"-")&gt;10%,IFERROR((Q132-R132)/ABS(R132),"-")&lt;-5%),"true","false"),IF(ABS(Q132-R132)&gt;ABS(0.1%*$Q$21),"true","false")),TRUE,FALSE)=TRUE</formula>
    </cfRule>
  </conditionalFormatting>
  <conditionalFormatting sqref="V151:V154">
    <cfRule type="expression" priority="49" dxfId="81">
      <formula>IF(AND(IF(OR(IFERROR((Q151-R151)/ABS(R151),"-")&gt;10%,IFERROR((Q151-R151)/ABS(R151),"-")&lt;-5%),"true","false"),IF(ABS(Q151-R151)&gt;ABS(0.1%*$Q$21),"true","false")),TRUE,FALSE)=TRUE</formula>
    </cfRule>
  </conditionalFormatting>
  <conditionalFormatting sqref="V156:V159">
    <cfRule type="expression" priority="9" dxfId="81">
      <formula>IF(AND(IF(OR(IFERROR((Q156-R156)/ABS(R156),"-")&gt;10%,IFERROR((Q156-R156)/ABS(R156),"-")&lt;-5%),"true","false"),IF(ABS(Q156-R156)&gt;ABS(0.1%*$Q$172),"true","false")),TRUE,FALSE)=TRUE</formula>
    </cfRule>
  </conditionalFormatting>
  <conditionalFormatting sqref="V162:V167 V169 V174:V175">
    <cfRule type="expression" priority="64" dxfId="81">
      <formula>IF(AND(IF(OR(IFERROR((Q162-R162)/ABS(R162),"-")&gt;10%,IFERROR((Q162-R162)/ABS(R162),"-")&lt;-5%),"true","false"),IF(ABS(Q162-R162)&gt;ABS(0.1%*$Q$172),"true","false")),TRUE,FALSE)=TRUE</formula>
    </cfRule>
  </conditionalFormatting>
  <conditionalFormatting sqref="V177">
    <cfRule type="expression" priority="56" dxfId="81">
      <formula>IF(AND(IF(OR(IFERROR((T1147),"-")&gt;10%,IFERROR((T177),"-")&lt;-5%),"true","false"),IF(ABS(S177)&gt;ABS(0),"true","false")),TRUE,FALSE)=TRUE</formula>
    </cfRule>
  </conditionalFormatting>
  <conditionalFormatting sqref="V179">
    <cfRule type="expression" priority="5" dxfId="81">
      <formula>IF(AND(IF(OR(IFERROR((T1149),"-")&gt;10%,IFERROR((T179),"-")&lt;-5%),"true","false"),IF(ABS(S179)&gt;ABS(0),"true","false")),TRUE,FALSE)=TRUE</formula>
    </cfRule>
  </conditionalFormatting>
  <conditionalFormatting sqref="W23 W47 W67 W84:W88 Y23 Y47 Y67 Y84:Y88 Y156:Y158">
    <cfRule type="containsText" priority="79" operator="containsText" dxfId="81" text="Please provide your comments">
      <formula>NOT(ISERROR(SEARCH("Please provide your comments",W23)))</formula>
    </cfRule>
  </conditionalFormatting>
  <conditionalFormatting sqref="W49:W65 Y49:Y65">
    <cfRule type="containsText" priority="30" operator="containsText" dxfId="81" text="Please provide your comments">
      <formula>NOT(ISERROR(SEARCH("Please provide your comments",W49)))</formula>
    </cfRule>
  </conditionalFormatting>
  <conditionalFormatting sqref="W69:W82 Y69:Y82">
    <cfRule type="containsText" priority="24" operator="containsText" dxfId="81" text="Please provide your comments">
      <formula>NOT(ISERROR(SEARCH("Please provide your comments",W69)))</formula>
    </cfRule>
  </conditionalFormatting>
  <conditionalFormatting sqref="W132:W149 Y132:Y149">
    <cfRule type="containsText" priority="13" operator="containsText" dxfId="81" text="Please provide your comments">
      <formula>NOT(ISERROR(SEARCH("Please provide your comments",W132)))</formula>
    </cfRule>
  </conditionalFormatting>
  <conditionalFormatting sqref="W151:W154 Y151:Y154">
    <cfRule type="containsText" priority="53" operator="containsText" dxfId="81" text="Please provide your comments">
      <formula>NOT(ISERROR(SEARCH("Please provide your comments",W151)))</formula>
    </cfRule>
  </conditionalFormatting>
  <conditionalFormatting sqref="W156:W159">
    <cfRule type="containsText" priority="11" operator="containsText" dxfId="81" text="Please provide your comments">
      <formula>NOT(ISERROR(SEARCH("Please provide your comments",W156)))</formula>
    </cfRule>
  </conditionalFormatting>
  <conditionalFormatting sqref="W162:W167">
    <cfRule type="containsText" priority="78" operator="containsText" dxfId="91" text="Please provide your comments">
      <formula>NOT(ISERROR(SEARCH("Please provide your comments",W162)))</formula>
    </cfRule>
  </conditionalFormatting>
  <conditionalFormatting sqref="W169">
    <cfRule type="containsText" priority="77" operator="containsText" dxfId="91" text="Please provide your comments">
      <formula>NOT(ISERROR(SEARCH("Please provide your comments",W169)))</formula>
    </cfRule>
  </conditionalFormatting>
  <conditionalFormatting sqref="W174:W175">
    <cfRule type="containsText" priority="76" operator="containsText" dxfId="91" text="Please provide your comments">
      <formula>NOT(ISERROR(SEARCH("Please provide your comments",W174)))</formula>
    </cfRule>
  </conditionalFormatting>
  <conditionalFormatting sqref="W25:W44 Y25:Y39">
    <cfRule type="containsText" priority="37" operator="containsText" dxfId="81" text="Please provide your comments">
      <formula>NOT(ISERROR(SEARCH("Please provide your comments",W25)))</formula>
    </cfRule>
  </conditionalFormatting>
  <conditionalFormatting sqref="Y41">
    <cfRule type="containsText" priority="43" operator="containsText" dxfId="81" text="Please provide your comments">
      <formula>NOT(ISERROR(SEARCH("Please provide your comments",Y41)))</formula>
    </cfRule>
  </conditionalFormatting>
  <conditionalFormatting sqref="Y43:Y44">
    <cfRule type="containsText" priority="40" operator="containsText" dxfId="81" text="Please provide your comments">
      <formula>NOT(ISERROR(SEARCH("Please provide your comments",Y43)))</formula>
    </cfRule>
  </conditionalFormatting>
  <conditionalFormatting sqref="Y162:Y167">
    <cfRule type="containsText" priority="75" operator="containsText" dxfId="91" text="Please provide your comments">
      <formula>NOT(ISERROR(SEARCH("Please provide your comments",Y162)))</formula>
    </cfRule>
  </conditionalFormatting>
  <conditionalFormatting sqref="Y170">
    <cfRule type="containsText" priority="67" operator="containsText" dxfId="91" text="Please provide your comments">
      <formula>NOT(ISERROR(SEARCH("Please provide your comments",Y170)))</formula>
    </cfRule>
  </conditionalFormatting>
  <conditionalFormatting sqref="Y174:Y175">
    <cfRule type="containsText" priority="74" operator="containsText" dxfId="91" text="Please provide your comments">
      <formula>NOT(ISERROR(SEARCH("Please provide your comments",Y174)))</formula>
    </cfRule>
  </conditionalFormatting>
  <conditionalFormatting sqref="Y172:Z172">
    <cfRule type="containsText" priority="45" operator="containsText" dxfId="91" text="Please provide your comments">
      <formula>NOT(ISERROR(SEARCH("Please provide your comments",Y172)))</formula>
    </cfRule>
  </conditionalFormatting>
  <conditionalFormatting sqref="Z23 Z47 Z67 Z84:Z88 Z90 Z92:Z108 Z110 Z112:Z128 Z130">
    <cfRule type="expression" priority="57" dxfId="81">
      <formula>IF(AND(IF(OR(IFERROR((Q23-P23)/ABS(P23),"-")&gt;10%,IFERROR((Q23-P23)/ABS(P23),"-")&lt;-5%),"true","false"),IF(ABS(Q23-P23)&gt;ABS(0.1%*$Q$21),"true","false")),TRUE,FALSE)=TRUE</formula>
    </cfRule>
  </conditionalFormatting>
  <conditionalFormatting sqref="Z25:Z44">
    <cfRule type="expression" priority="32" dxfId="81">
      <formula>IF(AND(IF(OR(IFERROR((Q25-P25)/ABS(P25),"-")&gt;10%,IFERROR((Q25-P25)/ABS(P25),"-")&lt;-5%),"true","false"),IF(ABS(Q25-P25)&gt;ABS(0.1%*$Q$21),"true","false")),TRUE,FALSE)=TRUE</formula>
    </cfRule>
  </conditionalFormatting>
  <conditionalFormatting sqref="Z49:Z65">
    <cfRule type="expression" priority="26" dxfId="81">
      <formula>IF(AND(IF(OR(IFERROR((Q49-P49)/ABS(P49),"-")&gt;10%,IFERROR((Q49-P49)/ABS(P49),"-")&lt;-5%),"true","false"),IF(ABS(Q49-P49)&gt;ABS(0.1%*$Q$21),"true","false")),TRUE,FALSE)=TRUE</formula>
    </cfRule>
  </conditionalFormatting>
  <conditionalFormatting sqref="Z69:Z82">
    <cfRule type="expression" priority="19" dxfId="81">
      <formula>IF(AND(IF(OR(IFERROR((Q69-P69)/ABS(P69),"-")&gt;10%,IFERROR((Q69-P69)/ABS(P69),"-")&lt;-5%),"true","false"),IF(ABS(Q69-P69)&gt;ABS(0.1%*$Q$21),"true","false")),TRUE,FALSE)=TRUE</formula>
    </cfRule>
  </conditionalFormatting>
  <conditionalFormatting sqref="Z132:Z149">
    <cfRule type="expression" priority="16" dxfId="81">
      <formula>IF(AND(IF(OR(IFERROR((Q132-P132)/ABS(P132),"-")&gt;10%,IFERROR((Q132-P132)/ABS(P132),"-")&lt;-5%),"true","false"),IF(ABS(Q132-P132)&gt;ABS(0.1%*$Q$21),"true","false")),TRUE,FALSE)=TRUE</formula>
    </cfRule>
  </conditionalFormatting>
  <conditionalFormatting sqref="Z151:Z154">
    <cfRule type="expression" priority="48" dxfId="81">
      <formula>IF(AND(IF(OR(IFERROR((Q151-P151)/ABS(P151),"-")&gt;10%,IFERROR((Q151-P151)/ABS(P151),"-")&lt;-5%),"true","false"),IF(ABS(Q151-P151)&gt;ABS(0.1%*$Q$21),"true","false")),TRUE,FALSE)=TRUE</formula>
    </cfRule>
  </conditionalFormatting>
  <conditionalFormatting sqref="Z156:Z159">
    <cfRule type="expression" priority="8" dxfId="81">
      <formula>IF(AND(IF(OR(IFERROR((Q156-P156)/ABS(P156),"-")&gt;10%,IFERROR((Q156-P156)/ABS(P156),"-")&lt;-5%),"true","false"),IF(ABS(Q156-P156)&gt;ABS(0.1%*$Q$172),"true","false")),TRUE,FALSE)=TRUE</formula>
    </cfRule>
  </conditionalFormatting>
  <conditionalFormatting sqref="Z162:Z167 Z169 Z174:Z175">
    <cfRule type="expression" priority="63" dxfId="81">
      <formula>IF(AND(IF(OR(IFERROR((Q162-P162)/ABS(P162),"-")&gt;10%,IFERROR((Q162-P162)/ABS(P162),"-")&lt;-5%),"true","false"),IF(ABS(Q162-P162)&gt;ABS(0.1%*$Q$172),"true","false")),TRUE,FALSE)=TRUE</formula>
    </cfRule>
  </conditionalFormatting>
  <conditionalFormatting sqref="Z177">
    <cfRule type="expression" priority="55" dxfId="81">
      <formula>IF(AND(IF(OR(IFERROR((X1147),"-")&gt;10%,IFERROR((X177),"-")&lt;-5%),"true","false"),IF(ABS(W177)&gt;ABS(0),"true","false")),TRUE,FALSE)=TRUE</formula>
    </cfRule>
  </conditionalFormatting>
  <conditionalFormatting sqref="Z179">
    <cfRule type="expression" priority="4" dxfId="81">
      <formula>IF(AND(IF(OR(IFERROR((X1149),"-")&gt;10%,IFERROR((X179),"-")&lt;-5%),"true","false"),IF(ABS(W179)&gt;ABS(0),"true","false")),TRUE,FALSE)=TRUE</formula>
    </cfRule>
  </conditionalFormatting>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R77"/>
  <sheetViews>
    <sheetView workbookViewId="0">
      <selection activeCell="A1" sqref="A1:XFD1048576"/>
    </sheetView>
  </sheetViews>
  <sheetFormatPr baseColWidth="8" defaultColWidth="9.42578125" defaultRowHeight="12.75"/>
  <cols>
    <col width="15.42578125" customWidth="1" style="216" min="1" max="1"/>
    <col width="60.5703125" customWidth="1" style="216" min="2" max="2"/>
    <col width="66.42578125" customWidth="1" style="216" min="3" max="3"/>
    <col width="13.42578125" customWidth="1" style="216" min="4" max="4"/>
    <col width="21" customWidth="1" style="216" min="5" max="6"/>
    <col width="21" customWidth="1" style="266" min="7" max="7"/>
    <col width="34.42578125" customWidth="1" style="267" min="8" max="8"/>
    <col width="34.42578125" customWidth="1" style="216" min="9" max="11"/>
    <col width="21" customWidth="1" style="216" min="12" max="14"/>
    <col width="34.42578125" customWidth="1" style="216" min="15" max="18"/>
    <col width="9.42578125" customWidth="1" style="216" min="19" max="16384"/>
  </cols>
  <sheetData>
    <row r="1" ht="18.6" customHeight="1">
      <c r="A1" s="213" t="n"/>
      <c r="B1" s="214" t="n"/>
      <c r="C1" s="447" t="n"/>
      <c r="D1" s="447" t="n"/>
      <c r="E1" s="99" t="n"/>
      <c r="F1" s="207" t="n"/>
      <c r="G1" s="215" t="n"/>
      <c r="H1" s="8" t="n"/>
      <c r="N1" s="447" t="n"/>
      <c r="Q1" s="8" t="n"/>
    </row>
    <row r="2" ht="54" customHeight="1">
      <c r="A2" s="213" t="n"/>
      <c r="B2" s="217" t="inlineStr">
        <is>
          <t>Statement of Cash Flows (indirect)</t>
        </is>
      </c>
      <c r="C2" s="218" t="n"/>
      <c r="D2" s="218" t="n"/>
      <c r="E2" s="218" t="n"/>
      <c r="G2" s="266" t="n"/>
      <c r="H2" s="266" t="n"/>
      <c r="O2" s="5" t="n"/>
      <c r="P2" s="6" t="inlineStr">
        <is>
          <t xml:space="preserve"> </t>
        </is>
      </c>
    </row>
    <row r="3" ht="28.35" customHeight="1">
      <c r="B3" s="213" t="n"/>
      <c r="C3" s="213" t="n"/>
      <c r="D3" s="213" t="n"/>
      <c r="E3" s="213" t="n"/>
      <c r="G3" s="266" t="n"/>
      <c r="H3" s="266" t="n"/>
    </row>
    <row r="4" ht="15.75" customHeight="1">
      <c r="B4" s="220" t="inlineStr">
        <is>
          <t>Entity Name</t>
        </is>
      </c>
      <c r="C4" s="743">
        <f>IF([1]Segment_map!D4=0,"THE COMPANY HAS NOT BEEN PICKED",[1]Segment_map!D4)</f>
        <v/>
      </c>
      <c r="D4" s="213" t="n"/>
      <c r="E4" s="21" t="n"/>
      <c r="G4" s="266" t="n"/>
      <c r="H4" s="266" t="n"/>
    </row>
    <row r="5" ht="15.75" customHeight="1">
      <c r="B5" s="220" t="inlineStr">
        <is>
          <t>Currency</t>
        </is>
      </c>
      <c r="C5" s="744">
        <f>IF([1]Segment_map!J4="","CURRENCY HAS NOT BEEN PICKED",[1]Segment_map!J4)</f>
        <v/>
      </c>
      <c r="D5" s="213" t="n"/>
      <c r="E5" s="24">
        <f>"! Please, enter amounts in thousands " &amp;C5</f>
        <v/>
      </c>
      <c r="F5" s="222" t="n"/>
      <c r="G5" s="223" t="n"/>
      <c r="H5" s="224" t="n"/>
    </row>
    <row r="6" ht="13.35" customFormat="1" customHeight="1" s="225">
      <c r="B6" s="226" t="n"/>
      <c r="C6" s="227" t="n"/>
      <c r="D6" s="228" t="n"/>
      <c r="E6" s="723" t="inlineStr">
        <is>
          <t>Month</t>
        </is>
      </c>
      <c r="F6" s="865" t="n"/>
      <c r="G6" s="865" t="n"/>
      <c r="H6" s="865" t="n"/>
      <c r="I6" s="865" t="n"/>
      <c r="J6" s="865" t="n"/>
      <c r="K6" s="865" t="n"/>
      <c r="L6" s="735" t="inlineStr">
        <is>
          <t>Cumulative</t>
        </is>
      </c>
      <c r="M6" s="866" t="n"/>
      <c r="N6" s="866" t="n"/>
      <c r="O6" s="866" t="n"/>
      <c r="P6" s="866" t="n"/>
      <c r="Q6" s="866" t="n"/>
      <c r="R6" s="866" t="n"/>
    </row>
    <row r="7" ht="35.1" customHeight="1">
      <c r="A7" s="736" t="inlineStr">
        <is>
          <t>Code</t>
        </is>
      </c>
      <c r="B7" s="737" t="inlineStr">
        <is>
          <t>Cash Flow line</t>
        </is>
      </c>
      <c r="C7" s="737" t="n"/>
      <c r="D7" s="727" t="inlineStr">
        <is>
          <t>+/-</t>
        </is>
      </c>
      <c r="E7" s="715">
        <f>'[1]P&amp;L'!E7</f>
        <v/>
      </c>
      <c r="F7" s="715">
        <f>'[1]P&amp;L'!F7</f>
        <v/>
      </c>
      <c r="G7" s="715">
        <f>'[1]P&amp;L'!G7</f>
        <v/>
      </c>
      <c r="H7" s="715">
        <f>'[1]P&amp;L'!H7</f>
        <v/>
      </c>
      <c r="I7" s="862" t="n"/>
      <c r="J7" s="715">
        <f>'[1]P&amp;L'!L7</f>
        <v/>
      </c>
      <c r="K7" s="862" t="n"/>
      <c r="L7" s="730">
        <f>'[1]P&amp;L'!P7</f>
        <v/>
      </c>
      <c r="M7" s="731">
        <f>'[1]P&amp;L'!Q7</f>
        <v/>
      </c>
      <c r="N7" s="732">
        <f>'[1]P&amp;L'!R7</f>
        <v/>
      </c>
      <c r="O7" s="733">
        <f>'[1]P&amp;L'!S7</f>
        <v/>
      </c>
      <c r="P7" s="867" t="n"/>
      <c r="Q7" s="734">
        <f>'[1]P&amp;L'!W7</f>
        <v/>
      </c>
      <c r="R7" s="867" t="n"/>
    </row>
    <row r="8" ht="108" customFormat="1" customHeight="1" s="231">
      <c r="A8" s="868" t="n"/>
      <c r="B8" s="863" t="n"/>
      <c r="C8" s="863" t="n"/>
      <c r="D8" s="864" t="n"/>
      <c r="E8" s="864" t="n"/>
      <c r="F8" s="864" t="n"/>
      <c r="G8" s="864" t="n"/>
      <c r="H8" s="754">
        <f>'[1]P&amp;L'!H8</f>
        <v/>
      </c>
      <c r="I8" s="41">
        <f>'[1]P&amp;L'!I8</f>
        <v/>
      </c>
      <c r="J8" s="754">
        <f>'[1]P&amp;L'!L8</f>
        <v/>
      </c>
      <c r="K8" s="41">
        <f>'[1]P&amp;L'!M8</f>
        <v/>
      </c>
      <c r="L8" s="869" t="n"/>
      <c r="M8" s="870" t="n"/>
      <c r="O8" s="229">
        <f>'[1]P&amp;L'!S8</f>
        <v/>
      </c>
      <c r="P8" s="230">
        <f>'[1]P&amp;L'!T8</f>
        <v/>
      </c>
      <c r="Q8" s="230">
        <f>'[1]P&amp;L'!W8</f>
        <v/>
      </c>
      <c r="R8" s="230">
        <f>'[1]P&amp;L'!X8</f>
        <v/>
      </c>
    </row>
    <row r="9" ht="15" customHeight="1">
      <c r="A9" s="232" t="n"/>
      <c r="B9" s="233" t="n"/>
      <c r="C9" s="234" t="n"/>
      <c r="D9" s="126" t="n"/>
      <c r="E9" s="728">
        <f>'[1]P&amp;L'!E9</f>
        <v/>
      </c>
      <c r="F9" s="861" t="n"/>
      <c r="G9" s="861" t="n"/>
      <c r="H9" s="861" t="n"/>
      <c r="I9" s="861" t="n"/>
      <c r="J9" s="861" t="n"/>
      <c r="K9" s="861" t="n"/>
      <c r="L9" s="729">
        <f>'[1]P&amp;L'!P9</f>
        <v/>
      </c>
      <c r="M9" s="871" t="n"/>
      <c r="N9" s="871" t="n"/>
      <c r="O9" s="871" t="n"/>
      <c r="P9" s="871" t="n"/>
      <c r="Q9" s="871" t="n"/>
      <c r="R9" s="871" t="n"/>
    </row>
    <row r="10" ht="20.85" customHeight="1">
      <c r="A10" s="235" t="n">
        <v>1</v>
      </c>
      <c r="B10" s="236">
        <f>A10+1</f>
        <v/>
      </c>
      <c r="C10" s="236">
        <f>B10+1</f>
        <v/>
      </c>
      <c r="D10" s="126">
        <f>C10+1</f>
        <v/>
      </c>
      <c r="E10" s="126">
        <f>D10+1</f>
        <v/>
      </c>
      <c r="F10" s="237">
        <f>E10+1</f>
        <v/>
      </c>
      <c r="G10" s="237">
        <f>F10+1</f>
        <v/>
      </c>
      <c r="H10" s="237">
        <f>G10+1</f>
        <v/>
      </c>
      <c r="I10" s="238">
        <f>H10+1</f>
        <v/>
      </c>
      <c r="J10" s="238">
        <f>I10+1</f>
        <v/>
      </c>
      <c r="K10" s="238">
        <f>J10+1</f>
        <v/>
      </c>
      <c r="L10" s="238">
        <f>K10+1</f>
        <v/>
      </c>
      <c r="M10" s="238">
        <f>L10+1</f>
        <v/>
      </c>
      <c r="N10" s="238">
        <f>M10+1</f>
        <v/>
      </c>
      <c r="O10" s="238">
        <f>N10+1</f>
        <v/>
      </c>
      <c r="P10" s="238">
        <f>O10+1</f>
        <v/>
      </c>
      <c r="Q10" s="238">
        <f>P10+1</f>
        <v/>
      </c>
      <c r="R10" s="238">
        <f>Q10+1</f>
        <v/>
      </c>
    </row>
    <row r="11">
      <c r="A11" s="239" t="inlineStr">
        <is>
          <t>CFI</t>
        </is>
      </c>
      <c r="B11" s="150" t="inlineStr">
        <is>
          <t>Cash flows from operating activities</t>
        </is>
      </c>
      <c r="C11" s="150" t="n"/>
      <c r="D11" s="240" t="inlineStr">
        <is>
          <t>+/-</t>
        </is>
      </c>
      <c r="E11" s="131">
        <f>SUM(E30,E31,E32)</f>
        <v/>
      </c>
      <c r="F11" s="131">
        <f>SUM(F30,F31,F32)</f>
        <v/>
      </c>
      <c r="G11" s="131">
        <f>SUM(G30,G31,G32)</f>
        <v/>
      </c>
      <c r="H11" s="241">
        <f>IFERROR(F11-G11, "N/A")</f>
        <v/>
      </c>
      <c r="I11" s="242">
        <f>IFERROR(('[1]CFS (ind)'!$F11-'[1]CFS (ind)'!$G11)/ABS('[1]CFS (ind)'!$G11),"N/A")</f>
        <v/>
      </c>
      <c r="J11" s="134">
        <f>IFERROR(F11-E11, "N/A")</f>
        <v/>
      </c>
      <c r="K11" s="242">
        <f>IFERROR(('[1]CFS (ind)'!$F11-'[1]CFS (ind)'!$E11)/ABS('[1]CFS (ind)'!$E11),"N/A")</f>
        <v/>
      </c>
      <c r="L11" s="131">
        <f>SUM(L30,L31,L32)</f>
        <v/>
      </c>
      <c r="M11" s="131">
        <f>SUM(M30,M31,M32)</f>
        <v/>
      </c>
      <c r="N11" s="131">
        <f>SUM(N30,N31,N32)</f>
        <v/>
      </c>
      <c r="O11" s="134">
        <f>IFERROR(M11-N11, "N/A")</f>
        <v/>
      </c>
      <c r="P11" s="242">
        <f>IFERROR((M11-N11)/ABS(N11),"N/A")</f>
        <v/>
      </c>
      <c r="Q11" s="134">
        <f>IFERROR(M11-L11, "N/A")</f>
        <v/>
      </c>
      <c r="R11" s="242">
        <f>IFERROR((M11-L11)/ABS(L11),"N/A")</f>
        <v/>
      </c>
    </row>
    <row r="12">
      <c r="A12" s="243" t="inlineStr">
        <is>
          <t>CFI.01.01.01</t>
        </is>
      </c>
      <c r="B12" s="178" t="inlineStr">
        <is>
          <t>Profit/(loss) before income tax</t>
        </is>
      </c>
      <c r="C12" s="178" t="n"/>
      <c r="D12" s="259" t="inlineStr">
        <is>
          <t>+/-</t>
        </is>
      </c>
      <c r="E12" s="245">
        <f>'[1]P&amp;L'!E176</f>
        <v/>
      </c>
      <c r="F12" s="245">
        <f>'[1]P&amp;L'!F176</f>
        <v/>
      </c>
      <c r="G12" s="245">
        <f>'[1]P&amp;L'!G176</f>
        <v/>
      </c>
      <c r="H12" s="245">
        <f>IFERROR(F12-G12, "N/A")</f>
        <v/>
      </c>
      <c r="I12" s="246">
        <f>IFERROR(('[1]CFS (ind)'!$F12-'[1]CFS (ind)'!$G12)/ABS('[1]CFS (ind)'!$G12),"N/A")</f>
        <v/>
      </c>
      <c r="J12" s="245">
        <f>IFERROR(F12-E12, "N/A")</f>
        <v/>
      </c>
      <c r="K12" s="246">
        <f>IFERROR(('[1]CFS (ind)'!$F12-'[1]CFS (ind)'!$E12)/ABS('[1]CFS (ind)'!$E12),"N/A")</f>
        <v/>
      </c>
      <c r="L12" s="245">
        <f>'[1]P&amp;L'!P176</f>
        <v/>
      </c>
      <c r="M12" s="245">
        <f>'[1]P&amp;L'!Q176</f>
        <v/>
      </c>
      <c r="N12" s="245">
        <f>'[1]P&amp;L'!R176</f>
        <v/>
      </c>
      <c r="O12" s="247">
        <f>IFERROR(M12-N12, "N/A")</f>
        <v/>
      </c>
      <c r="P12" s="246">
        <f>IFERROR((M12-N12)/ABS(N12),"N/A")</f>
        <v/>
      </c>
      <c r="Q12" s="247">
        <f>IFERROR(M12-L12, "N/A")</f>
        <v/>
      </c>
      <c r="R12" s="246">
        <f>IFERROR((M12-L12)/ABS(L12),"N/A")</f>
        <v/>
      </c>
    </row>
    <row r="13">
      <c r="A13" s="243" t="inlineStr">
        <is>
          <t>CFI.01.01.02</t>
        </is>
      </c>
      <c r="B13" s="178" t="inlineStr">
        <is>
          <t>Interest income</t>
        </is>
      </c>
      <c r="C13" s="178" t="inlineStr">
        <is>
          <t>Faiz gəliri</t>
        </is>
      </c>
      <c r="D13" s="248" t="inlineStr">
        <is>
          <t>+/-</t>
        </is>
      </c>
      <c r="E13" s="245">
        <f>-'[1]P&amp;L'!E174</f>
        <v/>
      </c>
      <c r="F13" s="245">
        <f>-'[1]P&amp;L'!F174</f>
        <v/>
      </c>
      <c r="G13" s="245">
        <f>-'[1]P&amp;L'!G174</f>
        <v/>
      </c>
      <c r="H13" s="245">
        <f>IFERROR(F13-G13, "N/A")</f>
        <v/>
      </c>
      <c r="I13" s="246">
        <f>IFERROR(('[1]CFS (ind)'!$F13-'[1]CFS (ind)'!$G13)/ABS('[1]CFS (ind)'!$G13),"N/A")</f>
        <v/>
      </c>
      <c r="J13" s="245">
        <f>IFERROR(F13-E13, "N/A")</f>
        <v/>
      </c>
      <c r="K13" s="246">
        <f>IFERROR(('[1]CFS (ind)'!$F13-'[1]CFS (ind)'!$E13)/ABS('[1]CFS (ind)'!$E13),"N/A")</f>
        <v/>
      </c>
      <c r="L13" s="245">
        <f>-'[1]P&amp;L'!P174</f>
        <v/>
      </c>
      <c r="M13" s="245">
        <f>-'[1]P&amp;L'!Q174</f>
        <v/>
      </c>
      <c r="N13" s="245">
        <f>-'[1]P&amp;L'!R174</f>
        <v/>
      </c>
      <c r="O13" s="247">
        <f>IFERROR(M13-N13, "N/A")</f>
        <v/>
      </c>
      <c r="P13" s="246">
        <f>IFERROR((M13-N13)/ABS(N13),"N/A")</f>
        <v/>
      </c>
      <c r="Q13" s="247">
        <f>IFERROR(M13-L13, "N/A")</f>
        <v/>
      </c>
      <c r="R13" s="246">
        <f>IFERROR((M13-L13)/ABS(L13),"N/A")</f>
        <v/>
      </c>
    </row>
    <row r="14">
      <c r="A14" s="243" t="inlineStr">
        <is>
          <t>CFI.01.01.03</t>
        </is>
      </c>
      <c r="B14" s="178" t="inlineStr">
        <is>
          <t>Interest expense</t>
        </is>
      </c>
      <c r="C14" s="178" t="n"/>
      <c r="D14" s="248" t="inlineStr">
        <is>
          <t>+/-</t>
        </is>
      </c>
      <c r="E14" s="245">
        <f>-'[1]P&amp;L'!E175</f>
        <v/>
      </c>
      <c r="F14" s="245">
        <f>-'[1]P&amp;L'!F175</f>
        <v/>
      </c>
      <c r="G14" s="245">
        <f>-'[1]P&amp;L'!G175</f>
        <v/>
      </c>
      <c r="H14" s="245">
        <f>IFERROR(F14-G14, "N/A")</f>
        <v/>
      </c>
      <c r="I14" s="246">
        <f>IFERROR(('[1]CFS (ind)'!$F14-'[1]CFS (ind)'!$G14)/ABS('[1]CFS (ind)'!$G14),"N/A")</f>
        <v/>
      </c>
      <c r="J14" s="245">
        <f>IFERROR(F14-E14, "N/A")</f>
        <v/>
      </c>
      <c r="K14" s="246">
        <f>IFERROR(('[1]CFS (ind)'!$F14-'[1]CFS (ind)'!$E14)/ABS('[1]CFS (ind)'!$E14),"N/A")</f>
        <v/>
      </c>
      <c r="L14" s="245">
        <f>-'[1]P&amp;L'!P175</f>
        <v/>
      </c>
      <c r="M14" s="245">
        <f>-'[1]P&amp;L'!Q175</f>
        <v/>
      </c>
      <c r="N14" s="245">
        <f>-'[1]P&amp;L'!R175</f>
        <v/>
      </c>
      <c r="O14" s="247">
        <f>IFERROR(M14-N14, "N/A")</f>
        <v/>
      </c>
      <c r="P14" s="246">
        <f>IFERROR((M14-N14)/ABS(N14),"N/A")</f>
        <v/>
      </c>
      <c r="Q14" s="247">
        <f>IFERROR(M14-L14, "N/A")</f>
        <v/>
      </c>
      <c r="R14" s="246">
        <f>IFERROR((M14-L14)/ABS(L14),"N/A")</f>
        <v/>
      </c>
    </row>
    <row r="15" ht="15.6" customHeight="1">
      <c r="A15" s="243" t="inlineStr">
        <is>
          <t>CFI.01.01.04</t>
        </is>
      </c>
      <c r="B15" s="249" t="inlineStr">
        <is>
          <t>Net financing cost other than interest</t>
        </is>
      </c>
      <c r="C15" s="249" t="n"/>
      <c r="D15" s="248" t="inlineStr">
        <is>
          <t>+/-</t>
        </is>
      </c>
      <c r="E15" s="245">
        <f>-'[1]P&amp;L'!E168</f>
        <v/>
      </c>
      <c r="F15" s="245">
        <f>-'[1]P&amp;L'!F168</f>
        <v/>
      </c>
      <c r="G15" s="245">
        <f>-'[1]P&amp;L'!G168</f>
        <v/>
      </c>
      <c r="H15" s="245">
        <f>IFERROR(F15-G15, "N/A")</f>
        <v/>
      </c>
      <c r="I15" s="246">
        <f>IFERROR(('[1]CFS (ind)'!$F15-'[1]CFS (ind)'!$G15)/ABS('[1]CFS (ind)'!$G15),"N/A")</f>
        <v/>
      </c>
      <c r="J15" s="245">
        <f>IFERROR(F15-E15, "N/A")</f>
        <v/>
      </c>
      <c r="K15" s="246">
        <f>IFERROR(('[1]CFS (ind)'!$F15-'[1]CFS (ind)'!$E15)/ABS('[1]CFS (ind)'!$E15),"N/A")</f>
        <v/>
      </c>
      <c r="L15" s="245">
        <f>-'[1]P&amp;L'!P168</f>
        <v/>
      </c>
      <c r="M15" s="245">
        <f>-'[1]P&amp;L'!Q168</f>
        <v/>
      </c>
      <c r="N15" s="245">
        <f>-'[1]P&amp;L'!R168</f>
        <v/>
      </c>
      <c r="O15" s="247">
        <f>IFERROR(M15-N15, "N/A")</f>
        <v/>
      </c>
      <c r="P15" s="246">
        <f>IFERROR((M15-N15)/ABS(N15),"N/A")</f>
        <v/>
      </c>
      <c r="Q15" s="247">
        <f>IFERROR(M15-L15, "N/A")</f>
        <v/>
      </c>
      <c r="R15" s="246">
        <f>IFERROR((M15-L15)/ABS(L15),"N/A")</f>
        <v/>
      </c>
    </row>
    <row r="16" ht="15.6" customHeight="1">
      <c r="A16" s="243" t="inlineStr">
        <is>
          <t>CFI.01.01.05</t>
        </is>
      </c>
      <c r="B16" s="178" t="inlineStr">
        <is>
          <t>Foreign exchange difference</t>
        </is>
      </c>
      <c r="C16" s="178" t="n"/>
      <c r="D16" s="259" t="inlineStr">
        <is>
          <t>+/-</t>
        </is>
      </c>
      <c r="E16" s="245">
        <f>-'[1]P&amp;L'!E170</f>
        <v/>
      </c>
      <c r="F16" s="245">
        <f>-'[1]P&amp;L'!F170</f>
        <v/>
      </c>
      <c r="G16" s="245">
        <f>-'[1]P&amp;L'!G170</f>
        <v/>
      </c>
      <c r="H16" s="245">
        <f>IFERROR(F16-G16, "N/A")</f>
        <v/>
      </c>
      <c r="I16" s="246">
        <f>IFERROR(('[1]CFS (ind)'!$F16-'[1]CFS (ind)'!$G16)/ABS('[1]CFS (ind)'!$G16),"N/A")</f>
        <v/>
      </c>
      <c r="J16" s="245">
        <f>IFERROR(F16-E16, "N/A")</f>
        <v/>
      </c>
      <c r="K16" s="246">
        <f>IFERROR(('[1]CFS (ind)'!$F16-'[1]CFS (ind)'!$E16)/ABS('[1]CFS (ind)'!$E16),"N/A")</f>
        <v/>
      </c>
      <c r="L16" s="245">
        <f>-'[1]P&amp;L'!P170</f>
        <v/>
      </c>
      <c r="M16" s="245">
        <f>-'[1]P&amp;L'!Q170</f>
        <v/>
      </c>
      <c r="N16" s="245">
        <f>-'[1]P&amp;L'!R170</f>
        <v/>
      </c>
      <c r="O16" s="247">
        <f>IFERROR(M16-N16, "N/A")</f>
        <v/>
      </c>
      <c r="P16" s="246">
        <f>IFERROR((M16-N16)/ABS(N16),"N/A")</f>
        <v/>
      </c>
      <c r="Q16" s="247">
        <f>IFERROR(M16-L16, "N/A")</f>
        <v/>
      </c>
      <c r="R16" s="246">
        <f>IFERROR((M16-L16)/ABS(L16),"N/A")</f>
        <v/>
      </c>
    </row>
    <row r="17" ht="15.6" customHeight="1">
      <c r="A17" s="243" t="inlineStr">
        <is>
          <t>CFI.01.01.06</t>
        </is>
      </c>
      <c r="B17" s="249" t="inlineStr">
        <is>
          <t>Share of result of associates and joint ventures</t>
        </is>
      </c>
      <c r="C17" s="249" t="n"/>
      <c r="D17" s="248" t="inlineStr">
        <is>
          <t>+/-</t>
        </is>
      </c>
      <c r="E17" s="245">
        <f>-'[1]P&amp;L'!E165-'[1]P&amp;L'!E166-SUM('[1]P&amp;L'!E162:E164)</f>
        <v/>
      </c>
      <c r="F17" s="245">
        <f>-'[1]P&amp;L'!F165-'[1]P&amp;L'!F166-SUM('[1]P&amp;L'!F162:F164)</f>
        <v/>
      </c>
      <c r="G17" s="245">
        <f>-'[1]P&amp;L'!G165-'[1]P&amp;L'!G166-SUM('[1]P&amp;L'!G162:G164)</f>
        <v/>
      </c>
      <c r="H17" s="245">
        <f>IFERROR(F17-G17, "N/A")</f>
        <v/>
      </c>
      <c r="I17" s="246">
        <f>IFERROR(('[1]CFS (ind)'!$F17-'[1]CFS (ind)'!$G17)/ABS('[1]CFS (ind)'!$G17),"N/A")</f>
        <v/>
      </c>
      <c r="J17" s="245">
        <f>IFERROR(F17-E17, "N/A")</f>
        <v/>
      </c>
      <c r="K17" s="246">
        <f>IFERROR(('[1]CFS (ind)'!$F17-'[1]CFS (ind)'!$E17)/ABS('[1]CFS (ind)'!$E17),"N/A")</f>
        <v/>
      </c>
      <c r="L17" s="245">
        <f>-'[1]P&amp;L'!P165-'[1]P&amp;L'!P166-SUM('[1]P&amp;L'!P162:P164)</f>
        <v/>
      </c>
      <c r="M17" s="245">
        <f>-'[1]P&amp;L'!Q165-'[1]P&amp;L'!Q166-SUM('[1]P&amp;L'!Q162:Q164)</f>
        <v/>
      </c>
      <c r="N17" s="245">
        <f>-'[1]P&amp;L'!R165-'[1]P&amp;L'!R166-SUM('[1]P&amp;L'!R162:R164)</f>
        <v/>
      </c>
      <c r="O17" s="247">
        <f>IFERROR(M17-N17, "N/A")</f>
        <v/>
      </c>
      <c r="P17" s="246">
        <f>IFERROR((M17-N17)/ABS(N17),"N/A")</f>
        <v/>
      </c>
      <c r="Q17" s="247">
        <f>IFERROR(M17-L17, "N/A")</f>
        <v/>
      </c>
      <c r="R17" s="246">
        <f>IFERROR((M17-L17)/ABS(L17),"N/A")</f>
        <v/>
      </c>
    </row>
    <row r="18" ht="15.6" customHeight="1">
      <c r="A18" s="243" t="inlineStr">
        <is>
          <t>CFI.01.01.07</t>
        </is>
      </c>
      <c r="B18" s="178" t="inlineStr">
        <is>
          <t>Depreciation (property, plant and equipment and right-of-use assets) and amortization</t>
        </is>
      </c>
      <c r="C18" s="178" t="n"/>
      <c r="D18" s="259" t="inlineStr">
        <is>
          <t>+/-</t>
        </is>
      </c>
      <c r="E18" s="245">
        <f>-'[1]P&amp;L'!E131-'[1]P&amp;L'!E111-'[1]P&amp;L'!E91-'[1]P&amp;L'!E68-'[1]P&amp;L'!E48-'[1]P&amp;L'!E24</f>
        <v/>
      </c>
      <c r="F18" s="245">
        <f>-'[1]P&amp;L'!F131-'[1]P&amp;L'!F111-'[1]P&amp;L'!F91-'[1]P&amp;L'!F68-'[1]P&amp;L'!F48-'[1]P&amp;L'!F24</f>
        <v/>
      </c>
      <c r="G18" s="245">
        <f>-'[1]P&amp;L'!G131-'[1]P&amp;L'!G111-'[1]P&amp;L'!G91-'[1]P&amp;L'!G68-'[1]P&amp;L'!G48-'[1]P&amp;L'!G24</f>
        <v/>
      </c>
      <c r="H18" s="245">
        <f>IFERROR(F18-G18, "N/A")</f>
        <v/>
      </c>
      <c r="I18" s="246">
        <f>IFERROR(('[1]CFS (ind)'!$F18-'[1]CFS (ind)'!$G18)/ABS('[1]CFS (ind)'!$G18),"N/A")</f>
        <v/>
      </c>
      <c r="J18" s="245">
        <f>IFERROR(F18-E18, "N/A")</f>
        <v/>
      </c>
      <c r="K18" s="246">
        <f>IFERROR(('[1]CFS (ind)'!$F18-'[1]CFS (ind)'!$E18)/ABS('[1]CFS (ind)'!$E18),"N/A")</f>
        <v/>
      </c>
      <c r="L18" s="245">
        <f>-'[1]P&amp;L'!P131-'[1]P&amp;L'!P111-'[1]P&amp;L'!P91-'[1]P&amp;L'!P68-'[1]P&amp;L'!P48-'[1]P&amp;L'!P24</f>
        <v/>
      </c>
      <c r="M18" s="245">
        <f>-'[1]P&amp;L'!Q131-'[1]P&amp;L'!Q111-'[1]P&amp;L'!Q91-'[1]P&amp;L'!Q68-'[1]P&amp;L'!Q48-'[1]P&amp;L'!Q24</f>
        <v/>
      </c>
      <c r="N18" s="245">
        <f>-'[1]P&amp;L'!R131-'[1]P&amp;L'!R111-'[1]P&amp;L'!R91-'[1]P&amp;L'!R68-'[1]P&amp;L'!R48-'[1]P&amp;L'!R24</f>
        <v/>
      </c>
      <c r="O18" s="247">
        <f>IFERROR(M18-N18, "N/A")</f>
        <v/>
      </c>
      <c r="P18" s="246">
        <f>IFERROR((M18-N18)/ABS(N18),"N/A")</f>
        <v/>
      </c>
      <c r="Q18" s="247">
        <f>IFERROR(M18-L18, "N/A")</f>
        <v/>
      </c>
      <c r="R18" s="246">
        <f>IFERROR((M18-L18)/ABS(L18),"N/A")</f>
        <v/>
      </c>
    </row>
    <row r="19" ht="15.6" customHeight="1">
      <c r="A19" s="243" t="inlineStr">
        <is>
          <t>CFI.01.01.08</t>
        </is>
      </c>
      <c r="B19" s="178" t="inlineStr">
        <is>
          <t>Impairment</t>
        </is>
      </c>
      <c r="C19" s="178" t="n"/>
      <c r="D19" s="259" t="inlineStr">
        <is>
          <t>+/-</t>
        </is>
      </c>
      <c r="E19" s="245">
        <f>-'[1]P&amp;L'!E151</f>
        <v/>
      </c>
      <c r="F19" s="245">
        <f>-'[1]P&amp;L'!F151</f>
        <v/>
      </c>
      <c r="G19" s="245">
        <f>-'[1]P&amp;L'!G151</f>
        <v/>
      </c>
      <c r="H19" s="245">
        <f>IFERROR(F19-G19, "N/A")</f>
        <v/>
      </c>
      <c r="I19" s="246">
        <f>IFERROR(('[1]CFS (ind)'!$F19-'[1]CFS (ind)'!$G19)/ABS('[1]CFS (ind)'!$G19),"N/A")</f>
        <v/>
      </c>
      <c r="J19" s="245">
        <f>IFERROR(F19-E19, "N/A")</f>
        <v/>
      </c>
      <c r="K19" s="246">
        <f>IFERROR(('[1]CFS (ind)'!$F19-'[1]CFS (ind)'!$E19)/ABS('[1]CFS (ind)'!$E19),"N/A")</f>
        <v/>
      </c>
      <c r="L19" s="245">
        <f>-'[1]P&amp;L'!P151</f>
        <v/>
      </c>
      <c r="M19" s="245">
        <f>-'[1]P&amp;L'!Q151</f>
        <v/>
      </c>
      <c r="N19" s="245">
        <f>-'[1]P&amp;L'!R151</f>
        <v/>
      </c>
      <c r="O19" s="247">
        <f>IFERROR(M19-N19, "N/A")</f>
        <v/>
      </c>
      <c r="P19" s="246">
        <f>IFERROR((M19-N19)/ABS(N19),"N/A")</f>
        <v/>
      </c>
      <c r="Q19" s="247">
        <f>IFERROR(M19-L19, "N/A")</f>
        <v/>
      </c>
      <c r="R19" s="246">
        <f>IFERROR((M19-L19)/ABS(L19),"N/A")</f>
        <v/>
      </c>
    </row>
    <row r="20" ht="15.6" customHeight="1">
      <c r="A20" s="243" t="inlineStr">
        <is>
          <t>CFI.01.01.09</t>
        </is>
      </c>
      <c r="B20" s="178" t="inlineStr">
        <is>
          <t>Expected Credit Loss/(reversal)</t>
        </is>
      </c>
      <c r="C20" s="178" t="n"/>
      <c r="D20" s="259" t="inlineStr">
        <is>
          <t>+/-</t>
        </is>
      </c>
      <c r="E20" s="245">
        <f>-'[1]P&amp;L'!E149</f>
        <v/>
      </c>
      <c r="F20" s="245">
        <f>-'[1]P&amp;L'!F149</f>
        <v/>
      </c>
      <c r="G20" s="245">
        <f>-'[1]P&amp;L'!G149</f>
        <v/>
      </c>
      <c r="H20" s="245">
        <f>IFERROR(F20-G20, "N/A")</f>
        <v/>
      </c>
      <c r="I20" s="246">
        <f>IFERROR(('[1]CFS (ind)'!$F20-'[1]CFS (ind)'!$G20)/ABS('[1]CFS (ind)'!$G20),"N/A")</f>
        <v/>
      </c>
      <c r="J20" s="245">
        <f>IFERROR(F20-E20, "N/A")</f>
        <v/>
      </c>
      <c r="K20" s="246">
        <f>IFERROR(('[1]CFS (ind)'!$F20-'[1]CFS (ind)'!$E20)/ABS('[1]CFS (ind)'!$E20),"N/A")</f>
        <v/>
      </c>
      <c r="L20" s="245">
        <f>-'[1]P&amp;L'!P149</f>
        <v/>
      </c>
      <c r="M20" s="245">
        <f>-'[1]P&amp;L'!Q149</f>
        <v/>
      </c>
      <c r="N20" s="245">
        <f>-'[1]P&amp;L'!R149</f>
        <v/>
      </c>
      <c r="O20" s="247">
        <f>IFERROR(M20-N20, "N/A")</f>
        <v/>
      </c>
      <c r="P20" s="246">
        <f>IFERROR((M20-N20)/ABS(N20),"N/A")</f>
        <v/>
      </c>
      <c r="Q20" s="247">
        <f>IFERROR(M20-L20, "N/A")</f>
        <v/>
      </c>
      <c r="R20" s="246">
        <f>IFERROR((M20-L20)/ABS(L20),"N/A")</f>
        <v/>
      </c>
    </row>
    <row r="21" ht="15.6" customHeight="1">
      <c r="A21" s="243" t="inlineStr">
        <is>
          <t>CFI.01.01.10</t>
        </is>
      </c>
      <c r="B21" s="249" t="inlineStr">
        <is>
          <t>Gain/(loss) on disposals of property, plant and equipment and intangible assets</t>
        </is>
      </c>
      <c r="C21" s="249" t="n"/>
      <c r="D21" s="248" t="inlineStr">
        <is>
          <t>+/-</t>
        </is>
      </c>
      <c r="E21" s="245">
        <f>-'[1]P&amp;L'!E159</f>
        <v/>
      </c>
      <c r="F21" s="245">
        <f>-'[1]P&amp;L'!F159</f>
        <v/>
      </c>
      <c r="G21" s="245">
        <f>-'[1]P&amp;L'!G159</f>
        <v/>
      </c>
      <c r="H21" s="245">
        <f>IFERROR(F21-G21, "N/A")</f>
        <v/>
      </c>
      <c r="I21" s="246">
        <f>IFERROR(('[1]CFS (ind)'!$F21-'[1]CFS (ind)'!$G21)/ABS('[1]CFS (ind)'!$G21),"N/A")</f>
        <v/>
      </c>
      <c r="J21" s="245">
        <f>IFERROR(F21-E21, "N/A")</f>
        <v/>
      </c>
      <c r="K21" s="246">
        <f>IFERROR(('[1]CFS (ind)'!$F21-'[1]CFS (ind)'!$E21)/ABS('[1]CFS (ind)'!$E21),"N/A")</f>
        <v/>
      </c>
      <c r="L21" s="245">
        <f>-'[1]P&amp;L'!P159</f>
        <v/>
      </c>
      <c r="M21" s="245">
        <f>-'[1]P&amp;L'!Q159</f>
        <v/>
      </c>
      <c r="N21" s="245">
        <f>-'[1]P&amp;L'!R159</f>
        <v/>
      </c>
      <c r="O21" s="247">
        <f>IFERROR(M21-N21, "N/A")</f>
        <v/>
      </c>
      <c r="P21" s="246">
        <f>IFERROR((M21-N21)/ABS(N21),"N/A")</f>
        <v/>
      </c>
      <c r="Q21" s="247">
        <f>IFERROR(M21-L21, "N/A")</f>
        <v/>
      </c>
      <c r="R21" s="246">
        <f>IFERROR((M21-L21)/ABS(L21),"N/A")</f>
        <v/>
      </c>
    </row>
    <row r="22" ht="15.6" customHeight="1">
      <c r="A22" s="243" t="inlineStr">
        <is>
          <t>CFI.01.01.11</t>
        </is>
      </c>
      <c r="B22" s="249" t="inlineStr">
        <is>
          <t>Other non-cash transactions</t>
        </is>
      </c>
      <c r="C22" s="249" t="n"/>
      <c r="D22" s="248" t="inlineStr">
        <is>
          <t>+/-</t>
        </is>
      </c>
      <c r="E22" s="250" t="n"/>
      <c r="F22" s="250" t="n"/>
      <c r="G22" s="250" t="n"/>
      <c r="H22" s="251">
        <f>IFERROR(F22-G22, "N/A")</f>
        <v/>
      </c>
      <c r="I22" s="253">
        <f>IFERROR(('[1]CFS (ind)'!$F22-'[1]CFS (ind)'!$G22)/ABS('[1]CFS (ind)'!$G22),"N/A")</f>
        <v/>
      </c>
      <c r="J22" s="175">
        <f>IFERROR(F22-E22, "N/A")</f>
        <v/>
      </c>
      <c r="K22" s="253">
        <f>IFERROR(('[1]CFS (ind)'!$F22-'[1]CFS (ind)'!$E22)/ABS('[1]CFS (ind)'!$E22),"N/A")</f>
        <v/>
      </c>
      <c r="L22" s="250" t="n"/>
      <c r="M22" s="250" t="n"/>
      <c r="N22" s="250" t="n"/>
      <c r="O22" s="175">
        <f>IFERROR(M22-N22, "N/A")</f>
        <v/>
      </c>
      <c r="P22" s="253">
        <f>IFERROR((M22-N22)/ABS(N22),"N/A")</f>
        <v/>
      </c>
      <c r="Q22" s="175">
        <f>IFERROR(M22-L22, "N/A")</f>
        <v/>
      </c>
      <c r="R22" s="253">
        <f>IFERROR((M22-L22)/ABS(L22),"N/A")</f>
        <v/>
      </c>
    </row>
    <row r="23" ht="16.5" customHeight="1">
      <c r="A23" s="254" t="inlineStr">
        <is>
          <t>CFI.01.01</t>
        </is>
      </c>
      <c r="B23" s="254" t="inlineStr">
        <is>
          <t xml:space="preserve">Cash flows operating activities before changes in working capital </t>
        </is>
      </c>
      <c r="C23" s="254" t="n"/>
      <c r="D23" s="78" t="inlineStr">
        <is>
          <t>+/-</t>
        </is>
      </c>
      <c r="E23" s="245">
        <f>SUM(E12,E13,E14,E15,E16,E17,E22,E18,E19,E20,E21)</f>
        <v/>
      </c>
      <c r="F23" s="245">
        <f>SUM(F12,F13,F14,F15,F16,F17,F22,F18,F19,F20,F21)</f>
        <v/>
      </c>
      <c r="G23" s="245">
        <f>SUM(G12,G13,G14,G15,G16,G17,G22,G18,G19,G20,G21)</f>
        <v/>
      </c>
      <c r="H23" s="245">
        <f>IFERROR(F23-G23, "N/A")</f>
        <v/>
      </c>
      <c r="I23" s="246">
        <f>IFERROR(('[1]CFS (ind)'!$F23-'[1]CFS (ind)'!$G23)/ABS('[1]CFS (ind)'!$G23),"N/A")</f>
        <v/>
      </c>
      <c r="J23" s="245">
        <f>IFERROR(F23-E23, "N/A")</f>
        <v/>
      </c>
      <c r="K23" s="246">
        <f>IFERROR(('[1]CFS (ind)'!$F23-'[1]CFS (ind)'!$E23)/ABS('[1]CFS (ind)'!$E23),"N/A")</f>
        <v/>
      </c>
      <c r="L23" s="245">
        <f>SUM(L12,L13,L14,L15,L16,L17,L22,L18,L19,L20,L21)</f>
        <v/>
      </c>
      <c r="M23" s="245">
        <f>SUM(M12,M13,M14,M15,M16,M17,M22,M18,M19,M20,M21)</f>
        <v/>
      </c>
      <c r="N23" s="245">
        <f>SUM(N12,N13,N14,N15,N16,N17,N22,N18,N19,N20,N21)</f>
        <v/>
      </c>
      <c r="O23" s="247">
        <f>IFERROR(M23-N23, "N/A")</f>
        <v/>
      </c>
      <c r="P23" s="246">
        <f>IFERROR((M23-N23)/ABS(N23),"N/A")</f>
        <v/>
      </c>
      <c r="Q23" s="247">
        <f>IFERROR(M23-L23, "N/A")</f>
        <v/>
      </c>
      <c r="R23" s="246">
        <f>IFERROR((M23-L23)/ABS(L23),"N/A")</f>
        <v/>
      </c>
    </row>
    <row r="24" ht="15.6" customHeight="1">
      <c r="A24" s="243" t="inlineStr">
        <is>
          <t>CFI.01.02</t>
        </is>
      </c>
      <c r="B24" s="255" t="inlineStr">
        <is>
          <t>Change in provisions</t>
        </is>
      </c>
      <c r="C24" s="255" t="n"/>
      <c r="D24" s="248" t="inlineStr">
        <is>
          <t>+/-</t>
        </is>
      </c>
      <c r="E24" s="250" t="n">
        <v>0</v>
      </c>
      <c r="F24" s="250" t="n">
        <v>0</v>
      </c>
      <c r="G24" s="250" t="n">
        <v>0</v>
      </c>
      <c r="H24" s="175">
        <f>IFERROR(F24-G24, "N/A")</f>
        <v/>
      </c>
      <c r="I24" s="253">
        <f>IFERROR(('[1]CFS (ind)'!$F24-'[1]CFS (ind)'!$G24)/ABS('[1]CFS (ind)'!$G24),"N/A")</f>
        <v/>
      </c>
      <c r="J24" s="175">
        <f>IFERROR(F24-E24, "N/A")</f>
        <v/>
      </c>
      <c r="K24" s="253">
        <f>IFERROR(('[1]CFS (ind)'!$F24-'[1]CFS (ind)'!$E24)/ABS('[1]CFS (ind)'!$E24),"N/A")</f>
        <v/>
      </c>
      <c r="L24" s="250" t="n">
        <v>0</v>
      </c>
      <c r="M24" s="250" t="n">
        <v>0</v>
      </c>
      <c r="N24" s="250" t="n">
        <v>0</v>
      </c>
      <c r="O24" s="175">
        <f>IFERROR(M24-N24, "N/A")</f>
        <v/>
      </c>
      <c r="P24" s="253">
        <f>IFERROR((M24-N24)/ABS(N24),"N/A")</f>
        <v/>
      </c>
      <c r="Q24" s="175">
        <f>IFERROR(M24-L24, "N/A")</f>
        <v/>
      </c>
      <c r="R24" s="253">
        <f>IFERROR((M24-L24)/ABS(L24),"N/A")</f>
        <v/>
      </c>
    </row>
    <row r="25" ht="15.6" customHeight="1">
      <c r="A25" s="243" t="inlineStr">
        <is>
          <t>CFI.01.03</t>
        </is>
      </c>
      <c r="B25" s="255" t="inlineStr">
        <is>
          <t>Change in trade and other receivables</t>
        </is>
      </c>
      <c r="C25" s="255" t="n"/>
      <c r="D25" s="248" t="inlineStr">
        <is>
          <t>+/-</t>
        </is>
      </c>
      <c r="E25" s="250" t="n">
        <v>-64471.9674017087</v>
      </c>
      <c r="F25" s="250" t="n">
        <v>-9714.824789690136</v>
      </c>
      <c r="G25" s="250" t="n">
        <v>-34237.64705882353</v>
      </c>
      <c r="H25" s="175">
        <f>IFERROR(F25-G25, "N/A")</f>
        <v/>
      </c>
      <c r="I25" s="253">
        <f>IFERROR(('[1]CFS (ind)'!$F25-'[1]CFS (ind)'!$G25)/ABS('[1]CFS (ind)'!$G25),"N/A")</f>
        <v/>
      </c>
      <c r="J25" s="175">
        <f>IFERROR(F25-E25, "N/A")</f>
        <v/>
      </c>
      <c r="K25" s="253">
        <f>IFERROR(('[1]CFS (ind)'!$F25-'[1]CFS (ind)'!$E25)/ABS('[1]CFS (ind)'!$E25),"N/A")</f>
        <v/>
      </c>
      <c r="L25" s="250" t="n">
        <v>-34175.3171998495</v>
      </c>
      <c r="M25" s="250" t="n">
        <v>52003.87350370274</v>
      </c>
      <c r="N25" s="250" t="n">
        <v>-30101.17647058824</v>
      </c>
      <c r="O25" s="175">
        <f>IFERROR(M25-N25, "N/A")</f>
        <v/>
      </c>
      <c r="P25" s="253">
        <f>IFERROR((M25-N25)/ABS(N25),"N/A")</f>
        <v/>
      </c>
      <c r="Q25" s="175">
        <f>IFERROR(M25-L25, "N/A")</f>
        <v/>
      </c>
      <c r="R25" s="253">
        <f>IFERROR((M25-L25)/ABS(L25),"N/A")</f>
        <v/>
      </c>
    </row>
    <row r="26" ht="15.6" customHeight="1">
      <c r="A26" s="243" t="inlineStr">
        <is>
          <t>CFI.01.04</t>
        </is>
      </c>
      <c r="B26" s="255" t="inlineStr">
        <is>
          <t>Change in inventories</t>
        </is>
      </c>
      <c r="C26" s="255" t="n"/>
      <c r="D26" s="248" t="inlineStr">
        <is>
          <t>+/-</t>
        </is>
      </c>
      <c r="E26" s="250" t="n">
        <v>10395.64868948512</v>
      </c>
      <c r="F26" s="250" t="n">
        <v>-1520.98436454228</v>
      </c>
      <c r="G26" s="250" t="n">
        <v>94.11764705882354</v>
      </c>
      <c r="H26" s="175">
        <f>IFERROR(F26-G26, "N/A")</f>
        <v/>
      </c>
      <c r="I26" s="253">
        <f>IFERROR(('[1]CFS (ind)'!$F26-'[1]CFS (ind)'!$G26)/ABS('[1]CFS (ind)'!$G26),"N/A")</f>
        <v/>
      </c>
      <c r="J26" s="175">
        <f>IFERROR(F26-E26, "N/A")</f>
        <v/>
      </c>
      <c r="K26" s="253">
        <f>IFERROR(('[1]CFS (ind)'!$F26-'[1]CFS (ind)'!$E26)/ABS('[1]CFS (ind)'!$E26),"N/A")</f>
        <v/>
      </c>
      <c r="L26" s="250" t="n">
        <v>-9488.569907475956</v>
      </c>
      <c r="M26" s="250" t="n">
        <v>8583.766089466508</v>
      </c>
      <c r="N26" s="250" t="n">
        <v>1074.117647058824</v>
      </c>
      <c r="O26" s="175">
        <f>IFERROR(M26-N26, "N/A")</f>
        <v/>
      </c>
      <c r="P26" s="253">
        <f>IFERROR((M26-N26)/ABS(N26),"N/A")</f>
        <v/>
      </c>
      <c r="Q26" s="175">
        <f>IFERROR(M26-L26, "N/A")</f>
        <v/>
      </c>
      <c r="R26" s="253">
        <f>IFERROR((M26-L26)/ABS(L26),"N/A")</f>
        <v/>
      </c>
    </row>
    <row r="27" ht="15.6" customHeight="1">
      <c r="A27" s="243" t="inlineStr">
        <is>
          <t>CFI.01.05</t>
        </is>
      </c>
      <c r="B27" s="255" t="inlineStr">
        <is>
          <t>Change in trade and other payables and contract liabilities</t>
        </is>
      </c>
      <c r="C27" s="255" t="n"/>
      <c r="D27" s="248" t="inlineStr">
        <is>
          <t>+/-</t>
        </is>
      </c>
      <c r="E27" s="250" t="n">
        <v>56634.47033622411</v>
      </c>
      <c r="F27" s="250" t="n">
        <v>-17177.92987366855</v>
      </c>
      <c r="G27" s="250" t="n">
        <v>33098.23529411765</v>
      </c>
      <c r="H27" s="175">
        <f>IFERROR(F27-G27, "N/A")</f>
        <v/>
      </c>
      <c r="I27" s="253">
        <f>IFERROR(('[1]CFS (ind)'!$F27-'[1]CFS (ind)'!$G27)/ABS('[1]CFS (ind)'!$G27),"N/A")</f>
        <v/>
      </c>
      <c r="J27" s="175">
        <f>IFERROR(F27-E27, "N/A")</f>
        <v/>
      </c>
      <c r="K27" s="253">
        <f>IFERROR(('[1]CFS (ind)'!$F27-'[1]CFS (ind)'!$E27)/ABS('[1]CFS (ind)'!$E27),"N/A")</f>
        <v/>
      </c>
      <c r="L27" s="250" t="n">
        <v>23676.28123888799</v>
      </c>
      <c r="M27" s="250" t="n">
        <v>-103958.0665746001</v>
      </c>
      <c r="N27" s="250" t="n">
        <v>20914.70588235294</v>
      </c>
      <c r="O27" s="175">
        <f>IFERROR(M27-N27, "N/A")</f>
        <v/>
      </c>
      <c r="P27" s="253">
        <f>IFERROR((M27-N27)/ABS(N27),"N/A")</f>
        <v/>
      </c>
      <c r="Q27" s="175">
        <f>IFERROR(M27-L27, "N/A")</f>
        <v/>
      </c>
      <c r="R27" s="253">
        <f>IFERROR((M27-L27)/ABS(L27),"N/A")</f>
        <v/>
      </c>
    </row>
    <row r="28" ht="15.6" customHeight="1">
      <c r="A28" s="243" t="inlineStr">
        <is>
          <t>CFI.01.06</t>
        </is>
      </c>
      <c r="B28" s="255" t="inlineStr">
        <is>
          <t>Change in tax payable other than income tax</t>
        </is>
      </c>
      <c r="C28" s="255" t="n"/>
      <c r="D28" s="248" t="inlineStr">
        <is>
          <t>+/-</t>
        </is>
      </c>
      <c r="E28" s="250" t="n">
        <v>5700.641925403117</v>
      </c>
      <c r="F28" s="250" t="n">
        <v>2262.768129172535</v>
      </c>
      <c r="G28" s="250" t="n">
        <v>42.35294117647059</v>
      </c>
      <c r="H28" s="175">
        <f>IFERROR(F28-G28, "N/A")</f>
        <v/>
      </c>
      <c r="I28" s="253">
        <f>IFERROR(('[1]CFS (ind)'!$F28-'[1]CFS (ind)'!$G28)/ABS('[1]CFS (ind)'!$G28),"N/A")</f>
        <v/>
      </c>
      <c r="J28" s="175">
        <f>IFERROR(F28-E28, "N/A")</f>
        <v/>
      </c>
      <c r="K28" s="253">
        <f>IFERROR(('[1]CFS (ind)'!$F28-'[1]CFS (ind)'!$E28)/ABS('[1]CFS (ind)'!$E28),"N/A")</f>
        <v/>
      </c>
      <c r="L28" s="250" t="n">
        <v>-8592.330275637803</v>
      </c>
      <c r="M28" s="250" t="n">
        <v>-138.8077794819557</v>
      </c>
      <c r="N28" s="250" t="n">
        <v>544.7058823529412</v>
      </c>
      <c r="O28" s="175">
        <f>IFERROR(M28-N28, "N/A")</f>
        <v/>
      </c>
      <c r="P28" s="253">
        <f>IFERROR((M28-N28)/ABS(N28),"N/A")</f>
        <v/>
      </c>
      <c r="Q28" s="175">
        <f>IFERROR(M28-L28, "N/A")</f>
        <v/>
      </c>
      <c r="R28" s="253">
        <f>IFERROR((M28-L28)/ABS(L28),"N/A")</f>
        <v/>
      </c>
    </row>
    <row r="29" ht="15.6" customHeight="1">
      <c r="A29" s="243" t="inlineStr">
        <is>
          <t>CFI.01.07</t>
        </is>
      </c>
      <c r="B29" s="255" t="inlineStr">
        <is>
          <t>Change in other assets and liabilities</t>
        </is>
      </c>
      <c r="C29" s="255" t="n"/>
      <c r="D29" s="248" t="inlineStr">
        <is>
          <t>+/-</t>
        </is>
      </c>
      <c r="E29" s="250" t="n">
        <v>-269.4752809595741</v>
      </c>
      <c r="F29" s="250" t="n">
        <v>25171.25886427174</v>
      </c>
      <c r="G29" s="250" t="n">
        <v>247.0588235294118</v>
      </c>
      <c r="H29" s="175">
        <f>IFERROR(F29-G29, "N/A")</f>
        <v/>
      </c>
      <c r="I29" s="253">
        <f>IFERROR(('[1]CFS (ind)'!$F29-'[1]CFS (ind)'!$G29)/ABS('[1]CFS (ind)'!$G29),"N/A")</f>
        <v/>
      </c>
      <c r="J29" s="175">
        <f>IFERROR(F29-E29, "N/A")</f>
        <v/>
      </c>
      <c r="K29" s="253">
        <f>IFERROR(('[1]CFS (ind)'!$F29-'[1]CFS (ind)'!$E29)/ABS('[1]CFS (ind)'!$E29),"N/A")</f>
        <v/>
      </c>
      <c r="L29" s="250" t="n">
        <v>-18184.42097791767</v>
      </c>
      <c r="M29" s="250" t="n">
        <v>23655.71978797186</v>
      </c>
      <c r="N29" s="250" t="n">
        <v>3595.882352941177</v>
      </c>
      <c r="O29" s="175">
        <f>IFERROR(M29-N29, "N/A")</f>
        <v/>
      </c>
      <c r="P29" s="253">
        <f>IFERROR((M29-N29)/ABS(N29),"N/A")</f>
        <v/>
      </c>
      <c r="Q29" s="175">
        <f>IFERROR(M29-L29, "N/A")</f>
        <v/>
      </c>
      <c r="R29" s="253">
        <f>IFERROR((M29-L29)/ABS(L29),"N/A")</f>
        <v/>
      </c>
    </row>
    <row r="30" ht="15.6" customHeight="1">
      <c r="A30" s="254" t="inlineStr">
        <is>
          <t>CFI.01</t>
        </is>
      </c>
      <c r="B30" s="254" t="inlineStr">
        <is>
          <t>Cash generated from operations</t>
        </is>
      </c>
      <c r="C30" s="254" t="n"/>
      <c r="D30" s="78" t="inlineStr">
        <is>
          <t>+/-</t>
        </is>
      </c>
      <c r="E30" s="245">
        <f>SUM(E23,E24:E29)</f>
        <v/>
      </c>
      <c r="F30" s="245">
        <f>SUM(F23,F24:F29)</f>
        <v/>
      </c>
      <c r="G30" s="245">
        <f>SUM(G23,G24:G29)</f>
        <v/>
      </c>
      <c r="H30" s="245">
        <f>IFERROR(F30-G30, "N/A")</f>
        <v/>
      </c>
      <c r="I30" s="246">
        <f>IFERROR(('[1]CFS (ind)'!$F30-'[1]CFS (ind)'!$G30)/ABS('[1]CFS (ind)'!$G30),"N/A")</f>
        <v/>
      </c>
      <c r="J30" s="245">
        <f>IFERROR(F30-E30, "N/A")</f>
        <v/>
      </c>
      <c r="K30" s="246">
        <f>IFERROR(('[1]CFS (ind)'!$F30-'[1]CFS (ind)'!$E30)/ABS('[1]CFS (ind)'!$E30),"N/A")</f>
        <v/>
      </c>
      <c r="L30" s="245">
        <f>SUM(L23,L24:L29)</f>
        <v/>
      </c>
      <c r="M30" s="245">
        <f>SUM(M23,M24:M29)</f>
        <v/>
      </c>
      <c r="N30" s="245">
        <f>SUM(N23,N24:N29)</f>
        <v/>
      </c>
      <c r="O30" s="247">
        <f>IFERROR(M30-N30, "N/A")</f>
        <v/>
      </c>
      <c r="P30" s="246">
        <f>IFERROR((M30-N30)/ABS(N30),"N/A")</f>
        <v/>
      </c>
      <c r="Q30" s="247">
        <f>IFERROR(M30-L30, "N/A")</f>
        <v/>
      </c>
      <c r="R30" s="246">
        <f>IFERROR((M30-L30)/ABS(L30),"N/A")</f>
        <v/>
      </c>
    </row>
    <row r="31" ht="15.6" customHeight="1">
      <c r="A31" s="243" t="inlineStr">
        <is>
          <t>CFI.02</t>
        </is>
      </c>
      <c r="B31" s="256" t="inlineStr">
        <is>
          <t>Income taxes paid (-)</t>
        </is>
      </c>
      <c r="C31" s="256" t="n"/>
      <c r="D31" s="248" t="inlineStr">
        <is>
          <t>+/-</t>
        </is>
      </c>
      <c r="E31" s="250" t="n">
        <v>0</v>
      </c>
      <c r="F31" s="250" t="n"/>
      <c r="G31" s="250" t="n">
        <v>0</v>
      </c>
      <c r="H31" s="175">
        <f>IFERROR(F31-G31, "N/A")</f>
        <v/>
      </c>
      <c r="I31" s="253">
        <f>IFERROR(('[1]CFS (ind)'!$F31-'[1]CFS (ind)'!$G31)/ABS('[1]CFS (ind)'!$G31),"N/A")</f>
        <v/>
      </c>
      <c r="J31" s="175">
        <f>IFERROR(F31-E31, "N/A")</f>
        <v/>
      </c>
      <c r="K31" s="253">
        <f>IFERROR(('[1]CFS (ind)'!$F31-'[1]CFS (ind)'!$E31)/ABS('[1]CFS (ind)'!$E31),"N/A")</f>
        <v/>
      </c>
      <c r="L31" s="250" t="n">
        <v>0</v>
      </c>
      <c r="M31" s="250" t="n"/>
      <c r="N31" s="250" t="n">
        <v>0</v>
      </c>
      <c r="O31" s="175">
        <f>IFERROR(M31-N31, "N/A")</f>
        <v/>
      </c>
      <c r="P31" s="253">
        <f>IFERROR((M31-N31)/ABS(N31),"N/A")</f>
        <v/>
      </c>
      <c r="Q31" s="175">
        <f>IFERROR(M31-L31, "N/A")</f>
        <v/>
      </c>
      <c r="R31" s="253">
        <f>IFERROR((M31-L31)/ABS(L31),"N/A")</f>
        <v/>
      </c>
    </row>
    <row r="32" ht="15.6" customHeight="1">
      <c r="A32" s="243" t="inlineStr">
        <is>
          <t>CFI.03</t>
        </is>
      </c>
      <c r="B32" s="256" t="inlineStr">
        <is>
          <t>Interest paid</t>
        </is>
      </c>
      <c r="C32" s="256" t="n"/>
      <c r="D32" s="248" t="inlineStr">
        <is>
          <t>+/-</t>
        </is>
      </c>
      <c r="E32" s="250" t="n">
        <v>-1812.021554404145</v>
      </c>
      <c r="F32" s="250" t="n">
        <v>-2485.290090797598</v>
      </c>
      <c r="G32" s="250" t="n">
        <v>-1075.294117647059</v>
      </c>
      <c r="H32" s="175">
        <f>IFERROR(F32-G32, "N/A")</f>
        <v/>
      </c>
      <c r="I32" s="253">
        <f>IFERROR(('[1]CFS (ind)'!$F32-'[1]CFS (ind)'!$G32)/ABS('[1]CFS (ind)'!$G32),"N/A")</f>
        <v/>
      </c>
      <c r="J32" s="175">
        <f>IFERROR(F32-E32, "N/A")</f>
        <v/>
      </c>
      <c r="K32" s="253">
        <f>IFERROR(('[1]CFS (ind)'!$F32-'[1]CFS (ind)'!$E32)/ABS('[1]CFS (ind)'!$E32),"N/A")</f>
        <v/>
      </c>
      <c r="L32" s="250" t="n">
        <v>-20683.95606217617</v>
      </c>
      <c r="M32" s="250" t="n">
        <v>-26934.49190153938</v>
      </c>
      <c r="N32" s="250" t="n">
        <v>-14010</v>
      </c>
      <c r="O32" s="175">
        <f>IFERROR(M32-N32, "N/A")</f>
        <v/>
      </c>
      <c r="P32" s="253">
        <f>IFERROR((M32-N32)/ABS(N32),"N/A")</f>
        <v/>
      </c>
      <c r="Q32" s="175">
        <f>IFERROR(M32-L32, "N/A")</f>
        <v/>
      </c>
      <c r="R32" s="253">
        <f>IFERROR((M32-L32)/ABS(L32),"N/A")</f>
        <v/>
      </c>
    </row>
    <row r="33">
      <c r="A33" s="239" t="inlineStr">
        <is>
          <t>CF02</t>
        </is>
      </c>
      <c r="B33" s="150" t="inlineStr">
        <is>
          <t>Cash flows from investing activities</t>
        </is>
      </c>
      <c r="C33" s="150" t="n"/>
      <c r="D33" s="240" t="inlineStr">
        <is>
          <t>+/-</t>
        </is>
      </c>
      <c r="E33" s="131">
        <f>SUM(E34,E37:E46,E51,E56)</f>
        <v/>
      </c>
      <c r="F33" s="131">
        <f>SUM(F34,F37:F46,F51,F56)</f>
        <v/>
      </c>
      <c r="G33" s="131">
        <f>SUM(G34,G37:G46,G51,G56)</f>
        <v/>
      </c>
      <c r="H33" s="134">
        <f>IFERROR(F33-G33, "N/A")</f>
        <v/>
      </c>
      <c r="I33" s="242">
        <f>IFERROR(('[1]CFS (ind)'!$F33-'[1]CFS (ind)'!$G33)/ABS('[1]CFS (ind)'!$G33),"N/A")</f>
        <v/>
      </c>
      <c r="J33" s="134">
        <f>IFERROR(F33-E33, "N/A")</f>
        <v/>
      </c>
      <c r="K33" s="242">
        <f>IFERROR(('[1]CFS (ind)'!$F33-'[1]CFS (ind)'!$E33)/ABS('[1]CFS (ind)'!$E33),"N/A")</f>
        <v/>
      </c>
      <c r="L33" s="131">
        <f>SUM(L34,L37:L46,L51,L56)</f>
        <v/>
      </c>
      <c r="M33" s="131">
        <f>SUM(M34,M37:M46,M51,M56)</f>
        <v/>
      </c>
      <c r="N33" s="131">
        <f>SUM(N34,N37:N46,N51,N56)</f>
        <v/>
      </c>
      <c r="O33" s="134">
        <f>IFERROR(M33-N33, "N/A")</f>
        <v/>
      </c>
      <c r="P33" s="242">
        <f>IFERROR((M33-N33)/ABS(N33),"N/A")</f>
        <v/>
      </c>
      <c r="Q33" s="134">
        <f>IFERROR(M33-L33, "N/A")</f>
        <v/>
      </c>
      <c r="R33" s="242">
        <f>IFERROR((M33-L33)/ABS(L33),"N/A")</f>
        <v/>
      </c>
    </row>
    <row r="34">
      <c r="A34" s="254" t="inlineStr">
        <is>
          <t>CF02.01</t>
        </is>
      </c>
      <c r="B34" s="254" t="inlineStr">
        <is>
          <t>Acquisition of property, plant and equipment and intangible assets</t>
        </is>
      </c>
      <c r="C34" s="254" t="n"/>
      <c r="D34" s="78" t="inlineStr">
        <is>
          <t>-</t>
        </is>
      </c>
      <c r="E34" s="245">
        <f>SUM(E35:E36)</f>
        <v/>
      </c>
      <c r="F34" s="245">
        <f>SUM(F35:F36)</f>
        <v/>
      </c>
      <c r="G34" s="245">
        <f>SUM(G35:G36)</f>
        <v/>
      </c>
      <c r="H34" s="245">
        <f>IFERROR(F34-G34, "N/A")</f>
        <v/>
      </c>
      <c r="I34" s="246">
        <f>IFERROR(('[1]CFS (ind)'!$F34-'[1]CFS (ind)'!$G34)/ABS('[1]CFS (ind)'!$G34),"N/A")</f>
        <v/>
      </c>
      <c r="J34" s="245">
        <f>IFERROR(F34-E34, "N/A")</f>
        <v/>
      </c>
      <c r="K34" s="246">
        <f>IFERROR(('[1]CFS (ind)'!$F34-'[1]CFS (ind)'!$E34)/ABS('[1]CFS (ind)'!$E34),"N/A")</f>
        <v/>
      </c>
      <c r="L34" s="245">
        <f>SUM(L35:L36)</f>
        <v/>
      </c>
      <c r="M34" s="245">
        <f>SUM(M35:M36)</f>
        <v/>
      </c>
      <c r="N34" s="245">
        <f>SUM(N35:N36)</f>
        <v/>
      </c>
      <c r="O34" s="247">
        <f>IFERROR(M34-N34, "N/A")</f>
        <v/>
      </c>
      <c r="P34" s="246">
        <f>IFERROR((M34-N34)/ABS(N34),"N/A")</f>
        <v/>
      </c>
      <c r="Q34" s="247">
        <f>IFERROR(M34-L34, "N/A")</f>
        <v/>
      </c>
      <c r="R34" s="246">
        <f>IFERROR((M34-L34)/ABS(L34),"N/A")</f>
        <v/>
      </c>
    </row>
    <row r="35">
      <c r="A35" s="243" t="inlineStr">
        <is>
          <t>CF02.01.01</t>
        </is>
      </c>
      <c r="B35" s="257" t="inlineStr">
        <is>
          <t>Acquisition of property, plant and equipment</t>
        </is>
      </c>
      <c r="C35" s="257" t="n"/>
      <c r="D35" s="259" t="inlineStr">
        <is>
          <t>-</t>
        </is>
      </c>
      <c r="E35" s="250" t="n">
        <v>-6225.4553184256</v>
      </c>
      <c r="F35" s="250" t="n">
        <v>-6581.893166133709</v>
      </c>
      <c r="G35" s="250" t="n">
        <v>-8757.058823529413</v>
      </c>
      <c r="H35" s="175">
        <f>IFERROR(F35-G35, "N/A")</f>
        <v/>
      </c>
      <c r="I35" s="253">
        <f>IFERROR(('[1]CFS (ind)'!$F35-'[1]CFS (ind)'!$G35)/ABS('[1]CFS (ind)'!$G35),"N/A")</f>
        <v/>
      </c>
      <c r="J35" s="175">
        <f>IFERROR(F35-E35, "N/A")</f>
        <v/>
      </c>
      <c r="K35" s="253">
        <f>IFERROR(('[1]CFS (ind)'!$F35-'[1]CFS (ind)'!$E35)/ABS('[1]CFS (ind)'!$E35),"N/A")</f>
        <v/>
      </c>
      <c r="L35" s="250" t="n">
        <v>-27098.27070966496</v>
      </c>
      <c r="M35" s="250" t="n">
        <v>-37591.49438938053</v>
      </c>
      <c r="N35" s="250" t="n">
        <v>-29458.82352941177</v>
      </c>
      <c r="O35" s="175">
        <f>IFERROR(M35-N35, "N/A")</f>
        <v/>
      </c>
      <c r="P35" s="253">
        <f>IFERROR((M35-N35)/ABS(N35),"N/A")</f>
        <v/>
      </c>
      <c r="Q35" s="175">
        <f>IFERROR(M35-L35, "N/A")</f>
        <v/>
      </c>
      <c r="R35" s="253">
        <f>IFERROR((M35-L35)/ABS(L35),"N/A")</f>
        <v/>
      </c>
    </row>
    <row r="36">
      <c r="A36" s="243" t="inlineStr">
        <is>
          <t>CF02.01.02</t>
        </is>
      </c>
      <c r="B36" s="257" t="inlineStr">
        <is>
          <t>Acquisition of intangible assets</t>
        </is>
      </c>
      <c r="C36" s="257" t="n"/>
      <c r="D36" s="259" t="inlineStr">
        <is>
          <t>-</t>
        </is>
      </c>
      <c r="E36" s="250" t="n">
        <v>0</v>
      </c>
      <c r="F36" s="250" t="n">
        <v>0</v>
      </c>
      <c r="G36" s="250" t="n">
        <v>0</v>
      </c>
      <c r="H36" s="175">
        <f>IFERROR(F36-G36, "N/A")</f>
        <v/>
      </c>
      <c r="I36" s="253">
        <f>IFERROR(('[1]CFS (ind)'!$F36-'[1]CFS (ind)'!$G36)/ABS('[1]CFS (ind)'!$G36),"N/A")</f>
        <v/>
      </c>
      <c r="J36" s="175">
        <f>IFERROR(F36-E36, "N/A")</f>
        <v/>
      </c>
      <c r="K36" s="253">
        <f>IFERROR(('[1]CFS (ind)'!$F36-'[1]CFS (ind)'!$E36)/ABS('[1]CFS (ind)'!$E36),"N/A")</f>
        <v/>
      </c>
      <c r="L36" s="250" t="n"/>
      <c r="M36" s="250" t="n">
        <v>0</v>
      </c>
      <c r="N36" s="250" t="n">
        <v>0</v>
      </c>
      <c r="O36" s="175">
        <f>IFERROR(M36-N36, "N/A")</f>
        <v/>
      </c>
      <c r="P36" s="253">
        <f>IFERROR((M36-N36)/ABS(N36),"N/A")</f>
        <v/>
      </c>
      <c r="Q36" s="175">
        <f>IFERROR(M36-L36, "N/A")</f>
        <v/>
      </c>
      <c r="R36" s="253">
        <f>IFERROR((M36-L36)/ABS(L36),"N/A")</f>
        <v/>
      </c>
    </row>
    <row r="37">
      <c r="A37" s="243" t="inlineStr">
        <is>
          <t>CF02.02</t>
        </is>
      </c>
      <c r="B37" s="258" t="inlineStr">
        <is>
          <t>Additional contribution in associates and joint ventures</t>
        </is>
      </c>
      <c r="C37" s="258" t="n"/>
      <c r="D37" s="259" t="inlineStr">
        <is>
          <t>-</t>
        </is>
      </c>
      <c r="E37" s="250" t="n"/>
      <c r="F37" s="250" t="n"/>
      <c r="G37" s="250" t="n"/>
      <c r="H37" s="175">
        <f>IFERROR(F37-G37, "N/A")</f>
        <v/>
      </c>
      <c r="I37" s="253">
        <f>IFERROR(('[1]CFS (ind)'!$F37-'[1]CFS (ind)'!$G37)/ABS('[1]CFS (ind)'!$G37),"N/A")</f>
        <v/>
      </c>
      <c r="J37" s="175">
        <f>IFERROR(F37-E37, "N/A")</f>
        <v/>
      </c>
      <c r="K37" s="253">
        <f>IFERROR(('[1]CFS (ind)'!$F37-'[1]CFS (ind)'!$E37)/ABS('[1]CFS (ind)'!$E37),"N/A")</f>
        <v/>
      </c>
      <c r="L37" s="250" t="n">
        <v>0</v>
      </c>
      <c r="M37" s="250" t="n">
        <v>0</v>
      </c>
      <c r="N37" s="250" t="n">
        <v>0</v>
      </c>
      <c r="O37" s="175">
        <f>IFERROR(M37-N37, "N/A")</f>
        <v/>
      </c>
      <c r="P37" s="253">
        <f>IFERROR((M37-N37)/ABS(N37),"N/A")</f>
        <v/>
      </c>
      <c r="Q37" s="175">
        <f>IFERROR(M37-L37, "N/A")</f>
        <v/>
      </c>
      <c r="R37" s="253">
        <f>IFERROR((M37-L37)/ABS(L37),"N/A")</f>
        <v/>
      </c>
    </row>
    <row r="38">
      <c r="A38" s="243" t="inlineStr">
        <is>
          <t>CF02.03</t>
        </is>
      </c>
      <c r="B38" s="258" t="inlineStr">
        <is>
          <t>Interest received</t>
        </is>
      </c>
      <c r="C38" s="258" t="n"/>
      <c r="D38" s="259" t="inlineStr">
        <is>
          <t>+</t>
        </is>
      </c>
      <c r="E38" s="250" t="n"/>
      <c r="F38" s="250" t="n"/>
      <c r="G38" s="250" t="n"/>
      <c r="H38" s="175">
        <f>IFERROR(F38-G38, "N/A")</f>
        <v/>
      </c>
      <c r="I38" s="253">
        <f>IFERROR(('[1]CFS (ind)'!$F38-'[1]CFS (ind)'!$G38)/ABS('[1]CFS (ind)'!$G38),"N/A")</f>
        <v/>
      </c>
      <c r="J38" s="175">
        <f>IFERROR(F38-E38, "N/A")</f>
        <v/>
      </c>
      <c r="K38" s="253">
        <f>IFERROR(('[1]CFS (ind)'!$F38-'[1]CFS (ind)'!$E38)/ABS('[1]CFS (ind)'!$E38),"N/A")</f>
        <v/>
      </c>
      <c r="L38" s="250" t="n">
        <v>0</v>
      </c>
      <c r="M38" s="250" t="n">
        <v>0</v>
      </c>
      <c r="N38" s="250" t="n">
        <v>0</v>
      </c>
      <c r="O38" s="175">
        <f>IFERROR(M38-N38, "N/A")</f>
        <v/>
      </c>
      <c r="P38" s="253">
        <f>IFERROR((M38-N38)/ABS(N38),"N/A")</f>
        <v/>
      </c>
      <c r="Q38" s="175">
        <f>IFERROR(M38-L38, "N/A")</f>
        <v/>
      </c>
      <c r="R38" s="253">
        <f>IFERROR((M38-L38)/ABS(L38),"N/A")</f>
        <v/>
      </c>
    </row>
    <row r="39">
      <c r="A39" s="243" t="inlineStr">
        <is>
          <t>CF02.04</t>
        </is>
      </c>
      <c r="B39" s="258" t="inlineStr">
        <is>
          <t>Dividends received</t>
        </is>
      </c>
      <c r="C39" s="258" t="n"/>
      <c r="D39" s="259" t="inlineStr">
        <is>
          <t>+</t>
        </is>
      </c>
      <c r="E39" s="250" t="n"/>
      <c r="F39" s="250" t="n"/>
      <c r="G39" s="250" t="n"/>
      <c r="H39" s="175">
        <f>IFERROR(F39-G39, "N/A")</f>
        <v/>
      </c>
      <c r="I39" s="253">
        <f>IFERROR(('[1]CFS (ind)'!$F39-'[1]CFS (ind)'!$G39)/ABS('[1]CFS (ind)'!$G39),"N/A")</f>
        <v/>
      </c>
      <c r="J39" s="175">
        <f>IFERROR(F39-E39, "N/A")</f>
        <v/>
      </c>
      <c r="K39" s="253">
        <f>IFERROR(('[1]CFS (ind)'!$F39-'[1]CFS (ind)'!$E39)/ABS('[1]CFS (ind)'!$E39),"N/A")</f>
        <v/>
      </c>
      <c r="L39" s="250" t="n">
        <v>0</v>
      </c>
      <c r="M39" s="250" t="n">
        <v>0</v>
      </c>
      <c r="N39" s="250" t="n">
        <v>0</v>
      </c>
      <c r="O39" s="175">
        <f>IFERROR(M39-N39, "N/A")</f>
        <v/>
      </c>
      <c r="P39" s="253">
        <f>IFERROR((M39-N39)/ABS(N39),"N/A")</f>
        <v/>
      </c>
      <c r="Q39" s="175">
        <f>IFERROR(M39-L39, "N/A")</f>
        <v/>
      </c>
      <c r="R39" s="253">
        <f>IFERROR((M39-L39)/ABS(L39),"N/A")</f>
        <v/>
      </c>
    </row>
    <row r="40">
      <c r="A40" s="243" t="inlineStr">
        <is>
          <t>CF02.05</t>
        </is>
      </c>
      <c r="B40" s="258" t="inlineStr">
        <is>
          <t>Acquisition of subsidiary, net of cash acquired</t>
        </is>
      </c>
      <c r="C40" s="258" t="n"/>
      <c r="D40" s="259" t="inlineStr">
        <is>
          <t>-</t>
        </is>
      </c>
      <c r="E40" s="250" t="n"/>
      <c r="F40" s="250" t="n"/>
      <c r="G40" s="250" t="n"/>
      <c r="H40" s="175">
        <f>IFERROR(F40-G40, "N/A")</f>
        <v/>
      </c>
      <c r="I40" s="253">
        <f>IFERROR(('[1]CFS (ind)'!$F40-'[1]CFS (ind)'!$G40)/ABS('[1]CFS (ind)'!$G40),"N/A")</f>
        <v/>
      </c>
      <c r="J40" s="175">
        <f>IFERROR(F40-E40, "N/A")</f>
        <v/>
      </c>
      <c r="K40" s="253">
        <f>IFERROR(('[1]CFS (ind)'!$F40-'[1]CFS (ind)'!$E40)/ABS('[1]CFS (ind)'!$E40),"N/A")</f>
        <v/>
      </c>
      <c r="L40" s="250" t="n">
        <v>0</v>
      </c>
      <c r="M40" s="250" t="n">
        <v>0</v>
      </c>
      <c r="N40" s="250" t="n">
        <v>0</v>
      </c>
      <c r="O40" s="175">
        <f>IFERROR(M40-N40, "N/A")</f>
        <v/>
      </c>
      <c r="P40" s="253">
        <f>IFERROR((M40-N40)/ABS(N40),"N/A")</f>
        <v/>
      </c>
      <c r="Q40" s="175">
        <f>IFERROR(M40-L40, "N/A")</f>
        <v/>
      </c>
      <c r="R40" s="253">
        <f>IFERROR((M40-L40)/ABS(L40),"N/A")</f>
        <v/>
      </c>
    </row>
    <row r="41" ht="25.5" customHeight="1">
      <c r="A41" s="243" t="inlineStr">
        <is>
          <t>CF02.06</t>
        </is>
      </c>
      <c r="B41" s="258" t="inlineStr">
        <is>
          <t>Proceeds from sale of property, plant and equipment and intangible assets</t>
        </is>
      </c>
      <c r="C41" s="258" t="n"/>
      <c r="D41" s="259" t="inlineStr">
        <is>
          <t>+</t>
        </is>
      </c>
      <c r="E41" s="250" t="n"/>
      <c r="F41" s="250" t="n"/>
      <c r="G41" s="250" t="n"/>
      <c r="H41" s="175">
        <f>IFERROR(F41-G41, "N/A")</f>
        <v/>
      </c>
      <c r="I41" s="253">
        <f>IFERROR(('[1]CFS (ind)'!$F41-'[1]CFS (ind)'!$G41)/ABS('[1]CFS (ind)'!$G41),"N/A")</f>
        <v/>
      </c>
      <c r="J41" s="175">
        <f>IFERROR(F41-E41, "N/A")</f>
        <v/>
      </c>
      <c r="K41" s="253">
        <f>IFERROR(('[1]CFS (ind)'!$F41-'[1]CFS (ind)'!$E41)/ABS('[1]CFS (ind)'!$E41),"N/A")</f>
        <v/>
      </c>
      <c r="L41" s="250" t="n">
        <v>0</v>
      </c>
      <c r="M41" s="250" t="n">
        <v>0</v>
      </c>
      <c r="N41" s="250" t="n">
        <v>0</v>
      </c>
      <c r="O41" s="175">
        <f>IFERROR(M41-N41, "N/A")</f>
        <v/>
      </c>
      <c r="P41" s="253">
        <f>IFERROR((M41-N41)/ABS(N41),"N/A")</f>
        <v/>
      </c>
      <c r="Q41" s="175">
        <f>IFERROR(M41-L41, "N/A")</f>
        <v/>
      </c>
      <c r="R41" s="253">
        <f>IFERROR((M41-L41)/ABS(L41),"N/A")</f>
        <v/>
      </c>
    </row>
    <row r="42">
      <c r="A42" s="243" t="inlineStr">
        <is>
          <t>CF02.07</t>
        </is>
      </c>
      <c r="B42" s="258" t="inlineStr">
        <is>
          <t>Advances received for sale of Interest in PSA</t>
        </is>
      </c>
      <c r="C42" s="258" t="n"/>
      <c r="D42" s="259" t="inlineStr">
        <is>
          <t>+</t>
        </is>
      </c>
      <c r="E42" s="250" t="n"/>
      <c r="F42" s="250" t="n"/>
      <c r="G42" s="250" t="n"/>
      <c r="H42" s="175">
        <f>IFERROR(F42-G42, "N/A")</f>
        <v/>
      </c>
      <c r="I42" s="253">
        <f>IFERROR(('[1]CFS (ind)'!$F42-'[1]CFS (ind)'!$G42)/ABS('[1]CFS (ind)'!$G42),"N/A")</f>
        <v/>
      </c>
      <c r="J42" s="175">
        <f>IFERROR(F42-E42, "N/A")</f>
        <v/>
      </c>
      <c r="K42" s="253">
        <f>IFERROR(('[1]CFS (ind)'!$F42-'[1]CFS (ind)'!$E42)/ABS('[1]CFS (ind)'!$E42),"N/A")</f>
        <v/>
      </c>
      <c r="L42" s="250" t="n">
        <v>0</v>
      </c>
      <c r="M42" s="250" t="n">
        <v>0</v>
      </c>
      <c r="N42" s="250" t="n">
        <v>0</v>
      </c>
      <c r="O42" s="175">
        <f>IFERROR(M42-N42, "N/A")</f>
        <v/>
      </c>
      <c r="P42" s="253">
        <f>IFERROR((M42-N42)/ABS(N42),"N/A")</f>
        <v/>
      </c>
      <c r="Q42" s="175">
        <f>IFERROR(M42-L42, "N/A")</f>
        <v/>
      </c>
      <c r="R42" s="253">
        <f>IFERROR((M42-L42)/ABS(L42),"N/A")</f>
        <v/>
      </c>
    </row>
    <row r="43">
      <c r="A43" s="243" t="inlineStr">
        <is>
          <t>CF02.08</t>
        </is>
      </c>
      <c r="B43" s="258" t="inlineStr">
        <is>
          <t xml:space="preserve">Purchase of financial instrument </t>
        </is>
      </c>
      <c r="C43" s="258" t="n"/>
      <c r="D43" s="259" t="inlineStr">
        <is>
          <t>-</t>
        </is>
      </c>
      <c r="E43" s="250" t="n"/>
      <c r="F43" s="250" t="n"/>
      <c r="G43" s="250" t="n"/>
      <c r="H43" s="175">
        <f>IFERROR(F43-G43, "N/A")</f>
        <v/>
      </c>
      <c r="I43" s="253">
        <f>IFERROR(('[1]CFS (ind)'!$F43-'[1]CFS (ind)'!$G43)/ABS('[1]CFS (ind)'!$G43),"N/A")</f>
        <v/>
      </c>
      <c r="J43" s="175">
        <f>IFERROR(F43-E43, "N/A")</f>
        <v/>
      </c>
      <c r="K43" s="253">
        <f>IFERROR(('[1]CFS (ind)'!$F43-'[1]CFS (ind)'!$E43)/ABS('[1]CFS (ind)'!$E43),"N/A")</f>
        <v/>
      </c>
      <c r="L43" s="250" t="n">
        <v>0</v>
      </c>
      <c r="M43" s="250" t="n">
        <v>0</v>
      </c>
      <c r="N43" s="250" t="n">
        <v>0</v>
      </c>
      <c r="O43" s="175">
        <f>IFERROR(M43-N43, "N/A")</f>
        <v/>
      </c>
      <c r="P43" s="253">
        <f>IFERROR((M43-N43)/ABS(N43),"N/A")</f>
        <v/>
      </c>
      <c r="Q43" s="175">
        <f>IFERROR(M43-L43, "N/A")</f>
        <v/>
      </c>
      <c r="R43" s="253">
        <f>IFERROR((M43-L43)/ABS(L43),"N/A")</f>
        <v/>
      </c>
    </row>
    <row r="44">
      <c r="A44" s="243" t="inlineStr">
        <is>
          <t>CF02.09</t>
        </is>
      </c>
      <c r="B44" s="258" t="inlineStr">
        <is>
          <t xml:space="preserve">Sale of financial instrument </t>
        </is>
      </c>
      <c r="C44" s="258" t="n"/>
      <c r="D44" s="259" t="inlineStr">
        <is>
          <t>+</t>
        </is>
      </c>
      <c r="E44" s="250" t="n"/>
      <c r="F44" s="250" t="n"/>
      <c r="G44" s="250" t="n"/>
      <c r="H44" s="175">
        <f>IFERROR(F44-G44, "N/A")</f>
        <v/>
      </c>
      <c r="I44" s="253">
        <f>IFERROR(('[1]CFS (ind)'!$F44-'[1]CFS (ind)'!$G44)/ABS('[1]CFS (ind)'!$G44),"N/A")</f>
        <v/>
      </c>
      <c r="J44" s="175">
        <f>IFERROR(F44-E44, "N/A")</f>
        <v/>
      </c>
      <c r="K44" s="253">
        <f>IFERROR(('[1]CFS (ind)'!$F44-'[1]CFS (ind)'!$E44)/ABS('[1]CFS (ind)'!$E44),"N/A")</f>
        <v/>
      </c>
      <c r="L44" s="250" t="n">
        <v>0</v>
      </c>
      <c r="M44" s="250" t="n">
        <v>0</v>
      </c>
      <c r="N44" s="250" t="n">
        <v>0</v>
      </c>
      <c r="O44" s="175">
        <f>IFERROR(M44-N44, "N/A")</f>
        <v/>
      </c>
      <c r="P44" s="253">
        <f>IFERROR((M44-N44)/ABS(N44),"N/A")</f>
        <v/>
      </c>
      <c r="Q44" s="175">
        <f>IFERROR(M44-L44, "N/A")</f>
        <v/>
      </c>
      <c r="R44" s="253">
        <f>IFERROR((M44-L44)/ABS(L44),"N/A")</f>
        <v/>
      </c>
    </row>
    <row r="45" ht="25.5" customHeight="1">
      <c r="A45" s="243" t="inlineStr">
        <is>
          <t>CF02.10</t>
        </is>
      </c>
      <c r="B45" s="258" t="inlineStr">
        <is>
          <t>Proceeds from disposal of associates, subsidiaries and JVs</t>
        </is>
      </c>
      <c r="C45" s="258" t="n"/>
      <c r="D45" s="259" t="inlineStr">
        <is>
          <t>+</t>
        </is>
      </c>
      <c r="E45" s="250" t="n"/>
      <c r="F45" s="250" t="n"/>
      <c r="G45" s="250" t="n"/>
      <c r="H45" s="175">
        <f>IFERROR(F45-G45, "N/A")</f>
        <v/>
      </c>
      <c r="I45" s="253">
        <f>IFERROR(('[1]CFS (ind)'!$F45-'[1]CFS (ind)'!$G45)/ABS('[1]CFS (ind)'!$G45),"N/A")</f>
        <v/>
      </c>
      <c r="J45" s="175">
        <f>IFERROR(F45-E45, "N/A")</f>
        <v/>
      </c>
      <c r="K45" s="253">
        <f>IFERROR(('[1]CFS (ind)'!$F45-'[1]CFS (ind)'!$E45)/ABS('[1]CFS (ind)'!$E45),"N/A")</f>
        <v/>
      </c>
      <c r="L45" s="250" t="n">
        <v>0</v>
      </c>
      <c r="M45" s="250" t="n">
        <v>0</v>
      </c>
      <c r="N45" s="250" t="n">
        <v>0</v>
      </c>
      <c r="O45" s="175">
        <f>IFERROR(M45-N45, "N/A")</f>
        <v/>
      </c>
      <c r="P45" s="253">
        <f>IFERROR((M45-N45)/ABS(N45),"N/A")</f>
        <v/>
      </c>
      <c r="Q45" s="175">
        <f>IFERROR(M45-L45, "N/A")</f>
        <v/>
      </c>
      <c r="R45" s="253">
        <f>IFERROR((M45-L45)/ABS(L45),"N/A")</f>
        <v/>
      </c>
    </row>
    <row r="46">
      <c r="A46" s="254" t="inlineStr">
        <is>
          <t>CF02.11</t>
        </is>
      </c>
      <c r="B46" s="254" t="inlineStr">
        <is>
          <t>Loans issued</t>
        </is>
      </c>
      <c r="C46" s="254" t="n"/>
      <c r="D46" s="78" t="inlineStr">
        <is>
          <t>-</t>
        </is>
      </c>
      <c r="E46" s="245">
        <f>SUM(E47:E50)</f>
        <v/>
      </c>
      <c r="F46" s="245">
        <f>SUM(F47:F50)</f>
        <v/>
      </c>
      <c r="G46" s="245">
        <f>SUM(G47:G50)</f>
        <v/>
      </c>
      <c r="H46" s="245">
        <f>IFERROR(F46-G46, "N/A")</f>
        <v/>
      </c>
      <c r="I46" s="246">
        <f>IFERROR(('[1]CFS (ind)'!$F46-'[1]CFS (ind)'!$G46)/ABS('[1]CFS (ind)'!$G46),"N/A")</f>
        <v/>
      </c>
      <c r="J46" s="245">
        <f>IFERROR(F46-E46, "N/A")</f>
        <v/>
      </c>
      <c r="K46" s="246">
        <f>IFERROR(('[1]CFS (ind)'!$F46-'[1]CFS (ind)'!$E46)/ABS('[1]CFS (ind)'!$E46),"N/A")</f>
        <v/>
      </c>
      <c r="L46" s="245">
        <f>SUM(L47:L50)</f>
        <v/>
      </c>
      <c r="M46" s="245">
        <f>SUM(M47:M50)</f>
        <v/>
      </c>
      <c r="N46" s="245">
        <f>SUM(N47:N50)</f>
        <v/>
      </c>
      <c r="O46" s="247">
        <f>IFERROR(M46-N46, "N/A")</f>
        <v/>
      </c>
      <c r="P46" s="246">
        <f>IFERROR((M46-N46)/ABS(N46),"N/A")</f>
        <v/>
      </c>
      <c r="Q46" s="247">
        <f>IFERROR(M46-L46, "N/A")</f>
        <v/>
      </c>
      <c r="R46" s="246">
        <f>IFERROR((M46-L46)/ABS(L46),"N/A")</f>
        <v/>
      </c>
    </row>
    <row r="47">
      <c r="A47" s="243" t="inlineStr">
        <is>
          <t>CF02.11.01</t>
        </is>
      </c>
      <c r="B47" s="146" t="inlineStr">
        <is>
          <t>Loans issued to JVs</t>
        </is>
      </c>
      <c r="C47" s="146" t="n"/>
      <c r="D47" s="259" t="inlineStr">
        <is>
          <t>-</t>
        </is>
      </c>
      <c r="E47" s="250" t="n"/>
      <c r="F47" s="250" t="n"/>
      <c r="G47" s="250" t="n"/>
      <c r="H47" s="175">
        <f>IFERROR(F47-G47, "N/A")</f>
        <v/>
      </c>
      <c r="I47" s="253">
        <f>IFERROR(('[1]CFS (ind)'!$F47-'[1]CFS (ind)'!$G47)/ABS('[1]CFS (ind)'!$G47),"N/A")</f>
        <v/>
      </c>
      <c r="J47" s="175">
        <f>IFERROR(F47-E47, "N/A")</f>
        <v/>
      </c>
      <c r="K47" s="253">
        <f>IFERROR(('[1]CFS (ind)'!$F47-'[1]CFS (ind)'!$E47)/ABS('[1]CFS (ind)'!$E47),"N/A")</f>
        <v/>
      </c>
      <c r="L47" s="250" t="n"/>
      <c r="M47" s="250" t="n"/>
      <c r="N47" s="250" t="n"/>
      <c r="O47" s="175">
        <f>IFERROR(M47-N47, "N/A")</f>
        <v/>
      </c>
      <c r="P47" s="253">
        <f>IFERROR((M47-N47)/ABS(N47),"N/A")</f>
        <v/>
      </c>
      <c r="Q47" s="175">
        <f>IFERROR(M47-L47, "N/A")</f>
        <v/>
      </c>
      <c r="R47" s="253">
        <f>IFERROR((M47-L47)/ABS(L47),"N/A")</f>
        <v/>
      </c>
    </row>
    <row r="48">
      <c r="A48" s="243" t="inlineStr">
        <is>
          <t>CF02.11.02</t>
        </is>
      </c>
      <c r="B48" s="146" t="inlineStr">
        <is>
          <t>Loans issued to Associates</t>
        </is>
      </c>
      <c r="C48" s="146" t="n"/>
      <c r="D48" s="259" t="inlineStr">
        <is>
          <t>-</t>
        </is>
      </c>
      <c r="E48" s="250" t="n"/>
      <c r="F48" s="250" t="n"/>
      <c r="G48" s="250" t="n"/>
      <c r="H48" s="175">
        <f>IFERROR(F48-G48, "N/A")</f>
        <v/>
      </c>
      <c r="I48" s="253">
        <f>IFERROR(('[1]CFS (ind)'!$F48-'[1]CFS (ind)'!$G48)/ABS('[1]CFS (ind)'!$G48),"N/A")</f>
        <v/>
      </c>
      <c r="J48" s="175">
        <f>IFERROR(F48-E48, "N/A")</f>
        <v/>
      </c>
      <c r="K48" s="253">
        <f>IFERROR(('[1]CFS (ind)'!$F48-'[1]CFS (ind)'!$E48)/ABS('[1]CFS (ind)'!$E48),"N/A")</f>
        <v/>
      </c>
      <c r="L48" s="250" t="n"/>
      <c r="M48" s="250" t="n"/>
      <c r="N48" s="250" t="n"/>
      <c r="O48" s="175">
        <f>IFERROR(M48-N48, "N/A")</f>
        <v/>
      </c>
      <c r="P48" s="253">
        <f>IFERROR((M48-N48)/ABS(N48),"N/A")</f>
        <v/>
      </c>
      <c r="Q48" s="175">
        <f>IFERROR(M48-L48, "N/A")</f>
        <v/>
      </c>
      <c r="R48" s="253">
        <f>IFERROR((M48-L48)/ABS(L48),"N/A")</f>
        <v/>
      </c>
    </row>
    <row r="49">
      <c r="A49" s="243" t="inlineStr">
        <is>
          <t>CF02.11.03</t>
        </is>
      </c>
      <c r="B49" s="146" t="inlineStr">
        <is>
          <t>Loans issued to subsidiaries</t>
        </is>
      </c>
      <c r="C49" s="146" t="n"/>
      <c r="D49" s="259" t="inlineStr">
        <is>
          <t>-</t>
        </is>
      </c>
      <c r="E49" s="250" t="n"/>
      <c r="F49" s="250" t="n"/>
      <c r="G49" s="250" t="n"/>
      <c r="H49" s="175">
        <f>IFERROR(F49-G49, "N/A")</f>
        <v/>
      </c>
      <c r="I49" s="253">
        <f>IFERROR(('[1]CFS (ind)'!$F49-'[1]CFS (ind)'!$G49)/ABS('[1]CFS (ind)'!$G49),"N/A")</f>
        <v/>
      </c>
      <c r="J49" s="175">
        <f>IFERROR(F49-E49, "N/A")</f>
        <v/>
      </c>
      <c r="K49" s="253">
        <f>IFERROR(('[1]CFS (ind)'!$F49-'[1]CFS (ind)'!$E49)/ABS('[1]CFS (ind)'!$E49),"N/A")</f>
        <v/>
      </c>
      <c r="L49" s="250" t="n"/>
      <c r="M49" s="250" t="n"/>
      <c r="N49" s="250" t="n"/>
      <c r="O49" s="175">
        <f>IFERROR(M49-N49, "N/A")</f>
        <v/>
      </c>
      <c r="P49" s="253">
        <f>IFERROR((M49-N49)/ABS(N49),"N/A")</f>
        <v/>
      </c>
      <c r="Q49" s="175">
        <f>IFERROR(M49-L49, "N/A")</f>
        <v/>
      </c>
      <c r="R49" s="253">
        <f>IFERROR((M49-L49)/ABS(L49),"N/A")</f>
        <v/>
      </c>
    </row>
    <row r="50">
      <c r="A50" s="243" t="inlineStr">
        <is>
          <t>CF02.11.04</t>
        </is>
      </c>
      <c r="B50" s="146" t="inlineStr">
        <is>
          <t>Loans issued to third parties</t>
        </is>
      </c>
      <c r="C50" s="146" t="n"/>
      <c r="D50" s="259" t="inlineStr">
        <is>
          <t>-</t>
        </is>
      </c>
      <c r="E50" s="250" t="n"/>
      <c r="F50" s="250" t="n"/>
      <c r="G50" s="250" t="n"/>
      <c r="H50" s="175">
        <f>IFERROR(F50-G50, "N/A")</f>
        <v/>
      </c>
      <c r="I50" s="253">
        <f>IFERROR(('[1]CFS (ind)'!$F50-'[1]CFS (ind)'!$G50)/ABS('[1]CFS (ind)'!$G50),"N/A")</f>
        <v/>
      </c>
      <c r="J50" s="175">
        <f>IFERROR(F50-E50, "N/A")</f>
        <v/>
      </c>
      <c r="K50" s="253">
        <f>IFERROR(('[1]CFS (ind)'!$F50-'[1]CFS (ind)'!$E50)/ABS('[1]CFS (ind)'!$E50),"N/A")</f>
        <v/>
      </c>
      <c r="L50" s="250" t="n"/>
      <c r="M50" s="250" t="n"/>
      <c r="N50" s="250" t="n"/>
      <c r="O50" s="175">
        <f>IFERROR(M50-N50, "N/A")</f>
        <v/>
      </c>
      <c r="P50" s="253">
        <f>IFERROR((M50-N50)/ABS(N50),"N/A")</f>
        <v/>
      </c>
      <c r="Q50" s="175">
        <f>IFERROR(M50-L50, "N/A")</f>
        <v/>
      </c>
      <c r="R50" s="253">
        <f>IFERROR((M50-L50)/ABS(L50),"N/A")</f>
        <v/>
      </c>
    </row>
    <row r="51">
      <c r="A51" s="254" t="inlineStr">
        <is>
          <t>CF02.12</t>
        </is>
      </c>
      <c r="B51" s="254" t="inlineStr">
        <is>
          <t>Loans repayed</t>
        </is>
      </c>
      <c r="C51" s="254" t="n"/>
      <c r="D51" s="78" t="inlineStr">
        <is>
          <t>+</t>
        </is>
      </c>
      <c r="E51" s="245">
        <f>SUM(E52:E55)</f>
        <v/>
      </c>
      <c r="F51" s="245">
        <f>SUM(F52:F55)</f>
        <v/>
      </c>
      <c r="G51" s="245">
        <f>SUM(G52:G55)</f>
        <v/>
      </c>
      <c r="H51" s="245">
        <f>IFERROR(F51-G51, "N/A")</f>
        <v/>
      </c>
      <c r="I51" s="246">
        <f>IFERROR(('[1]CFS (ind)'!$F51-'[1]CFS (ind)'!$G51)/ABS('[1]CFS (ind)'!$G51),"N/A")</f>
        <v/>
      </c>
      <c r="J51" s="245">
        <f>IFERROR(F51-E51, "N/A")</f>
        <v/>
      </c>
      <c r="K51" s="246">
        <f>IFERROR(('[1]CFS (ind)'!$F51-'[1]CFS (ind)'!$E51)/ABS('[1]CFS (ind)'!$E51),"N/A")</f>
        <v/>
      </c>
      <c r="L51" s="245">
        <f>SUM(L52:L55)</f>
        <v/>
      </c>
      <c r="M51" s="245">
        <f>SUM(M52:M55)</f>
        <v/>
      </c>
      <c r="N51" s="245">
        <f>SUM(N52:N55)</f>
        <v/>
      </c>
      <c r="O51" s="247">
        <f>IFERROR(M51-N51, "N/A")</f>
        <v/>
      </c>
      <c r="P51" s="246">
        <f>IFERROR((M51-N51)/ABS(N51),"N/A")</f>
        <v/>
      </c>
      <c r="Q51" s="247">
        <f>IFERROR(M51-L51, "N/A")</f>
        <v/>
      </c>
      <c r="R51" s="246">
        <f>IFERROR((M51-L51)/ABS(L51),"N/A")</f>
        <v/>
      </c>
    </row>
    <row r="52">
      <c r="A52" s="243" t="inlineStr">
        <is>
          <t>CF02.12.01</t>
        </is>
      </c>
      <c r="B52" s="146" t="inlineStr">
        <is>
          <t>Loans repayed from JVs</t>
        </is>
      </c>
      <c r="C52" s="146" t="n"/>
      <c r="D52" s="259" t="inlineStr">
        <is>
          <t>+</t>
        </is>
      </c>
      <c r="E52" s="250" t="n">
        <v>0</v>
      </c>
      <c r="F52" s="250" t="n"/>
      <c r="G52" s="250" t="n">
        <v>0</v>
      </c>
      <c r="H52" s="175">
        <f>IFERROR(F52-G52, "N/A")</f>
        <v/>
      </c>
      <c r="I52" s="253">
        <f>IFERROR(('[1]CFS (ind)'!$F52-'[1]CFS (ind)'!$G52)/ABS('[1]CFS (ind)'!$G52),"N/A")</f>
        <v/>
      </c>
      <c r="J52" s="175">
        <f>IFERROR(F52-E52, "N/A")</f>
        <v/>
      </c>
      <c r="K52" s="253">
        <f>IFERROR(('[1]CFS (ind)'!$F52-'[1]CFS (ind)'!$E52)/ABS('[1]CFS (ind)'!$E52),"N/A")</f>
        <v/>
      </c>
      <c r="L52" s="250" t="n">
        <v>0</v>
      </c>
      <c r="M52" s="250" t="n"/>
      <c r="N52" s="250" t="n">
        <v>0</v>
      </c>
      <c r="O52" s="175">
        <f>IFERROR(M52-N52, "N/A")</f>
        <v/>
      </c>
      <c r="P52" s="253">
        <f>IFERROR((M52-N52)/ABS(N52),"N/A")</f>
        <v/>
      </c>
      <c r="Q52" s="175">
        <f>IFERROR(M52-L52, "N/A")</f>
        <v/>
      </c>
      <c r="R52" s="253">
        <f>IFERROR((M52-L52)/ABS(L52),"N/A")</f>
        <v/>
      </c>
    </row>
    <row r="53">
      <c r="A53" s="243" t="inlineStr">
        <is>
          <t>CF02.12.02</t>
        </is>
      </c>
      <c r="B53" s="146" t="inlineStr">
        <is>
          <t>Loans repayed from Associates</t>
        </is>
      </c>
      <c r="C53" s="146" t="n"/>
      <c r="D53" s="259" t="inlineStr">
        <is>
          <t>+</t>
        </is>
      </c>
      <c r="E53" s="250" t="n"/>
      <c r="F53" s="250" t="n">
        <v>0</v>
      </c>
      <c r="G53" s="250" t="n">
        <v>0</v>
      </c>
      <c r="H53" s="175">
        <f>IFERROR(F53-G53, "N/A")</f>
        <v/>
      </c>
      <c r="I53" s="253">
        <f>IFERROR(('[1]CFS (ind)'!$F53-'[1]CFS (ind)'!$G53)/ABS('[1]CFS (ind)'!$G53),"N/A")</f>
        <v/>
      </c>
      <c r="J53" s="175">
        <f>IFERROR(F53-E53, "N/A")</f>
        <v/>
      </c>
      <c r="K53" s="253">
        <f>IFERROR(('[1]CFS (ind)'!$F53-'[1]CFS (ind)'!$E53)/ABS('[1]CFS (ind)'!$E53),"N/A")</f>
        <v/>
      </c>
      <c r="L53" s="250" t="n"/>
      <c r="M53" s="250" t="n">
        <v>0</v>
      </c>
      <c r="N53" s="250" t="n">
        <v>0</v>
      </c>
      <c r="O53" s="175">
        <f>IFERROR(M53-N53, "N/A")</f>
        <v/>
      </c>
      <c r="P53" s="253">
        <f>IFERROR((M53-N53)/ABS(N53),"N/A")</f>
        <v/>
      </c>
      <c r="Q53" s="175">
        <f>IFERROR(M53-L53, "N/A")</f>
        <v/>
      </c>
      <c r="R53" s="253">
        <f>IFERROR((M53-L53)/ABS(L53),"N/A")</f>
        <v/>
      </c>
    </row>
    <row r="54">
      <c r="A54" s="243" t="inlineStr">
        <is>
          <t>CF02.12.03</t>
        </is>
      </c>
      <c r="B54" s="146" t="inlineStr">
        <is>
          <t>Loans repayed from subsidiaries</t>
        </is>
      </c>
      <c r="C54" s="146" t="n"/>
      <c r="D54" s="259" t="inlineStr">
        <is>
          <t>+</t>
        </is>
      </c>
      <c r="E54" s="250" t="n">
        <v>0</v>
      </c>
      <c r="F54" s="250" t="n"/>
      <c r="G54" s="250" t="n">
        <v>0</v>
      </c>
      <c r="H54" s="175">
        <f>IFERROR(F54-G54, "N/A")</f>
        <v/>
      </c>
      <c r="I54" s="253">
        <f>IFERROR(('[1]CFS (ind)'!$F54-'[1]CFS (ind)'!$G54)/ABS('[1]CFS (ind)'!$G54),"N/A")</f>
        <v/>
      </c>
      <c r="J54" s="175">
        <f>IFERROR(F54-E54, "N/A")</f>
        <v/>
      </c>
      <c r="K54" s="253">
        <f>IFERROR(('[1]CFS (ind)'!$F54-'[1]CFS (ind)'!$E54)/ABS('[1]CFS (ind)'!$E54),"N/A")</f>
        <v/>
      </c>
      <c r="L54" s="250" t="n"/>
      <c r="M54" s="250" t="n"/>
      <c r="N54" s="250" t="n">
        <v>0</v>
      </c>
      <c r="O54" s="175">
        <f>IFERROR(M54-N54, "N/A")</f>
        <v/>
      </c>
      <c r="P54" s="253">
        <f>IFERROR((M54-N54)/ABS(N54),"N/A")</f>
        <v/>
      </c>
      <c r="Q54" s="175">
        <f>IFERROR(M54-L54, "N/A")</f>
        <v/>
      </c>
      <c r="R54" s="253">
        <f>IFERROR((M54-L54)/ABS(L54),"N/A")</f>
        <v/>
      </c>
    </row>
    <row r="55">
      <c r="A55" s="243" t="inlineStr">
        <is>
          <t>CF02.12.04</t>
        </is>
      </c>
      <c r="B55" s="146" t="inlineStr">
        <is>
          <t>Loans repayed from third parties</t>
        </is>
      </c>
      <c r="C55" s="146" t="n"/>
      <c r="D55" s="259" t="inlineStr">
        <is>
          <t>+</t>
        </is>
      </c>
      <c r="E55" s="250" t="n">
        <v>0</v>
      </c>
      <c r="F55" s="250" t="n">
        <v>0</v>
      </c>
      <c r="G55" s="250" t="n">
        <v>0</v>
      </c>
      <c r="H55" s="175">
        <f>IFERROR(F55-G55, "N/A")</f>
        <v/>
      </c>
      <c r="I55" s="253">
        <f>IFERROR(('[1]CFS (ind)'!$F55-'[1]CFS (ind)'!$G55)/ABS('[1]CFS (ind)'!$G55),"N/A")</f>
        <v/>
      </c>
      <c r="J55" s="175">
        <f>IFERROR(F55-E55, "N/A")</f>
        <v/>
      </c>
      <c r="K55" s="253">
        <f>IFERROR(('[1]CFS (ind)'!$F55-'[1]CFS (ind)'!$E55)/ABS('[1]CFS (ind)'!$E55),"N/A")</f>
        <v/>
      </c>
      <c r="L55" s="250" t="n"/>
      <c r="M55" s="250" t="n">
        <v>0</v>
      </c>
      <c r="N55" s="250" t="n">
        <v>0</v>
      </c>
      <c r="O55" s="175">
        <f>IFERROR(M55-N55, "N/A")</f>
        <v/>
      </c>
      <c r="P55" s="253">
        <f>IFERROR((M55-N55)/ABS(N55),"N/A")</f>
        <v/>
      </c>
      <c r="Q55" s="175">
        <f>IFERROR(M55-L55, "N/A")</f>
        <v/>
      </c>
      <c r="R55" s="253">
        <f>IFERROR((M55-L55)/ABS(L55),"N/A")</f>
        <v/>
      </c>
    </row>
    <row r="56">
      <c r="A56" s="243" t="inlineStr">
        <is>
          <t>CF02.13</t>
        </is>
      </c>
      <c r="B56" s="146" t="inlineStr">
        <is>
          <t>Other investments</t>
        </is>
      </c>
      <c r="C56" s="146" t="inlineStr">
        <is>
          <t>Digər investisiyalar</t>
        </is>
      </c>
      <c r="D56" s="259" t="inlineStr">
        <is>
          <t>+/-</t>
        </is>
      </c>
      <c r="E56" s="250" t="n">
        <v>0</v>
      </c>
      <c r="F56" s="250" t="n">
        <v>0</v>
      </c>
      <c r="G56" s="250" t="n">
        <v>0</v>
      </c>
      <c r="H56" s="175">
        <f>IFERROR(F56-G56, "N/A")</f>
        <v/>
      </c>
      <c r="I56" s="253">
        <f>IFERROR(('[1]CFS (ind)'!$F56-'[1]CFS (ind)'!$G56)/ABS('[1]CFS (ind)'!$G56),"N/A")</f>
        <v/>
      </c>
      <c r="J56" s="175">
        <f>IFERROR(F56-E56, "N/A")</f>
        <v/>
      </c>
      <c r="K56" s="253">
        <f>IFERROR(('[1]CFS (ind)'!$F56-'[1]CFS (ind)'!$E56)/ABS('[1]CFS (ind)'!$E56),"N/A")</f>
        <v/>
      </c>
      <c r="L56" s="250" t="n"/>
      <c r="M56" s="250" t="n">
        <v>0</v>
      </c>
      <c r="N56" s="250" t="n">
        <v>0</v>
      </c>
      <c r="O56" s="175">
        <f>IFERROR(M56-N56, "N/A")</f>
        <v/>
      </c>
      <c r="P56" s="253">
        <f>IFERROR((M56-N56)/ABS(N56),"N/A")</f>
        <v/>
      </c>
      <c r="Q56" s="175">
        <f>IFERROR(M56-L56, "N/A")</f>
        <v/>
      </c>
      <c r="R56" s="253">
        <f>IFERROR((M56-L56)/ABS(L56),"N/A")</f>
        <v/>
      </c>
    </row>
    <row r="57">
      <c r="A57" s="239" t="inlineStr">
        <is>
          <t>CF03</t>
        </is>
      </c>
      <c r="B57" s="150" t="inlineStr">
        <is>
          <t>Cash flows from financing activities</t>
        </is>
      </c>
      <c r="C57" s="150" t="n"/>
      <c r="D57" s="240" t="inlineStr">
        <is>
          <t>+/-</t>
        </is>
      </c>
      <c r="E57" s="134">
        <f>SUM(E58:E69)</f>
        <v/>
      </c>
      <c r="F57" s="134">
        <f>SUM(F58:F69)</f>
        <v/>
      </c>
      <c r="G57" s="134">
        <f>SUM(G58:G69)</f>
        <v/>
      </c>
      <c r="H57" s="134">
        <f>IFERROR(F57-G57, "N/A")</f>
        <v/>
      </c>
      <c r="I57" s="242">
        <f>IFERROR(('[1]CFS (ind)'!$F57-'[1]CFS (ind)'!$G57)/ABS('[1]CFS (ind)'!$G57),"N/A")</f>
        <v/>
      </c>
      <c r="J57" s="134">
        <f>IFERROR(F57-E57, "N/A")</f>
        <v/>
      </c>
      <c r="K57" s="242">
        <f>IFERROR(('[1]CFS (ind)'!$F57-'[1]CFS (ind)'!$E57)/ABS('[1]CFS (ind)'!$E57),"N/A")</f>
        <v/>
      </c>
      <c r="L57" s="134">
        <f>SUM(L58:L69)</f>
        <v/>
      </c>
      <c r="M57" s="134">
        <f>SUM(M58:M69)</f>
        <v/>
      </c>
      <c r="N57" s="134">
        <f>SUM(N58:N69)</f>
        <v/>
      </c>
      <c r="O57" s="134">
        <f>IFERROR(M57-N57, "N/A")</f>
        <v/>
      </c>
      <c r="P57" s="242">
        <f>IFERROR((M57-N57)/ABS(N57),"N/A")</f>
        <v/>
      </c>
      <c r="Q57" s="134">
        <f>IFERROR(M57-L57, "N/A")</f>
        <v/>
      </c>
      <c r="R57" s="242">
        <f>IFERROR((M57-L57)/ABS(L57),"N/A")</f>
        <v/>
      </c>
    </row>
    <row r="58">
      <c r="A58" s="243" t="inlineStr">
        <is>
          <t>CF03.01</t>
        </is>
      </c>
      <c r="B58" s="258" t="inlineStr">
        <is>
          <t>Proceeds from borrowings</t>
        </is>
      </c>
      <c r="C58" s="258" t="n"/>
      <c r="D58" s="259" t="inlineStr">
        <is>
          <t>+</t>
        </is>
      </c>
      <c r="E58" s="250" t="n"/>
      <c r="F58" s="250" t="n"/>
      <c r="G58" s="250" t="n">
        <v>0</v>
      </c>
      <c r="H58" s="175">
        <f>IFERROR(F58-G58, "N/A")</f>
        <v/>
      </c>
      <c r="I58" s="253">
        <f>IFERROR(('[1]CFS (ind)'!$F58-'[1]CFS (ind)'!$G58)/ABS('[1]CFS (ind)'!$G58),"N/A")</f>
        <v/>
      </c>
      <c r="J58" s="175">
        <f>IFERROR(F58-E58, "N/A")</f>
        <v/>
      </c>
      <c r="K58" s="253">
        <f>IFERROR(('[1]CFS (ind)'!$F58-'[1]CFS (ind)'!$E58)/ABS('[1]CFS (ind)'!$E58),"N/A")</f>
        <v/>
      </c>
      <c r="L58" s="250" t="n"/>
      <c r="M58" s="250" t="n"/>
      <c r="N58" s="250" t="n">
        <v>0</v>
      </c>
      <c r="O58" s="175">
        <f>IFERROR(M58-N58, "N/A")</f>
        <v/>
      </c>
      <c r="P58" s="253">
        <f>IFERROR((M58-N58)/ABS(N58),"N/A")</f>
        <v/>
      </c>
      <c r="Q58" s="175">
        <f>IFERROR(M58-L58, "N/A")</f>
        <v/>
      </c>
      <c r="R58" s="253">
        <f>IFERROR((M58-L58)/ABS(L58),"N/A")</f>
        <v/>
      </c>
    </row>
    <row r="59">
      <c r="A59" s="243" t="inlineStr">
        <is>
          <t>CF03.02</t>
        </is>
      </c>
      <c r="B59" s="258" t="inlineStr">
        <is>
          <t>Repayment of borrowings</t>
        </is>
      </c>
      <c r="C59" s="258" t="n"/>
      <c r="D59" s="259" t="inlineStr">
        <is>
          <t>-</t>
        </is>
      </c>
      <c r="E59" s="250" t="n">
        <v>-1565.306751607834</v>
      </c>
      <c r="F59" s="250" t="n">
        <v>10111.52855447532</v>
      </c>
      <c r="G59" s="250" t="n">
        <v>-1035.294117647059</v>
      </c>
      <c r="H59" s="175">
        <f>IFERROR(F59-G59, "N/A")</f>
        <v/>
      </c>
      <c r="I59" s="253">
        <f>IFERROR(('[1]CFS (ind)'!$F59-'[1]CFS (ind)'!$G59)/ABS('[1]CFS (ind)'!$G59),"N/A")</f>
        <v/>
      </c>
      <c r="J59" s="175">
        <f>IFERROR(F59-E59, "N/A")</f>
        <v/>
      </c>
      <c r="K59" s="253">
        <f>IFERROR(('[1]CFS (ind)'!$F59-'[1]CFS (ind)'!$E59)/ABS('[1]CFS (ind)'!$E59),"N/A")</f>
        <v/>
      </c>
      <c r="L59" s="250" t="n">
        <v>-6015.173410405306</v>
      </c>
      <c r="M59" s="250" t="n">
        <v>6164.838205547707</v>
      </c>
      <c r="N59" s="250" t="n">
        <v>-23594.11764705883</v>
      </c>
      <c r="O59" s="175">
        <f>IFERROR(M59-N59, "N/A")</f>
        <v/>
      </c>
      <c r="P59" s="253">
        <f>IFERROR((M59-N59)/ABS(N59),"N/A")</f>
        <v/>
      </c>
      <c r="Q59" s="175">
        <f>IFERROR(M59-L59, "N/A")</f>
        <v/>
      </c>
      <c r="R59" s="253">
        <f>IFERROR((M59-L59)/ABS(L59),"N/A")</f>
        <v/>
      </c>
    </row>
    <row r="60" ht="25.5" customHeight="1">
      <c r="A60" s="243" t="inlineStr">
        <is>
          <t>CF03.03</t>
        </is>
      </c>
      <c r="B60" s="258" t="inlineStr">
        <is>
          <t>Contribution in subsidiary by non-controlling shareholder</t>
        </is>
      </c>
      <c r="C60" s="258" t="n"/>
      <c r="D60" s="259" t="inlineStr">
        <is>
          <t>+</t>
        </is>
      </c>
      <c r="E60" s="250" t="n">
        <v>0</v>
      </c>
      <c r="F60" s="250" t="n">
        <v>0</v>
      </c>
      <c r="G60" s="250" t="n">
        <v>0</v>
      </c>
      <c r="H60" s="175">
        <f>IFERROR(F60-G60, "N/A")</f>
        <v/>
      </c>
      <c r="I60" s="253">
        <f>IFERROR(('[1]CFS (ind)'!$F60-'[1]CFS (ind)'!$G60)/ABS('[1]CFS (ind)'!$G60),"N/A")</f>
        <v/>
      </c>
      <c r="J60" s="175">
        <f>IFERROR(F60-E60, "N/A")</f>
        <v/>
      </c>
      <c r="K60" s="253">
        <f>IFERROR(('[1]CFS (ind)'!$F60-'[1]CFS (ind)'!$E60)/ABS('[1]CFS (ind)'!$E60),"N/A")</f>
        <v/>
      </c>
      <c r="L60" s="250" t="n"/>
      <c r="M60" s="250" t="n">
        <v>0</v>
      </c>
      <c r="N60" s="250" t="n">
        <v>0</v>
      </c>
      <c r="O60" s="175">
        <f>IFERROR(M60-N60, "N/A")</f>
        <v/>
      </c>
      <c r="P60" s="253">
        <f>IFERROR((M60-N60)/ABS(N60),"N/A")</f>
        <v/>
      </c>
      <c r="Q60" s="175">
        <f>IFERROR(M60-L60, "N/A")</f>
        <v/>
      </c>
      <c r="R60" s="253">
        <f>IFERROR((M60-L60)/ABS(L60),"N/A")</f>
        <v/>
      </c>
    </row>
    <row r="61">
      <c r="A61" s="243" t="inlineStr">
        <is>
          <t>CF03.04</t>
        </is>
      </c>
      <c r="B61" s="258" t="inlineStr">
        <is>
          <t>Acquisition of share from non-controlling shareholder</t>
        </is>
      </c>
      <c r="C61" s="258" t="n"/>
      <c r="D61" s="259" t="inlineStr">
        <is>
          <t>-</t>
        </is>
      </c>
      <c r="E61" s="250" t="n">
        <v>0</v>
      </c>
      <c r="F61" s="250" t="n">
        <v>0</v>
      </c>
      <c r="G61" s="250" t="n">
        <v>0</v>
      </c>
      <c r="H61" s="175">
        <f>IFERROR(F61-G61, "N/A")</f>
        <v/>
      </c>
      <c r="I61" s="253">
        <f>IFERROR(('[1]CFS (ind)'!$F61-'[1]CFS (ind)'!$G61)/ABS('[1]CFS (ind)'!$G61),"N/A")</f>
        <v/>
      </c>
      <c r="J61" s="175">
        <f>IFERROR(F61-E61, "N/A")</f>
        <v/>
      </c>
      <c r="K61" s="253">
        <f>IFERROR(('[1]CFS (ind)'!$F61-'[1]CFS (ind)'!$E61)/ABS('[1]CFS (ind)'!$E61),"N/A")</f>
        <v/>
      </c>
      <c r="L61" s="250" t="n"/>
      <c r="M61" s="250" t="n">
        <v>0</v>
      </c>
      <c r="N61" s="250" t="n">
        <v>0</v>
      </c>
      <c r="O61" s="175">
        <f>IFERROR(M61-N61, "N/A")</f>
        <v/>
      </c>
      <c r="P61" s="253">
        <f>IFERROR((M61-N61)/ABS(N61),"N/A")</f>
        <v/>
      </c>
      <c r="Q61" s="175">
        <f>IFERROR(M61-L61, "N/A")</f>
        <v/>
      </c>
      <c r="R61" s="253">
        <f>IFERROR((M61-L61)/ABS(L61),"N/A")</f>
        <v/>
      </c>
    </row>
    <row r="62">
      <c r="A62" s="243" t="inlineStr">
        <is>
          <t>CF03.05</t>
        </is>
      </c>
      <c r="B62" s="258" t="inlineStr">
        <is>
          <t>Proceeds from sale of non-controlling interests</t>
        </is>
      </c>
      <c r="C62" s="258" t="n"/>
      <c r="D62" s="259" t="inlineStr">
        <is>
          <t>+</t>
        </is>
      </c>
      <c r="E62" s="250" t="n">
        <v>0</v>
      </c>
      <c r="F62" s="250" t="n">
        <v>0</v>
      </c>
      <c r="G62" s="250" t="n">
        <v>0</v>
      </c>
      <c r="H62" s="175">
        <f>IFERROR(F62-G62, "N/A")</f>
        <v/>
      </c>
      <c r="I62" s="253">
        <f>IFERROR(('[1]CFS (ind)'!$F62-'[1]CFS (ind)'!$G62)/ABS('[1]CFS (ind)'!$G62),"N/A")</f>
        <v/>
      </c>
      <c r="J62" s="175">
        <f>IFERROR(F62-E62, "N/A")</f>
        <v/>
      </c>
      <c r="K62" s="253">
        <f>IFERROR(('[1]CFS (ind)'!$F62-'[1]CFS (ind)'!$E62)/ABS('[1]CFS (ind)'!$E62),"N/A")</f>
        <v/>
      </c>
      <c r="L62" s="250" t="n"/>
      <c r="M62" s="250" t="n">
        <v>0</v>
      </c>
      <c r="N62" s="250" t="n">
        <v>0</v>
      </c>
      <c r="O62" s="175">
        <f>IFERROR(M62-N62, "N/A")</f>
        <v/>
      </c>
      <c r="P62" s="253">
        <f>IFERROR((M62-N62)/ABS(N62),"N/A")</f>
        <v/>
      </c>
      <c r="Q62" s="175">
        <f>IFERROR(M62-L62, "N/A")</f>
        <v/>
      </c>
      <c r="R62" s="253">
        <f>IFERROR((M62-L62)/ABS(L62),"N/A")</f>
        <v/>
      </c>
    </row>
    <row r="63">
      <c r="A63" s="243" t="inlineStr">
        <is>
          <t>CF03.06</t>
        </is>
      </c>
      <c r="B63" s="258" t="inlineStr">
        <is>
          <t>Increase in charter capital</t>
        </is>
      </c>
      <c r="C63" s="258" t="n"/>
      <c r="D63" s="259" t="inlineStr">
        <is>
          <t>+</t>
        </is>
      </c>
      <c r="E63" s="250" t="n">
        <v>0</v>
      </c>
      <c r="F63" s="250" t="n">
        <v>0</v>
      </c>
      <c r="G63" s="250" t="n">
        <v>0</v>
      </c>
      <c r="H63" s="175">
        <f>IFERROR(F63-G63, "N/A")</f>
        <v/>
      </c>
      <c r="I63" s="253">
        <f>IFERROR(('[1]CFS (ind)'!$F63-'[1]CFS (ind)'!$G63)/ABS('[1]CFS (ind)'!$G63),"N/A")</f>
        <v/>
      </c>
      <c r="J63" s="175">
        <f>IFERROR(F63-E63, "N/A")</f>
        <v/>
      </c>
      <c r="K63" s="253">
        <f>IFERROR(('[1]CFS (ind)'!$F63-'[1]CFS (ind)'!$E63)/ABS('[1]CFS (ind)'!$E63),"N/A")</f>
        <v/>
      </c>
      <c r="L63" s="250" t="n"/>
      <c r="M63" s="250" t="n">
        <v>0</v>
      </c>
      <c r="N63" s="250" t="n">
        <v>0</v>
      </c>
      <c r="O63" s="175">
        <f>IFERROR(M63-N63, "N/A")</f>
        <v/>
      </c>
      <c r="P63" s="253">
        <f>IFERROR((M63-N63)/ABS(N63),"N/A")</f>
        <v/>
      </c>
      <c r="Q63" s="175">
        <f>IFERROR(M63-L63, "N/A")</f>
        <v/>
      </c>
      <c r="R63" s="253">
        <f>IFERROR((M63-L63)/ABS(L63),"N/A")</f>
        <v/>
      </c>
    </row>
    <row r="64">
      <c r="A64" s="243" t="inlineStr">
        <is>
          <t>CF03.07</t>
        </is>
      </c>
      <c r="B64" s="258" t="inlineStr">
        <is>
          <t>Distribution to the Government</t>
        </is>
      </c>
      <c r="C64" s="258" t="n"/>
      <c r="D64" s="259" t="inlineStr">
        <is>
          <t>-</t>
        </is>
      </c>
      <c r="E64" s="250" t="n">
        <v>0</v>
      </c>
      <c r="F64" s="250" t="n">
        <v>0</v>
      </c>
      <c r="G64" s="250" t="n">
        <v>0</v>
      </c>
      <c r="H64" s="175">
        <f>IFERROR(F64-G64, "N/A")</f>
        <v/>
      </c>
      <c r="I64" s="253">
        <f>IFERROR(('[1]CFS (ind)'!$F64-'[1]CFS (ind)'!$G64)/ABS('[1]CFS (ind)'!$G64),"N/A")</f>
        <v/>
      </c>
      <c r="J64" s="175">
        <f>IFERROR(F64-E64, "N/A")</f>
        <v/>
      </c>
      <c r="K64" s="253">
        <f>IFERROR(('[1]CFS (ind)'!$F64-'[1]CFS (ind)'!$E64)/ABS('[1]CFS (ind)'!$E64),"N/A")</f>
        <v/>
      </c>
      <c r="L64" s="250" t="n"/>
      <c r="M64" s="250" t="n">
        <v>0</v>
      </c>
      <c r="N64" s="250" t="n">
        <v>0</v>
      </c>
      <c r="O64" s="175">
        <f>IFERROR(M64-N64, "N/A")</f>
        <v/>
      </c>
      <c r="P64" s="253">
        <f>IFERROR((M64-N64)/ABS(N64),"N/A")</f>
        <v/>
      </c>
      <c r="Q64" s="175">
        <f>IFERROR(M64-L64, "N/A")</f>
        <v/>
      </c>
      <c r="R64" s="253">
        <f>IFERROR((M64-L64)/ABS(L64),"N/A")</f>
        <v/>
      </c>
    </row>
    <row r="65">
      <c r="A65" s="243" t="inlineStr">
        <is>
          <t>CF03.08</t>
        </is>
      </c>
      <c r="B65" s="258" t="inlineStr">
        <is>
          <t>Contribution from the Government</t>
        </is>
      </c>
      <c r="C65" s="258" t="n"/>
      <c r="D65" s="259" t="inlineStr">
        <is>
          <t>+</t>
        </is>
      </c>
      <c r="E65" s="250" t="n">
        <v>0</v>
      </c>
      <c r="F65" s="250" t="n">
        <v>0</v>
      </c>
      <c r="G65" s="250" t="n">
        <v>0</v>
      </c>
      <c r="H65" s="175">
        <f>IFERROR(F65-G65, "N/A")</f>
        <v/>
      </c>
      <c r="I65" s="253">
        <f>IFERROR(('[1]CFS (ind)'!$F65-'[1]CFS (ind)'!$G65)/ABS('[1]CFS (ind)'!$G65),"N/A")</f>
        <v/>
      </c>
      <c r="J65" s="175">
        <f>IFERROR(F65-E65, "N/A")</f>
        <v/>
      </c>
      <c r="K65" s="253">
        <f>IFERROR(('[1]CFS (ind)'!$F65-'[1]CFS (ind)'!$E65)/ABS('[1]CFS (ind)'!$E65),"N/A")</f>
        <v/>
      </c>
      <c r="L65" s="250" t="n"/>
      <c r="M65" s="250" t="n">
        <v>0</v>
      </c>
      <c r="N65" s="250" t="n">
        <v>0</v>
      </c>
      <c r="O65" s="175">
        <f>IFERROR(M65-N65, "N/A")</f>
        <v/>
      </c>
      <c r="P65" s="253">
        <f>IFERROR((M65-N65)/ABS(N65),"N/A")</f>
        <v/>
      </c>
      <c r="Q65" s="175">
        <f>IFERROR(M65-L65, "N/A")</f>
        <v/>
      </c>
      <c r="R65" s="253">
        <f>IFERROR((M65-L65)/ABS(L65),"N/A")</f>
        <v/>
      </c>
    </row>
    <row r="66">
      <c r="A66" s="243" t="inlineStr">
        <is>
          <t>CF03.09</t>
        </is>
      </c>
      <c r="B66" s="258" t="inlineStr">
        <is>
          <t>Dividends paid (-)</t>
        </is>
      </c>
      <c r="C66" s="258" t="n"/>
      <c r="D66" s="259" t="inlineStr">
        <is>
          <t>-</t>
        </is>
      </c>
      <c r="E66" s="250" t="n">
        <v>0</v>
      </c>
      <c r="F66" s="250" t="n">
        <v>0</v>
      </c>
      <c r="G66" s="250" t="n">
        <v>0</v>
      </c>
      <c r="H66" s="175">
        <f>IFERROR(F66-G66, "N/A")</f>
        <v/>
      </c>
      <c r="I66" s="253">
        <f>IFERROR(('[1]CFS (ind)'!$F66-'[1]CFS (ind)'!$G66)/ABS('[1]CFS (ind)'!$G66),"N/A")</f>
        <v/>
      </c>
      <c r="J66" s="175">
        <f>IFERROR(F66-E66, "N/A")</f>
        <v/>
      </c>
      <c r="K66" s="253">
        <f>IFERROR(('[1]CFS (ind)'!$F66-'[1]CFS (ind)'!$E66)/ABS('[1]CFS (ind)'!$E66),"N/A")</f>
        <v/>
      </c>
      <c r="L66" s="250" t="n"/>
      <c r="M66" s="250" t="n">
        <v>0</v>
      </c>
      <c r="N66" s="250" t="n">
        <v>0</v>
      </c>
      <c r="O66" s="175">
        <f>IFERROR(M66-N66, "N/A")</f>
        <v/>
      </c>
      <c r="P66" s="253">
        <f>IFERROR((M66-N66)/ABS(N66),"N/A")</f>
        <v/>
      </c>
      <c r="Q66" s="175">
        <f>IFERROR(M66-L66, "N/A")</f>
        <v/>
      </c>
      <c r="R66" s="253">
        <f>IFERROR((M66-L66)/ABS(L66),"N/A")</f>
        <v/>
      </c>
    </row>
    <row r="67">
      <c r="A67" s="243" t="inlineStr">
        <is>
          <t>CF03.10</t>
        </is>
      </c>
      <c r="B67" s="258" t="inlineStr">
        <is>
          <t>Dividend paid to NCI</t>
        </is>
      </c>
      <c r="C67" s="258" t="n"/>
      <c r="D67" s="259" t="inlineStr">
        <is>
          <t>-</t>
        </is>
      </c>
      <c r="E67" s="250" t="n">
        <v>0</v>
      </c>
      <c r="F67" s="250" t="n">
        <v>0</v>
      </c>
      <c r="G67" s="250" t="n">
        <v>0</v>
      </c>
      <c r="H67" s="175">
        <f>IFERROR(F67-G67, "N/A")</f>
        <v/>
      </c>
      <c r="I67" s="253">
        <f>IFERROR(('[1]CFS (ind)'!$F67-'[1]CFS (ind)'!$G67)/ABS('[1]CFS (ind)'!$G67),"N/A")</f>
        <v/>
      </c>
      <c r="J67" s="175">
        <f>IFERROR(F67-E67, "N/A")</f>
        <v/>
      </c>
      <c r="K67" s="253">
        <f>IFERROR(('[1]CFS (ind)'!$F67-'[1]CFS (ind)'!$E67)/ABS('[1]CFS (ind)'!$E67),"N/A")</f>
        <v/>
      </c>
      <c r="L67" s="250" t="n"/>
      <c r="M67" s="250" t="n">
        <v>0</v>
      </c>
      <c r="N67" s="250" t="n">
        <v>0</v>
      </c>
      <c r="O67" s="175">
        <f>IFERROR(M67-N67, "N/A")</f>
        <v/>
      </c>
      <c r="P67" s="253">
        <f>IFERROR((M67-N67)/ABS(N67),"N/A")</f>
        <v/>
      </c>
      <c r="Q67" s="175">
        <f>IFERROR(M67-L67, "N/A")</f>
        <v/>
      </c>
      <c r="R67" s="253">
        <f>IFERROR((M67-L67)/ABS(L67),"N/A")</f>
        <v/>
      </c>
    </row>
    <row r="68">
      <c r="A68" s="243" t="inlineStr">
        <is>
          <t>CF03.11</t>
        </is>
      </c>
      <c r="B68" s="258" t="inlineStr">
        <is>
          <t>Payment of Lease Liabilities</t>
        </is>
      </c>
      <c r="C68" s="258" t="n"/>
      <c r="D68" s="259" t="inlineStr">
        <is>
          <t>-</t>
        </is>
      </c>
      <c r="E68" s="250" t="n"/>
      <c r="F68" s="250" t="n">
        <v>0</v>
      </c>
      <c r="G68" s="250" t="n">
        <v>0</v>
      </c>
      <c r="H68" s="175">
        <f>IFERROR(F68-G68, "N/A")</f>
        <v/>
      </c>
      <c r="I68" s="253">
        <f>IFERROR(('[1]CFS (ind)'!$F68-'[1]CFS (ind)'!$G68)/ABS('[1]CFS (ind)'!$G68),"N/A")</f>
        <v/>
      </c>
      <c r="J68" s="175">
        <f>IFERROR(F68-E68, "N/A")</f>
        <v/>
      </c>
      <c r="K68" s="253">
        <f>IFERROR(('[1]CFS (ind)'!$F68-'[1]CFS (ind)'!$E68)/ABS('[1]CFS (ind)'!$E68),"N/A")</f>
        <v/>
      </c>
      <c r="L68" s="250" t="n"/>
      <c r="M68" s="250" t="n">
        <v>0</v>
      </c>
      <c r="N68" s="250" t="n">
        <v>0</v>
      </c>
      <c r="O68" s="175">
        <f>IFERROR(M68-N68, "N/A")</f>
        <v/>
      </c>
      <c r="P68" s="253">
        <f>IFERROR((M68-N68)/ABS(N68),"N/A")</f>
        <v/>
      </c>
      <c r="Q68" s="175">
        <f>IFERROR(M68-L68, "N/A")</f>
        <v/>
      </c>
      <c r="R68" s="253">
        <f>IFERROR((M68-L68)/ABS(L68),"N/A")</f>
        <v/>
      </c>
    </row>
    <row r="69">
      <c r="A69" s="243" t="inlineStr">
        <is>
          <t>CF03.12</t>
        </is>
      </c>
      <c r="B69" s="258" t="inlineStr">
        <is>
          <t>Other financings</t>
        </is>
      </c>
      <c r="C69" s="258" t="n"/>
      <c r="D69" s="259" t="inlineStr">
        <is>
          <t>+/-</t>
        </is>
      </c>
      <c r="E69" s="250" t="n">
        <v>0</v>
      </c>
      <c r="F69" s="250" t="n">
        <v>0</v>
      </c>
      <c r="G69" s="250" t="n">
        <v>0</v>
      </c>
      <c r="H69" s="175">
        <f>IFERROR(F69-G69, "N/A")</f>
        <v/>
      </c>
      <c r="I69" s="253">
        <f>IFERROR(('[1]CFS (ind)'!$F69-'[1]CFS (ind)'!$G69)/ABS('[1]CFS (ind)'!$G69),"N/A")</f>
        <v/>
      </c>
      <c r="J69" s="175">
        <f>IFERROR(F69-E69, "N/A")</f>
        <v/>
      </c>
      <c r="K69" s="253">
        <f>IFERROR(('[1]CFS (ind)'!$F69-'[1]CFS (ind)'!$E69)/ABS('[1]CFS (ind)'!$E69),"N/A")</f>
        <v/>
      </c>
      <c r="L69" s="250" t="n">
        <v>0</v>
      </c>
      <c r="M69" s="250" t="n">
        <v>0</v>
      </c>
      <c r="N69" s="250" t="n">
        <v>0</v>
      </c>
      <c r="O69" s="175">
        <f>IFERROR(M69-N69, "N/A")</f>
        <v/>
      </c>
      <c r="P69" s="253">
        <f>IFERROR((M69-N69)/ABS(N69),"N/A")</f>
        <v/>
      </c>
      <c r="Q69" s="175">
        <f>IFERROR(M69-L69, "N/A")</f>
        <v/>
      </c>
      <c r="R69" s="253">
        <f>IFERROR((M69-L69)/ABS(L69),"N/A")</f>
        <v/>
      </c>
    </row>
    <row r="70">
      <c r="A70" s="239" t="inlineStr">
        <is>
          <t>CF04</t>
        </is>
      </c>
      <c r="B70" s="150" t="inlineStr">
        <is>
          <t>Deposits</t>
        </is>
      </c>
      <c r="C70" s="150" t="inlineStr">
        <is>
          <t>Depozitlər</t>
        </is>
      </c>
      <c r="D70" s="240" t="inlineStr">
        <is>
          <t>+/-</t>
        </is>
      </c>
      <c r="E70" s="250" t="n">
        <v>0</v>
      </c>
      <c r="F70" s="250" t="n"/>
      <c r="G70" s="250" t="n">
        <v>0</v>
      </c>
      <c r="H70" s="175">
        <f>IFERROR(F70-G70, "N/A")</f>
        <v/>
      </c>
      <c r="I70" s="260">
        <f>IFERROR(('[1]CFS (ind)'!$F70-'[1]CFS (ind)'!$G70)/ABS('[1]CFS (ind)'!$G70),"N/A")</f>
        <v/>
      </c>
      <c r="J70" s="175">
        <f>IFERROR(F70-E70, "N/A")</f>
        <v/>
      </c>
      <c r="K70" s="260">
        <f>IFERROR(('[1]CFS (ind)'!$F70-'[1]CFS (ind)'!$E70)/ABS('[1]CFS (ind)'!$E70),"N/A")</f>
        <v/>
      </c>
      <c r="L70" s="250" t="n">
        <v>0</v>
      </c>
      <c r="M70" s="250" t="n"/>
      <c r="N70" s="250" t="n">
        <v>0</v>
      </c>
      <c r="O70" s="175">
        <f>IFERROR(M70-N70, "N/A")</f>
        <v/>
      </c>
      <c r="P70" s="253">
        <f>IFERROR((M70-N70)/ABS(N70),"N/A")</f>
        <v/>
      </c>
      <c r="Q70" s="175">
        <f>IFERROR(M70-L70, "N/A")</f>
        <v/>
      </c>
      <c r="R70" s="253">
        <f>IFERROR((M70-L70)/ABS(L70),"N/A")</f>
        <v/>
      </c>
    </row>
    <row r="71">
      <c r="A71" s="239" t="inlineStr">
        <is>
          <t>CF05</t>
        </is>
      </c>
      <c r="B71" s="150" t="inlineStr">
        <is>
          <t>Change in restricted cash</t>
        </is>
      </c>
      <c r="C71" s="150" t="n"/>
      <c r="D71" s="240" t="inlineStr">
        <is>
          <t>+/-</t>
        </is>
      </c>
      <c r="E71" s="250" t="n">
        <v>0</v>
      </c>
      <c r="F71" s="250" t="n"/>
      <c r="G71" s="250" t="n">
        <v>0</v>
      </c>
      <c r="H71" s="175">
        <f>IFERROR(F71-G71, "N/A")</f>
        <v/>
      </c>
      <c r="I71" s="260">
        <f>IFERROR(('[1]CFS (ind)'!$F71-'[1]CFS (ind)'!$G71)/ABS('[1]CFS (ind)'!$G71),"N/A")</f>
        <v/>
      </c>
      <c r="J71" s="175">
        <f>IFERROR(F71-E71, "N/A")</f>
        <v/>
      </c>
      <c r="K71" s="260">
        <f>IFERROR(('[1]CFS (ind)'!$F71-'[1]CFS (ind)'!$E71)/ABS('[1]CFS (ind)'!$E71),"N/A")</f>
        <v/>
      </c>
      <c r="L71" s="250" t="n">
        <v>0</v>
      </c>
      <c r="M71" s="250" t="n"/>
      <c r="N71" s="250" t="n">
        <v>0</v>
      </c>
      <c r="O71" s="175">
        <f>IFERROR(M71-N71, "N/A")</f>
        <v/>
      </c>
      <c r="P71" s="253">
        <f>IFERROR((M71-N71)/ABS(N71),"N/A")</f>
        <v/>
      </c>
      <c r="Q71" s="175">
        <f>IFERROR(M71-L71, "N/A")</f>
        <v/>
      </c>
      <c r="R71" s="253">
        <f>IFERROR((M71-L71)/ABS(L71),"N/A")</f>
        <v/>
      </c>
    </row>
    <row r="72">
      <c r="A72" s="239" t="inlineStr">
        <is>
          <t>CF06</t>
        </is>
      </c>
      <c r="B72" s="150" t="inlineStr">
        <is>
          <t>Net foreign exchange translation differences</t>
        </is>
      </c>
      <c r="C72" s="150" t="n"/>
      <c r="D72" s="240" t="inlineStr">
        <is>
          <t>+/-</t>
        </is>
      </c>
      <c r="E72" s="250" t="n">
        <v>0</v>
      </c>
      <c r="F72" s="250" t="n">
        <v>23.58329532591233</v>
      </c>
      <c r="G72" s="250" t="n">
        <v>0</v>
      </c>
      <c r="H72" s="175">
        <f>IFERROR(F72-G72, "N/A")</f>
        <v/>
      </c>
      <c r="I72" s="260">
        <f>IFERROR(('[1]CFS (ind)'!$F72-'[1]CFS (ind)'!$G72)/ABS('[1]CFS (ind)'!$G72),"N/A")</f>
        <v/>
      </c>
      <c r="J72" s="175">
        <f>IFERROR(F72-E72, "N/A")</f>
        <v/>
      </c>
      <c r="K72" s="260">
        <f>IFERROR(('[1]CFS (ind)'!$F72-'[1]CFS (ind)'!$E72)/ABS('[1]CFS (ind)'!$E72),"N/A")</f>
        <v/>
      </c>
      <c r="L72" s="250" t="n">
        <v>0</v>
      </c>
      <c r="M72" s="250" t="n">
        <v>55.62565683702269</v>
      </c>
      <c r="N72" s="250" t="n">
        <v>0</v>
      </c>
      <c r="O72" s="175">
        <f>IFERROR(M72-N72, "N/A")</f>
        <v/>
      </c>
      <c r="P72" s="253">
        <f>IFERROR((M72-N72)/ABS(N72),"N/A")</f>
        <v/>
      </c>
      <c r="Q72" s="175">
        <f>IFERROR(M72-L72, "N/A")</f>
        <v/>
      </c>
      <c r="R72" s="253">
        <f>IFERROR((M72-L72)/ABS(L72),"N/A")</f>
        <v/>
      </c>
    </row>
    <row r="73">
      <c r="A73" s="239" t="inlineStr">
        <is>
          <t>CF07</t>
        </is>
      </c>
      <c r="B73" s="150" t="inlineStr">
        <is>
          <t>Expected credit losses (ECL) for cash and cash equivalents</t>
        </is>
      </c>
      <c r="C73" s="150" t="n"/>
      <c r="D73" s="240" t="inlineStr">
        <is>
          <t>+/-</t>
        </is>
      </c>
      <c r="E73" s="250" t="n">
        <v>0</v>
      </c>
      <c r="F73" s="250" t="n"/>
      <c r="G73" s="250" t="n">
        <v>0</v>
      </c>
      <c r="H73" s="175">
        <f>IFERROR(F73-G73, "N/A")</f>
        <v/>
      </c>
      <c r="I73" s="260">
        <f>IFERROR(('[1]CFS (ind)'!$F73-'[1]CFS (ind)'!$G73)/ABS('[1]CFS (ind)'!$G73),"N/A")</f>
        <v/>
      </c>
      <c r="J73" s="175">
        <f>IFERROR(F73-E73, "N/A")</f>
        <v/>
      </c>
      <c r="K73" s="260">
        <f>IFERROR(('[1]CFS (ind)'!$F73-'[1]CFS (ind)'!$E73)/ABS('[1]CFS (ind)'!$E73),"N/A")</f>
        <v/>
      </c>
      <c r="L73" s="250" t="n">
        <v>0</v>
      </c>
      <c r="M73" s="250" t="n"/>
      <c r="N73" s="250" t="n">
        <v>0</v>
      </c>
      <c r="O73" s="175">
        <f>IFERROR(M73-N73, "N/A")</f>
        <v/>
      </c>
      <c r="P73" s="253">
        <f>IFERROR((M73-N73)/ABS(N73),"N/A")</f>
        <v/>
      </c>
      <c r="Q73" s="175">
        <f>IFERROR(M73-L73, "N/A")</f>
        <v/>
      </c>
      <c r="R73" s="253">
        <f>IFERROR((M73-L73)/ABS(L73),"N/A")</f>
        <v/>
      </c>
    </row>
    <row r="74">
      <c r="A74" s="239" t="inlineStr">
        <is>
          <t>CF08</t>
        </is>
      </c>
      <c r="B74" s="150" t="inlineStr">
        <is>
          <t>Net increase in cash and cash equivalents</t>
        </is>
      </c>
      <c r="C74" s="150" t="n"/>
      <c r="D74" s="240" t="inlineStr">
        <is>
          <t>+/-</t>
        </is>
      </c>
      <c r="E74" s="131">
        <f>E57+E33+E11+E70+E71+E72+E73</f>
        <v/>
      </c>
      <c r="F74" s="131">
        <f>F57+F33+F11+F70+F71+F72+F73</f>
        <v/>
      </c>
      <c r="G74" s="131">
        <f>G57+G33+G11+G70+G71+G72+G73</f>
        <v/>
      </c>
      <c r="H74" s="134">
        <f>IFERROR(F74-G74, "N/A")</f>
        <v/>
      </c>
      <c r="I74" s="242">
        <f>IFERROR(('[1]CFS (ind)'!$F74-'[1]CFS (ind)'!$G74)/ABS('[1]CFS (ind)'!$G74),"N/A")</f>
        <v/>
      </c>
      <c r="J74" s="134">
        <f>IFERROR(F74-E74, "N/A")</f>
        <v/>
      </c>
      <c r="K74" s="242">
        <f>IFERROR(('[1]CFS (ind)'!$F74-'[1]CFS (ind)'!$E74)/ABS('[1]CFS (ind)'!$E74),"N/A")</f>
        <v/>
      </c>
      <c r="L74" s="131">
        <f>L57+L33+L11+L70+L71+L72+L73</f>
        <v/>
      </c>
      <c r="M74" s="131">
        <f>M57+M33+M11+M70+M71+M72+M73</f>
        <v/>
      </c>
      <c r="N74" s="131">
        <f>N57+N33+N11+N70+N71+N72+N73</f>
        <v/>
      </c>
      <c r="O74" s="134">
        <f>IFERROR(M74-N74, "N/A")</f>
        <v/>
      </c>
      <c r="P74" s="242">
        <f>IFERROR((M74-N74)/ABS(N74),"N/A")</f>
        <v/>
      </c>
      <c r="Q74" s="134">
        <f>IFERROR(M74-L74, "N/A")</f>
        <v/>
      </c>
      <c r="R74" s="242">
        <f>IFERROR((M74-L74)/ABS(L74),"N/A")</f>
        <v/>
      </c>
    </row>
    <row r="75">
      <c r="A75" s="239" t="inlineStr">
        <is>
          <t>CF09</t>
        </is>
      </c>
      <c r="B75" s="150" t="inlineStr">
        <is>
          <t>Cash and cash equivalents at the beginning of the period</t>
        </is>
      </c>
      <c r="C75" s="150" t="n"/>
      <c r="D75" s="240" t="inlineStr">
        <is>
          <t>+/-</t>
        </is>
      </c>
      <c r="E75" s="250" t="n">
        <v>4513.5027694914</v>
      </c>
      <c r="F75" s="250" t="n">
        <v>2698.932529765196</v>
      </c>
      <c r="G75" s="250" t="n">
        <v>10707.05882352941</v>
      </c>
      <c r="H75" s="175">
        <f>IFERROR(F75-G75, "N/A")</f>
        <v/>
      </c>
      <c r="I75" s="260">
        <f>IFERROR(('[1]CFS (ind)'!$F75-'[1]CFS (ind)'!$G75)/ABS('[1]CFS (ind)'!$G75),"N/A")</f>
        <v/>
      </c>
      <c r="J75" s="175">
        <f>IFERROR(F75-E75, "N/A")</f>
        <v/>
      </c>
      <c r="K75" s="260">
        <f>IFERROR(('[1]CFS (ind)'!$F75-'[1]CFS (ind)'!$E75)/ABS('[1]CFS (ind)'!$E75),"N/A")</f>
        <v/>
      </c>
      <c r="L75" s="250" t="n">
        <v>8050.93883206008</v>
      </c>
      <c r="M75" s="250" t="n">
        <v>11872.98742042931</v>
      </c>
      <c r="N75" s="250" t="n">
        <v>6911.176470588235</v>
      </c>
      <c r="O75" s="175">
        <f>IFERROR(M75-N75, "N/A")</f>
        <v/>
      </c>
      <c r="P75" s="253">
        <f>IFERROR((M75-N75)/ABS(N75),"N/A")</f>
        <v/>
      </c>
      <c r="Q75" s="175">
        <f>IFERROR(M75-L75, "N/A")</f>
        <v/>
      </c>
      <c r="R75" s="253">
        <f>IFERROR((M75-L75)/ABS(L75),"N/A")</f>
        <v/>
      </c>
    </row>
    <row r="76">
      <c r="A76" s="261" t="inlineStr">
        <is>
          <t>CF10</t>
        </is>
      </c>
      <c r="B76" s="262" t="inlineStr">
        <is>
          <t>Cash and cash equivalents at the end of the period</t>
        </is>
      </c>
      <c r="C76" s="262" t="n"/>
      <c r="D76" s="263" t="inlineStr">
        <is>
          <t>+/-</t>
        </is>
      </c>
      <c r="E76" s="264">
        <f>SUM(E74,E75)</f>
        <v/>
      </c>
      <c r="F76" s="264">
        <f>SUM(F74,F75)</f>
        <v/>
      </c>
      <c r="G76" s="264">
        <f>SUM(G74,G75)</f>
        <v/>
      </c>
      <c r="H76" s="134">
        <f>IFERROR(F76-G76, "N/A")</f>
        <v/>
      </c>
      <c r="I76" s="265">
        <f>IFERROR(('[1]CFS (ind)'!$F76-'[1]CFS (ind)'!$G76)/ABS('[1]CFS (ind)'!$G76),"N/A")</f>
        <v/>
      </c>
      <c r="J76" s="134">
        <f>IFERROR(F76-E76, "N/A")</f>
        <v/>
      </c>
      <c r="K76" s="265">
        <f>IFERROR(('[1]CFS (ind)'!$F76-'[1]CFS (ind)'!$E76)/ABS('[1]CFS (ind)'!$E76),"N/A")</f>
        <v/>
      </c>
      <c r="L76" s="264">
        <f>SUM(L74,L75)</f>
        <v/>
      </c>
      <c r="M76" s="264">
        <f>SUM(M74,M75)</f>
        <v/>
      </c>
      <c r="N76" s="264">
        <f>SUM(N74,N75)</f>
        <v/>
      </c>
      <c r="O76" s="134">
        <f>IFERROR(M76-N76, "N/A")</f>
        <v/>
      </c>
      <c r="P76" s="242">
        <f>IFERROR((M76-N76)/ABS(N76),"N/A")</f>
        <v/>
      </c>
      <c r="Q76" s="134">
        <f>IFERROR(M76-L76, "N/A")</f>
        <v/>
      </c>
      <c r="R76" s="242">
        <f>IFERROR((M76-L76)/ABS(L76),"N/A")</f>
        <v/>
      </c>
    </row>
    <row r="77">
      <c r="I77" s="266" t="n"/>
    </row>
  </sheetData>
  <mergeCells count="18">
    <mergeCell ref="O7:P7"/>
    <mergeCell ref="M7:M8"/>
    <mergeCell ref="Q7:R7"/>
    <mergeCell ref="E9:K9"/>
    <mergeCell ref="H7:I7"/>
    <mergeCell ref="L9:R9"/>
    <mergeCell ref="J7:K7"/>
    <mergeCell ref="C7:C8"/>
    <mergeCell ref="A7:A8"/>
    <mergeCell ref="B7:B8"/>
    <mergeCell ref="E6:K6"/>
    <mergeCell ref="D7:D8"/>
    <mergeCell ref="E7:E8"/>
    <mergeCell ref="F7:F8"/>
    <mergeCell ref="L6:R6"/>
    <mergeCell ref="G7:G8"/>
    <mergeCell ref="N7:N8"/>
    <mergeCell ref="L7:L8"/>
  </mergeCells>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U138"/>
  <sheetViews>
    <sheetView topLeftCell="C1" workbookViewId="0">
      <selection activeCell="A1" sqref="A1:XFD1048576"/>
    </sheetView>
  </sheetViews>
  <sheetFormatPr baseColWidth="8" defaultColWidth="8.5703125" defaultRowHeight="15" outlineLevelRow="1"/>
  <cols>
    <col hidden="1" width="8" customWidth="1" style="268" min="1" max="1"/>
    <col hidden="1" width="16.42578125" customWidth="1" style="273" min="2" max="2"/>
    <col width="33.5703125" customWidth="1" style="273" min="3" max="3"/>
    <col width="31.42578125" customWidth="1" style="273" min="4" max="4"/>
    <col width="21.5703125" customWidth="1" style="345" min="5" max="5"/>
    <col width="10.5703125" customWidth="1" style="345" min="6" max="6"/>
    <col outlineLevel="1" width="29.5703125" customWidth="1" style="283" min="7" max="9"/>
    <col outlineLevel="1" width="34.42578125" customWidth="1" style="283" min="10" max="10"/>
    <col outlineLevel="1" width="34.42578125" customWidth="1" style="346" min="11" max="11"/>
    <col outlineLevel="1" width="34.42578125" customWidth="1" style="350" min="12" max="12"/>
    <col outlineLevel="1" width="34.42578125" customWidth="1" style="273" min="13" max="13"/>
    <col outlineLevel="1" width="26.5703125" customWidth="1" style="268" min="14" max="15"/>
    <col outlineLevel="1" width="26.42578125" customWidth="1" style="268" min="16" max="16"/>
    <col outlineLevel="1" width="34.42578125" customWidth="1" style="268" min="17" max="20"/>
    <col width="8.5703125" customWidth="1" style="268" min="21" max="16384"/>
  </cols>
  <sheetData>
    <row r="1">
      <c r="B1" s="268" t="n"/>
      <c r="C1" s="268" t="n"/>
      <c r="D1" s="268" t="n"/>
      <c r="E1" s="269" t="n"/>
      <c r="F1" s="269" t="n"/>
      <c r="G1" s="270" t="n"/>
      <c r="H1" s="270" t="n"/>
      <c r="I1" s="270" t="n"/>
      <c r="J1" s="270" t="n"/>
      <c r="K1" s="271" t="n"/>
      <c r="L1" s="272" t="n"/>
      <c r="M1" s="268" t="n"/>
    </row>
    <row r="2" ht="18" customHeight="1">
      <c r="B2" s="268" t="n"/>
      <c r="D2" s="275" t="n"/>
      <c r="E2" s="269" t="n"/>
      <c r="F2" s="269" t="n"/>
      <c r="G2" s="270" t="n"/>
      <c r="H2" s="270" t="n"/>
      <c r="I2" s="275" t="n"/>
      <c r="J2" s="275" t="n"/>
      <c r="K2" s="271" t="n"/>
      <c r="L2" s="272" t="n"/>
      <c r="M2" s="268" t="n"/>
    </row>
    <row r="3">
      <c r="B3" s="268" t="n"/>
      <c r="C3" s="268" t="n"/>
      <c r="D3" s="269" t="n"/>
      <c r="E3" s="269" t="n"/>
      <c r="F3" s="269" t="n"/>
      <c r="G3" s="270" t="n"/>
      <c r="H3" s="270" t="n"/>
      <c r="I3" s="270" t="n"/>
      <c r="J3" s="270" t="n"/>
      <c r="K3" s="271" t="n"/>
      <c r="L3" s="272" t="n"/>
      <c r="M3" s="268" t="n"/>
    </row>
    <row r="4" ht="15" customHeight="1">
      <c r="B4" s="268" t="n"/>
      <c r="C4" s="268" t="n"/>
      <c r="D4" s="269" t="n"/>
      <c r="E4" s="269" t="n"/>
      <c r="F4" s="269" t="n"/>
      <c r="G4" s="270" t="n"/>
      <c r="H4" s="270" t="n"/>
      <c r="I4" s="270" t="n"/>
      <c r="J4" s="270" t="n"/>
      <c r="K4" s="271" t="n"/>
      <c r="L4" s="272" t="n"/>
      <c r="M4" s="268" t="n"/>
    </row>
    <row r="5">
      <c r="B5" s="268" t="n"/>
      <c r="C5" s="268" t="n"/>
      <c r="D5" s="269" t="n"/>
      <c r="E5" s="269" t="n"/>
      <c r="F5" s="269" t="n"/>
      <c r="G5" s="270" t="n"/>
      <c r="H5" s="270" t="n"/>
      <c r="I5" s="270" t="n"/>
      <c r="J5" s="270" t="n"/>
      <c r="K5" s="271" t="n"/>
      <c r="L5" s="272" t="n"/>
      <c r="M5" s="268" t="n"/>
    </row>
    <row r="6" ht="21" customHeight="1">
      <c r="B6" s="276" t="n"/>
      <c r="C6" s="268" t="n"/>
      <c r="D6" s="277" t="n"/>
      <c r="E6" s="268" t="n"/>
      <c r="F6" s="268" t="n"/>
      <c r="G6" s="270" t="n"/>
      <c r="H6" s="270" t="n"/>
      <c r="I6" s="270" t="n"/>
      <c r="J6" s="270" t="n"/>
      <c r="K6" s="271" t="n"/>
      <c r="L6" s="272" t="n"/>
      <c r="M6" s="268" t="n"/>
    </row>
    <row r="7">
      <c r="B7" s="276" t="n"/>
      <c r="C7" s="268" t="n"/>
      <c r="D7" s="278" t="n"/>
      <c r="E7" s="268" t="n"/>
      <c r="F7" s="268" t="n"/>
      <c r="G7" s="270" t="n"/>
      <c r="H7" s="270" t="n"/>
      <c r="I7" s="270" t="n"/>
      <c r="J7" s="270" t="n"/>
      <c r="K7" s="271" t="n"/>
      <c r="L7" s="272" t="n"/>
      <c r="M7" s="268" t="n"/>
    </row>
    <row r="8" ht="20.1" customHeight="1">
      <c r="B8" s="276" t="n"/>
      <c r="C8" s="268" t="n"/>
      <c r="D8" s="268" t="n"/>
      <c r="E8" s="269" t="n"/>
      <c r="F8" s="269" t="n"/>
      <c r="G8" s="270" t="n"/>
      <c r="H8" s="270" t="n"/>
      <c r="I8" s="285" t="n"/>
      <c r="J8" s="285" t="n"/>
      <c r="K8" s="271" t="n"/>
      <c r="L8" s="272" t="n"/>
      <c r="M8" s="268" t="n"/>
    </row>
    <row r="9" ht="15.75" customHeight="1">
      <c r="B9" s="280" t="n"/>
      <c r="C9" s="281" t="inlineStr">
        <is>
          <t>Entity Name</t>
        </is>
      </c>
      <c r="D9" s="743">
        <f>IF([1]Segment_map!D4=0,"THE COMPANY HAS NOT BEEN PICKED",[1]Segment_map!D4)</f>
        <v/>
      </c>
      <c r="E9" s="862" t="n"/>
      <c r="F9" s="282" t="n"/>
      <c r="H9" s="284" t="n"/>
      <c r="I9" s="285" t="n"/>
      <c r="J9" s="285" t="n"/>
      <c r="K9" s="271" t="n"/>
      <c r="L9" s="271" t="n"/>
      <c r="M9" s="271" t="n"/>
      <c r="N9" s="271" t="n"/>
      <c r="O9" s="271" t="n"/>
      <c r="P9" s="271" t="n"/>
      <c r="Q9" s="271" t="n"/>
      <c r="R9" s="271" t="n"/>
      <c r="S9" s="271" t="n"/>
      <c r="T9" s="271" t="n"/>
      <c r="U9" s="271" t="n"/>
    </row>
    <row r="10" ht="15.75" customHeight="1">
      <c r="B10" s="286" t="n"/>
      <c r="C10" s="287" t="inlineStr">
        <is>
          <t>Currency</t>
        </is>
      </c>
      <c r="D10" s="744">
        <f>IF([1]Segment_map!J4="","CURRENCY HAS NOT BEEN PICKED",[1]Segment_map!J4)</f>
        <v/>
      </c>
      <c r="E10" s="872" t="n"/>
      <c r="F10" s="282" t="n"/>
      <c r="G10" s="745">
        <f>'[1]P&amp;L'!E6</f>
        <v/>
      </c>
      <c r="H10" s="865" t="n"/>
      <c r="I10" s="865" t="n"/>
      <c r="J10" s="865" t="n"/>
      <c r="K10" s="865" t="n"/>
      <c r="L10" s="865" t="n"/>
      <c r="M10" s="865" t="n"/>
      <c r="N10" s="724">
        <f>'[1]P&amp;L'!P6</f>
        <v/>
      </c>
      <c r="O10" s="865" t="n"/>
      <c r="P10" s="865" t="n"/>
      <c r="Q10" s="865" t="n"/>
      <c r="R10" s="865" t="n"/>
      <c r="S10" s="865" t="n"/>
      <c r="T10" s="865" t="n"/>
      <c r="U10" s="271" t="n"/>
    </row>
    <row r="11" ht="35.1" customFormat="1" customHeight="1" s="271">
      <c r="B11" s="746" t="inlineStr">
        <is>
          <t>Code</t>
        </is>
      </c>
      <c r="C11" s="746" t="inlineStr">
        <is>
          <t>Line item</t>
        </is>
      </c>
      <c r="D11" s="746" t="inlineStr">
        <is>
          <t>Sətir elementi</t>
        </is>
      </c>
      <c r="E11" s="747" t="inlineStr">
        <is>
          <t>Units of measurement</t>
        </is>
      </c>
      <c r="F11" s="873" t="inlineStr">
        <is>
          <t>+/-</t>
        </is>
      </c>
      <c r="G11" s="742" t="inlineStr">
        <is>
          <t>Same period of the previous year actual</t>
        </is>
      </c>
      <c r="H11" s="742" t="inlineStr">
        <is>
          <t>Current period actual</t>
        </is>
      </c>
      <c r="I11" s="742" t="inlineStr">
        <is>
          <t>Current period plan</t>
        </is>
      </c>
      <c r="J11" s="742" t="inlineStr">
        <is>
          <t>Deviations actual to plan of current period</t>
        </is>
      </c>
      <c r="K11" s="862" t="n"/>
      <c r="L11" s="742" t="inlineStr">
        <is>
          <t>Deviations of current from previous period</t>
        </is>
      </c>
      <c r="M11" s="862" t="n"/>
      <c r="N11" s="738" t="inlineStr">
        <is>
          <t>Same period of the previous year actual</t>
        </is>
      </c>
      <c r="O11" s="738" t="inlineStr">
        <is>
          <t>Current period actual</t>
        </is>
      </c>
      <c r="P11" s="738" t="inlineStr">
        <is>
          <t>Current period plan</t>
        </is>
      </c>
      <c r="Q11" s="738" t="inlineStr">
        <is>
          <t>Deviations actual to plan of current period</t>
        </is>
      </c>
      <c r="R11" s="862" t="n"/>
      <c r="S11" s="738" t="inlineStr">
        <is>
          <t>Deviations of current from previous period</t>
        </is>
      </c>
      <c r="T11" s="862" t="n"/>
    </row>
    <row r="12" ht="78.75" customHeight="1">
      <c r="B12" s="874" t="n"/>
      <c r="C12" s="874" t="n"/>
      <c r="D12" s="874" t="n"/>
      <c r="E12" s="874" t="n"/>
      <c r="F12" s="875" t="n"/>
      <c r="G12" s="864" t="n"/>
      <c r="H12" s="864" t="n"/>
      <c r="I12" s="864" t="n"/>
      <c r="J12" s="742" t="inlineStr">
        <is>
          <t>Deviation from current period plan in absolute</t>
        </is>
      </c>
      <c r="K12" s="289" t="n"/>
      <c r="L12" s="715" t="inlineStr">
        <is>
          <t>Deviation from same period of the previous year actual in absolute</t>
        </is>
      </c>
      <c r="M12" s="291" t="inlineStr">
        <is>
          <t>Deviation from same period of the previous year actual %</t>
        </is>
      </c>
      <c r="N12" s="864" t="n"/>
      <c r="O12" s="864" t="n"/>
      <c r="P12" s="864" t="n"/>
      <c r="Q12" s="292" t="inlineStr">
        <is>
          <t>Deviation from current period plan in absolute</t>
        </is>
      </c>
      <c r="R12" s="292" t="n"/>
      <c r="S12" s="293" t="inlineStr">
        <is>
          <t>Deviation from same period of the previous year actual in absolute</t>
        </is>
      </c>
      <c r="T12" s="293" t="inlineStr">
        <is>
          <t>Deviation from same period of the previous year actual %</t>
        </is>
      </c>
    </row>
    <row r="13" ht="20.1" customHeight="1">
      <c r="B13" s="746" t="n"/>
      <c r="C13" s="746" t="n"/>
      <c r="D13" s="746" t="n"/>
      <c r="E13" s="746" t="n"/>
      <c r="F13" s="746" t="n"/>
      <c r="G13" s="739">
        <f>'[1]P&amp;L'!E9</f>
        <v/>
      </c>
      <c r="H13" s="861" t="n"/>
      <c r="I13" s="861" t="n"/>
      <c r="J13" s="861" t="n"/>
      <c r="K13" s="861" t="n"/>
      <c r="L13" s="861" t="n"/>
      <c r="M13" s="862" t="n"/>
      <c r="N13" s="740">
        <f>'[1]P&amp;L'!P9</f>
        <v/>
      </c>
      <c r="O13" s="861" t="n"/>
      <c r="P13" s="861" t="n"/>
      <c r="Q13" s="861" t="n"/>
      <c r="R13" s="861" t="n"/>
      <c r="S13" s="861" t="n"/>
      <c r="T13" s="861" t="n"/>
      <c r="U13" s="268" t="inlineStr">
        <is>
          <t>Cumulative from the beginning of the year</t>
        </is>
      </c>
    </row>
    <row r="14">
      <c r="B14" s="295" t="n">
        <v>1</v>
      </c>
      <c r="C14" s="295" t="n">
        <v>2</v>
      </c>
      <c r="D14" s="295" t="n">
        <v>3</v>
      </c>
      <c r="E14" s="295" t="n">
        <v>4</v>
      </c>
      <c r="F14" s="296">
        <f>E14+1</f>
        <v/>
      </c>
      <c r="G14" s="297">
        <f>F14+1</f>
        <v/>
      </c>
      <c r="H14" s="297">
        <f>G14+1</f>
        <v/>
      </c>
      <c r="I14" s="297">
        <f>H14+1</f>
        <v/>
      </c>
      <c r="J14" s="297">
        <f>I14+1</f>
        <v/>
      </c>
      <c r="K14" s="297">
        <f>J14+1</f>
        <v/>
      </c>
      <c r="L14" s="297">
        <f>K14+1</f>
        <v/>
      </c>
      <c r="M14" s="297">
        <f>L14+1</f>
        <v/>
      </c>
      <c r="N14" s="297">
        <f>M14+1</f>
        <v/>
      </c>
      <c r="O14" s="297">
        <f>N14+1</f>
        <v/>
      </c>
      <c r="P14" s="297">
        <f>O14+1</f>
        <v/>
      </c>
      <c r="Q14" s="297">
        <f>P14+1</f>
        <v/>
      </c>
      <c r="R14" s="297">
        <f>Q14+1</f>
        <v/>
      </c>
      <c r="S14" s="297">
        <f>R14+1</f>
        <v/>
      </c>
      <c r="T14" s="297">
        <f>S14+1</f>
        <v/>
      </c>
    </row>
    <row r="15" ht="25.5" customHeight="1">
      <c r="B15" s="298" t="n">
        <v>1</v>
      </c>
      <c r="C15" s="298" t="inlineStr">
        <is>
          <t>Services revenue</t>
        </is>
      </c>
      <c r="D15" s="298" t="n"/>
      <c r="E15" s="299">
        <f>"thsd</f>
        <v/>
      </c>
      <c r="F15" s="300" t="inlineStr">
        <is>
          <t>+</t>
        </is>
      </c>
      <c r="G15" s="301">
        <f>IF(AND(G17="N/A",G23="N/A",G35="N/A",G49="N/A",G59="N/A",G65="N/A",G77="N/A",G85="N/A",G97="N/A",G103="N/A"),"N/A",SUM(G17,G23,G35,G49,G59,G65,G77,G85,G97,G103))</f>
        <v/>
      </c>
      <c r="H15" s="301">
        <f>IF(AND(H17="N/A",H23="N/A",H35="N/A",H49="N/A",H59="N/A",H65="N/A",H77="N/A",H85="N/A",H97="N/A",H103="N/A"),"N/A",SUM(H17,H23,H35,H49,H59,H65,H77,H85,H97,H103))</f>
        <v/>
      </c>
      <c r="I15" s="301">
        <f>IF(AND(I17="N/A",I23="N/A",I35="N/A",I49="N/A",I59="N/A",I65="N/A",I77="N/A",I85="N/A",I97="N/A",I103="N/A"),"N/A",SUM(I17,I23,I35,I49,I59,I65,I77,I85,I97,I103))</f>
        <v/>
      </c>
      <c r="J15" s="876">
        <f>IFERROR(H15-I15,"N/A")</f>
        <v/>
      </c>
      <c r="K15" s="303">
        <f>IFERROR((H15-I15)/ABS(I15),"N/A")</f>
        <v/>
      </c>
      <c r="L15" s="877">
        <f>IFERROR(H15-G15,"N/A")</f>
        <v/>
      </c>
      <c r="M15" s="303">
        <f>IFERROR((H15-G15)/ABS(G15),"N/A")</f>
        <v/>
      </c>
      <c r="N15" s="305">
        <f>IF(AND(N17="N/A",N23="N/A",N35="N/A",N49="N/A",N59="N/A",N65="N/A",N77="N/A",N85="N/A",N97="N/A",N103="N/A"),"N/A",SUM(N17,N23,N35,N49,N59,N65,N77,N85,N97,N103))</f>
        <v/>
      </c>
      <c r="O15" s="305">
        <f>IF(AND(O17="N/A",O23="N/A",O35="N/A",O49="N/A",O59="N/A",O65="N/A",O77="N/A",O85="N/A",O97="N/A",O103="N/A"),"N/A",SUM(O17,O23,O35,O49,O59,O65,O77,O85,O97,O103))</f>
        <v/>
      </c>
      <c r="P15" s="305">
        <f>IF(AND(P17="N/A",P23="N/A",P35="N/A",P49="N/A",P59="N/A",P65="N/A",P77="N/A",P85="N/A",P97="N/A",P103="N/A"),"N/A",SUM(P17,P23,P35,P49,P59,P65,P77,P85,P97,P103))</f>
        <v/>
      </c>
      <c r="Q15" s="877">
        <f>IFERROR(O15-P15,"N/A")</f>
        <v/>
      </c>
      <c r="R15" s="303">
        <f>IFERROR((O15-P15)/ABS(P15),"N/A")</f>
        <v/>
      </c>
      <c r="S15" s="877">
        <f>IFERROR(O15-N15,"N/A")</f>
        <v/>
      </c>
      <c r="T15" s="303">
        <f>IFERROR((O15-N15)/ABS(N15),"N/A")</f>
        <v/>
      </c>
    </row>
    <row r="16" ht="25.5" customHeight="1">
      <c r="B16" s="325" t="n"/>
      <c r="C16" s="325" t="inlineStr">
        <is>
          <t>COGS</t>
        </is>
      </c>
      <c r="D16" s="325" t="n"/>
      <c r="E16" s="307">
        <f>"thsd</f>
        <v/>
      </c>
      <c r="F16" s="307" t="inlineStr">
        <is>
          <t>+</t>
        </is>
      </c>
      <c r="G16" s="308">
        <f>IF(AND(G18="N/A",G24="N/A",G36="N/A",G50="N/A",G60="N/A",G66="N/A",G78="N/A",G86="N/A",G98="N/A",G104="N/A"),"N/A",SUM(G18,G24,G36,G50,G60,G66,G78,G86,G98,G104))</f>
        <v/>
      </c>
      <c r="H16" s="308">
        <f>IF(AND(H18="N/A",H24="N/A",H36="N/A",H50="N/A",H60="N/A",H66="N/A",H78="N/A",H86="N/A",H98="N/A",H104="N/A"),"N/A",SUM(H18,H24,H36,H50,H60,H66,H78,H86,H98,H104))</f>
        <v/>
      </c>
      <c r="I16" s="308">
        <f>IF(AND(I18="N/A",I24="N/A",I36="N/A",I50="N/A",I60="N/A",I66="N/A",I78="N/A",I86="N/A",I98="N/A",I104="N/A"),"N/A",SUM(I18,I24,I36,I50,I60,I66,I78,I86,I98,I104))</f>
        <v/>
      </c>
      <c r="J16" s="878">
        <f>IFERROR(H16-I16,"N/A")</f>
        <v/>
      </c>
      <c r="K16" s="310">
        <f>IFERROR((H16-I16)/ABS(I16),"N/A")</f>
        <v/>
      </c>
      <c r="L16" s="879">
        <f>IFERROR(H16-G16,"N/A")</f>
        <v/>
      </c>
      <c r="M16" s="310">
        <f>IFERROR((H16-G16)/ABS(G16),"N/A")</f>
        <v/>
      </c>
      <c r="N16" s="312">
        <f>IF(AND(N18="N/A",N24="N/A",N36="N/A",N50="N/A",N60="N/A",N66="N/A",N78="N/A",N86="N/A",N98="N/A",N104="N/A"),"N/A",SUM(N18,N24,N36,N50,N60,N66,N78,N86,N98,N104))</f>
        <v/>
      </c>
      <c r="O16" s="312">
        <f>IF(AND(O18="N/A",O24="N/A",O36="N/A",O50="N/A",O60="N/A",O66="N/A",O78="N/A",O86="N/A",O98="N/A",O104="N/A"),"N/A",SUM(O18,O24,O36,O50,O60,O66,O78,O86,O98,O104))</f>
        <v/>
      </c>
      <c r="P16" s="312">
        <f>IF(AND(P18="N/A",P24="N/A",P36="N/A",P50="N/A",P60="N/A",P66="N/A",P78="N/A",P86="N/A",P98="N/A",P104="N/A"),"N/A",SUM(P18,P24,P36,P50,P60,P66,P78,P86,P98,P104))</f>
        <v/>
      </c>
      <c r="Q16" s="879">
        <f>IFERROR(O16-P16,"N/A")</f>
        <v/>
      </c>
      <c r="R16" s="310">
        <f>IFERROR((O16-P16)/ABS(P16),"N/A")</f>
        <v/>
      </c>
      <c r="S16" s="879">
        <f>IFERROR(O16-N16,"N/A")</f>
        <v/>
      </c>
      <c r="T16" s="310">
        <f>IFERROR((O16-N16)/ABS(N16),"N/A")</f>
        <v/>
      </c>
    </row>
    <row r="17">
      <c r="B17" s="313" t="n"/>
      <c r="C17" s="314" t="inlineStr">
        <is>
          <t>Service for upstream segment</t>
        </is>
      </c>
      <c r="D17" s="314" t="n"/>
      <c r="E17" s="300">
        <f>"thsd</f>
        <v/>
      </c>
      <c r="F17" s="300" t="inlineStr">
        <is>
          <t>+</t>
        </is>
      </c>
      <c r="G17" s="315">
        <f>IF(AND(G19="N/A",G21="N/A"),"N/A",SUM(G19,G21))</f>
        <v/>
      </c>
      <c r="H17" s="315">
        <f>IF(AND(H19="N/A",H21="N/A"),"N/A",SUM(H19,H21))</f>
        <v/>
      </c>
      <c r="I17" s="315">
        <f>IF(AND(I19="N/A",I21="N/A"),"N/A",SUM(I19,I21))</f>
        <v/>
      </c>
      <c r="J17" s="880">
        <f>IFERROR(H17-I17,"N/A")</f>
        <v/>
      </c>
      <c r="K17" s="317">
        <f>IFERROR((H17-I17)/ABS(I17),"N/A")</f>
        <v/>
      </c>
      <c r="L17" s="881">
        <f>IFERROR(H17-G17,"N/A")</f>
        <v/>
      </c>
      <c r="M17" s="317">
        <f>IFERROR((H17-G17)/ABS(G17),"N/A")</f>
        <v/>
      </c>
      <c r="N17" s="319">
        <f>IF(AND(N19="N/A",N21="N/A"),"N/A",SUM(N19,N21))</f>
        <v/>
      </c>
      <c r="O17" s="319">
        <f>IF(AND(O19="N/A",O21="N/A"),"N/A",SUM(O19,O21))</f>
        <v/>
      </c>
      <c r="P17" s="319">
        <f>IF(AND(P19="N/A",P21="N/A"),"N/A",SUM(P19,P21))</f>
        <v/>
      </c>
      <c r="Q17" s="881">
        <f>IFERROR(O17-P17,"N/A")</f>
        <v/>
      </c>
      <c r="R17" s="317">
        <f>IFERROR((O17-P17)/ABS(P17),"N/A")</f>
        <v/>
      </c>
      <c r="S17" s="881">
        <f>IFERROR(O17-N17,"N/A")</f>
        <v/>
      </c>
      <c r="T17" s="317">
        <f>IFERROR((O17-N17)/ABS(N17),"N/A")</f>
        <v/>
      </c>
    </row>
    <row r="18" outlineLevel="1" ht="25.5" customHeight="1">
      <c r="B18" s="325" t="n"/>
      <c r="C18" s="325" t="inlineStr">
        <is>
          <t>COGS</t>
        </is>
      </c>
      <c r="D18" s="325" t="n"/>
      <c r="E18" s="320">
        <f>"thsd</f>
        <v/>
      </c>
      <c r="F18" s="307" t="inlineStr">
        <is>
          <t>+</t>
        </is>
      </c>
      <c r="G18" s="321">
        <f>IF(AND(G20="N/A",G22="N/A"),"N/A",SUM(G20,G22))</f>
        <v/>
      </c>
      <c r="H18" s="321">
        <f>IF(AND(H20="N/A",H22="N/A"),"N/A",SUM(H20,H22))</f>
        <v/>
      </c>
      <c r="I18" s="321">
        <f>IF(AND(I20="N/A",I22="N/A"),"N/A",SUM(I20,I22))</f>
        <v/>
      </c>
      <c r="J18" s="878">
        <f>IFERROR(H18-I18,"N/A")</f>
        <v/>
      </c>
      <c r="K18" s="310">
        <f>IFERROR((H18-I18)/ABS(I18),"N/A")</f>
        <v/>
      </c>
      <c r="L18" s="879">
        <f>IFERROR(H18-G18,"N/A")</f>
        <v/>
      </c>
      <c r="M18" s="310">
        <f>IFERROR((H18-G18)/ABS(G18),"N/A")</f>
        <v/>
      </c>
      <c r="N18" s="312">
        <f>IF(AND(N20="N/A",N22="N/A"),"N/A",SUM(N20,N22))</f>
        <v/>
      </c>
      <c r="O18" s="312">
        <f>IF(AND(O20="N/A",O22="N/A"),"N/A",SUM(O20,O22))</f>
        <v/>
      </c>
      <c r="P18" s="312">
        <f>IF(AND(P20="N/A",P22="N/A"),"N/A",SUM(P20,P22))</f>
        <v/>
      </c>
      <c r="Q18" s="879">
        <f>IFERROR(O18-P18,"N/A")</f>
        <v/>
      </c>
      <c r="R18" s="310">
        <f>IFERROR((O18-P18)/ABS(P18),"N/A")</f>
        <v/>
      </c>
      <c r="S18" s="879">
        <f>IFERROR(O18-N18,"N/A")</f>
        <v/>
      </c>
      <c r="T18" s="310">
        <f>IFERROR((O18-N18)/ABS(N18),"N/A")</f>
        <v/>
      </c>
    </row>
    <row r="19" outlineLevel="1" ht="25.5" customHeight="1">
      <c r="B19" s="313" t="n"/>
      <c r="C19" s="322" t="inlineStr">
        <is>
          <t>Geological and geophysical services</t>
        </is>
      </c>
      <c r="D19" s="322" t="n"/>
      <c r="E19" s="300">
        <f>"thsd</f>
        <v/>
      </c>
      <c r="F19" s="300" t="inlineStr">
        <is>
          <t>+</t>
        </is>
      </c>
      <c r="G19" s="323" t="n"/>
      <c r="H19" s="323" t="n"/>
      <c r="I19" s="323" t="n"/>
      <c r="J19" s="880">
        <f>IFERROR(H19-I19,"N/A")</f>
        <v/>
      </c>
      <c r="K19" s="317">
        <f>IFERROR((H19-I19)/ABS(I19),"N/A")</f>
        <v/>
      </c>
      <c r="L19" s="881">
        <f>IFERROR(H19-G19,"N/A")</f>
        <v/>
      </c>
      <c r="M19" s="317">
        <f>IFERROR((H19-G19)/ABS(G19),"N/A")</f>
        <v/>
      </c>
      <c r="N19" s="61" t="n"/>
      <c r="O19" s="61" t="n"/>
      <c r="P19" s="61" t="n"/>
      <c r="Q19" s="881">
        <f>IFERROR(O19-P19,"N/A")</f>
        <v/>
      </c>
      <c r="R19" s="317">
        <f>IFERROR((O19-P19)/ABS(P19),"N/A")</f>
        <v/>
      </c>
      <c r="S19" s="881">
        <f>IFERROR(O19-N19,"N/A")</f>
        <v/>
      </c>
      <c r="T19" s="317">
        <f>IFERROR((O19-N19)/ABS(N19),"N/A")</f>
        <v/>
      </c>
    </row>
    <row r="20" outlineLevel="1" ht="25.5" customHeight="1">
      <c r="B20" s="325" t="n"/>
      <c r="C20" s="339" t="inlineStr">
        <is>
          <t>COGs</t>
        </is>
      </c>
      <c r="D20" s="339" t="n"/>
      <c r="E20" s="320">
        <f>"thsd</f>
        <v/>
      </c>
      <c r="F20" s="307" t="inlineStr">
        <is>
          <t>+</t>
        </is>
      </c>
      <c r="G20" s="323" t="n"/>
      <c r="H20" s="323" t="n"/>
      <c r="I20" s="323" t="n"/>
      <c r="J20" s="878">
        <f>IFERROR(H20-I20,"N/A")</f>
        <v/>
      </c>
      <c r="K20" s="310">
        <f>IFERROR((H20-I20)/ABS(I20),"N/A")</f>
        <v/>
      </c>
      <c r="L20" s="879">
        <f>IFERROR(H20-G20,"N/A")</f>
        <v/>
      </c>
      <c r="M20" s="310">
        <f>IFERROR((H20-G20)/ABS(G20),"N/A")</f>
        <v/>
      </c>
      <c r="N20" s="61" t="n"/>
      <c r="O20" s="61" t="n"/>
      <c r="P20" s="61" t="n"/>
      <c r="Q20" s="879">
        <f>IFERROR(O20-P20,"N/A")</f>
        <v/>
      </c>
      <c r="R20" s="310">
        <f>IFERROR((O20-P20)/ABS(P20),"N/A")</f>
        <v/>
      </c>
      <c r="S20" s="879">
        <f>IFERROR(O20-N20,"N/A")</f>
        <v/>
      </c>
      <c r="T20" s="310">
        <f>IFERROR((O20-N20)/ABS(N20),"N/A")</f>
        <v/>
      </c>
    </row>
    <row r="21" outlineLevel="1" ht="25.5" customHeight="1">
      <c r="B21" s="313" t="n"/>
      <c r="C21" s="322" t="inlineStr">
        <is>
          <t>Other (service for upstream management)</t>
        </is>
      </c>
      <c r="D21" s="322" t="n"/>
      <c r="E21" s="300">
        <f>"thsd</f>
        <v/>
      </c>
      <c r="F21" s="300" t="inlineStr">
        <is>
          <t>+</t>
        </is>
      </c>
      <c r="G21" s="323" t="n"/>
      <c r="H21" s="323" t="n"/>
      <c r="I21" s="323" t="n"/>
      <c r="J21" s="880">
        <f>IFERROR(H21-I21,"N/A")</f>
        <v/>
      </c>
      <c r="K21" s="317">
        <f>IFERROR((H21-I21)/ABS(I21),"N/A")</f>
        <v/>
      </c>
      <c r="L21" s="881">
        <f>IFERROR(H21-G21,"N/A")</f>
        <v/>
      </c>
      <c r="M21" s="317">
        <f>IFERROR((H21-G21)/ABS(G21),"N/A")</f>
        <v/>
      </c>
      <c r="N21" s="61" t="n"/>
      <c r="O21" s="61" t="n"/>
      <c r="P21" s="61" t="n"/>
      <c r="Q21" s="881">
        <f>IFERROR(O21-P21,"N/A")</f>
        <v/>
      </c>
      <c r="R21" s="317">
        <f>IFERROR((O21-P21)/ABS(P21),"N/A")</f>
        <v/>
      </c>
      <c r="S21" s="881">
        <f>IFERROR(O21-N21,"N/A")</f>
        <v/>
      </c>
      <c r="T21" s="317">
        <f>IFERROR((O21-N21)/ABS(N21),"N/A")</f>
        <v/>
      </c>
    </row>
    <row r="22" outlineLevel="1" ht="25.5" customHeight="1">
      <c r="B22" s="325" t="n"/>
      <c r="C22" s="339" t="inlineStr">
        <is>
          <t>COGs</t>
        </is>
      </c>
      <c r="D22" s="339" t="n"/>
      <c r="E22" s="320">
        <f>"thsd</f>
        <v/>
      </c>
      <c r="F22" s="307" t="inlineStr">
        <is>
          <t>+</t>
        </is>
      </c>
      <c r="G22" s="323" t="n"/>
      <c r="H22" s="323" t="n"/>
      <c r="I22" s="323" t="n"/>
      <c r="J22" s="878">
        <f>IFERROR(H22-I22,"N/A")</f>
        <v/>
      </c>
      <c r="K22" s="310">
        <f>IFERROR((H22-I22)/ABS(I22),"N/A")</f>
        <v/>
      </c>
      <c r="L22" s="879">
        <f>IFERROR(H22-G22,"N/A")</f>
        <v/>
      </c>
      <c r="M22" s="310">
        <f>IFERROR((H22-G22)/ABS(G22),"N/A")</f>
        <v/>
      </c>
      <c r="N22" s="61" t="n"/>
      <c r="O22" s="61" t="n"/>
      <c r="P22" s="61" t="n"/>
      <c r="Q22" s="879">
        <f>IFERROR(O22-P22,"N/A")</f>
        <v/>
      </c>
      <c r="R22" s="310">
        <f>IFERROR((O22-P22)/ABS(P22),"N/A")</f>
        <v/>
      </c>
      <c r="S22" s="879">
        <f>IFERROR(O22-N22,"N/A")</f>
        <v/>
      </c>
      <c r="T22" s="310">
        <f>IFERROR((O22-N22)/ABS(N22),"N/A")</f>
        <v/>
      </c>
    </row>
    <row r="23" ht="23.85" customHeight="1">
      <c r="B23" s="313" t="n"/>
      <c r="C23" s="314" t="inlineStr">
        <is>
          <t>Midstream</t>
        </is>
      </c>
      <c r="D23" s="314" t="n"/>
      <c r="E23" s="300">
        <f>"thsd</f>
        <v/>
      </c>
      <c r="F23" s="300" t="inlineStr">
        <is>
          <t>+</t>
        </is>
      </c>
      <c r="G23" s="315">
        <f>IF(AND(G25="N/A",G27="N/A",G29="N/A",G31="N/A",G33="N/A"),"N/A",SUM(G25,G27,G29,G31,G33))</f>
        <v/>
      </c>
      <c r="H23" s="315">
        <f>IF(AND(H25="N/A",H27="N/A",H29="N/A",H31="N/A",H33="N/A"),"N/A",SUM(H25,H27,H29,H31,H33))</f>
        <v/>
      </c>
      <c r="I23" s="315">
        <f>IF(AND(I25="N/A",I27="N/A",I29="N/A",I31="N/A",I33="N/A"),"N/A",SUM(I25,I27,I29,I31,I33))</f>
        <v/>
      </c>
      <c r="J23" s="880">
        <f>IFERROR(H23-I23,"N/A")</f>
        <v/>
      </c>
      <c r="K23" s="317">
        <f>IFERROR((H23-I23)/ABS(I23),"N/A")</f>
        <v/>
      </c>
      <c r="L23" s="881">
        <f>IFERROR(H23-G23,"N/A")</f>
        <v/>
      </c>
      <c r="M23" s="317">
        <f>IFERROR((H23-G23)/ABS(G23),"N/A")</f>
        <v/>
      </c>
      <c r="N23" s="319">
        <f>IF(AND(N25="N/A",N27="N/A",N29="N/A",N31="N/A",N33="N/A"),"N/A",SUM(N25,N27,N29,N31,N33))</f>
        <v/>
      </c>
      <c r="O23" s="319">
        <f>IF(AND(O25="N/A",O27="N/A",O29="N/A",O31="N/A",O33="N/A"),"N/A",SUM(O25,O27,O29,O31,O33))</f>
        <v/>
      </c>
      <c r="P23" s="319">
        <f>IF(AND(P25="N/A",P27="N/A",P29="N/A",P31="N/A",P33="N/A"),"N/A",SUM(P25,P27,P29,P31,P33))</f>
        <v/>
      </c>
      <c r="Q23" s="881">
        <f>IFERROR(O23-P23,"N/A")</f>
        <v/>
      </c>
      <c r="R23" s="317">
        <f>IFERROR((O23-P23)/ABS(P23),"N/A")</f>
        <v/>
      </c>
      <c r="S23" s="881">
        <f>IFERROR(O23-N23,"N/A")</f>
        <v/>
      </c>
      <c r="T23" s="317">
        <f>IFERROR((O23-N23)/ABS(N23),"N/A")</f>
        <v/>
      </c>
    </row>
    <row r="24" outlineLevel="1" ht="25.5" customHeight="1">
      <c r="B24" s="325" t="n"/>
      <c r="C24" s="325" t="inlineStr">
        <is>
          <t>COGs</t>
        </is>
      </c>
      <c r="D24" s="325" t="n"/>
      <c r="E24" s="320">
        <f>"thsd</f>
        <v/>
      </c>
      <c r="F24" s="307" t="inlineStr">
        <is>
          <t>+</t>
        </is>
      </c>
      <c r="G24" s="321">
        <f>IF(AND(G26="N/A",G28="N/A",G30="N/A",G32="N/A",G34="N/A"),"N/A",SUM(G26,G28,G30,G32,G34))</f>
        <v/>
      </c>
      <c r="H24" s="321">
        <f>IF(AND(H26="N/A",H28="N/A",H30="N/A",H32="N/A",H34="N/A"),"N/A",SUM(H26,H28,H30,H32,H34))</f>
        <v/>
      </c>
      <c r="I24" s="321">
        <f>IF(AND(I26="N/A",I28="N/A",I30="N/A",I32="N/A",I34="N/A"),"N/A",SUM(I26,I28,I30,I32,I34))</f>
        <v/>
      </c>
      <c r="J24" s="878">
        <f>IFERROR(H24-I24,"N/A")</f>
        <v/>
      </c>
      <c r="K24" s="310">
        <f>IFERROR((H24-I24)/ABS(I24),"N/A")</f>
        <v/>
      </c>
      <c r="L24" s="879">
        <f>IFERROR(H24-G24,"N/A")</f>
        <v/>
      </c>
      <c r="M24" s="310">
        <f>IFERROR((H24-G24)/ABS(G24),"N/A")</f>
        <v/>
      </c>
      <c r="N24" s="312">
        <f>IF(AND(N26="N/A",N28="N/A",N30="N/A",N32="N/A",N34="N/A"),"N/A",SUM(N26,N28,N30,N32,N34))</f>
        <v/>
      </c>
      <c r="O24" s="312">
        <f>IF(AND(O26="N/A",O28="N/A",O30="N/A",O32="N/A",O34="N/A"),"N/A",SUM(O26,O28,O30,O32,O34))</f>
        <v/>
      </c>
      <c r="P24" s="312">
        <f>IF(AND(P26="N/A",P28="N/A",P30="N/A",P32="N/A",P34="N/A"),"N/A",SUM(P26,P28,P30,P32,P34))</f>
        <v/>
      </c>
      <c r="Q24" s="879">
        <f>IFERROR(O24-P24,"N/A")</f>
        <v/>
      </c>
      <c r="R24" s="310">
        <f>IFERROR((O24-P24)/ABS(P24),"N/A")</f>
        <v/>
      </c>
      <c r="S24" s="879">
        <f>IFERROR(O24-N24,"N/A")</f>
        <v/>
      </c>
      <c r="T24" s="310">
        <f>IFERROR((O24-N24)/ABS(N24),"N/A")</f>
        <v/>
      </c>
    </row>
    <row r="25" outlineLevel="1" ht="25.5" customHeight="1">
      <c r="B25" s="313" t="n"/>
      <c r="C25" s="322" t="inlineStr">
        <is>
          <t>Finished goods transportation by pipes</t>
        </is>
      </c>
      <c r="D25" s="322" t="n"/>
      <c r="E25" s="300">
        <f>"thsd</f>
        <v/>
      </c>
      <c r="F25" s="300" t="inlineStr">
        <is>
          <t>+</t>
        </is>
      </c>
      <c r="G25" s="323" t="n"/>
      <c r="H25" s="323" t="n"/>
      <c r="I25" s="323" t="n"/>
      <c r="J25" s="880">
        <f>IFERROR(H25-I25,"N/A")</f>
        <v/>
      </c>
      <c r="K25" s="317">
        <f>IFERROR((H25-I25)/ABS(I25),"N/A")</f>
        <v/>
      </c>
      <c r="L25" s="881">
        <f>IFERROR(H25-G25,"N/A")</f>
        <v/>
      </c>
      <c r="M25" s="317">
        <f>IFERROR((H25-G25)/ABS(G25),"N/A")</f>
        <v/>
      </c>
      <c r="N25" s="61" t="n"/>
      <c r="O25" s="61" t="n"/>
      <c r="P25" s="61" t="n"/>
      <c r="Q25" s="881">
        <f>IFERROR(O25-P25,"N/A")</f>
        <v/>
      </c>
      <c r="R25" s="317">
        <f>IFERROR((O25-P25)/ABS(P25),"N/A")</f>
        <v/>
      </c>
      <c r="S25" s="881">
        <f>IFERROR(O25-N25,"N/A")</f>
        <v/>
      </c>
      <c r="T25" s="317">
        <f>IFERROR((O25-N25)/ABS(N25),"N/A")</f>
        <v/>
      </c>
    </row>
    <row r="26" outlineLevel="1" ht="25.5" customHeight="1">
      <c r="B26" s="325" t="n"/>
      <c r="C26" s="339" t="inlineStr">
        <is>
          <t>COGs</t>
        </is>
      </c>
      <c r="D26" s="339" t="n"/>
      <c r="E26" s="320">
        <f>"thsd</f>
        <v/>
      </c>
      <c r="F26" s="307" t="inlineStr">
        <is>
          <t>+</t>
        </is>
      </c>
      <c r="G26" s="323" t="n"/>
      <c r="H26" s="323" t="n"/>
      <c r="I26" s="323" t="n"/>
      <c r="J26" s="878">
        <f>IFERROR(H26-I26,"N/A")</f>
        <v/>
      </c>
      <c r="K26" s="310">
        <f>IFERROR((H26-I26)/ABS(I26),"N/A")</f>
        <v/>
      </c>
      <c r="L26" s="879">
        <f>IFERROR(H26-G26,"N/A")</f>
        <v/>
      </c>
      <c r="M26" s="310">
        <f>IFERROR((H26-G26)/ABS(G26),"N/A")</f>
        <v/>
      </c>
      <c r="N26" s="61" t="n"/>
      <c r="O26" s="61" t="n"/>
      <c r="P26" s="61" t="n"/>
      <c r="Q26" s="879">
        <f>IFERROR(O26-P26,"N/A")</f>
        <v/>
      </c>
      <c r="R26" s="310">
        <f>IFERROR((O26-P26)/ABS(P26),"N/A")</f>
        <v/>
      </c>
      <c r="S26" s="879">
        <f>IFERROR(O26-N26,"N/A")</f>
        <v/>
      </c>
      <c r="T26" s="310">
        <f>IFERROR((O26-N26)/ABS(N26),"N/A")</f>
        <v/>
      </c>
    </row>
    <row r="27" outlineLevel="1" ht="25.5" customHeight="1">
      <c r="B27" s="313" t="n"/>
      <c r="C27" s="322" t="inlineStr">
        <is>
          <t>Finished goods transportation by sea</t>
        </is>
      </c>
      <c r="D27" s="322" t="n"/>
      <c r="E27" s="300">
        <f>"thsd</f>
        <v/>
      </c>
      <c r="F27" s="300" t="inlineStr">
        <is>
          <t>+</t>
        </is>
      </c>
      <c r="G27" s="323" t="n"/>
      <c r="H27" s="323" t="n"/>
      <c r="I27" s="323" t="n"/>
      <c r="J27" s="880">
        <f>IFERROR(H27-I27,"N/A")</f>
        <v/>
      </c>
      <c r="K27" s="317">
        <f>IFERROR((H27-I27)/ABS(I27),"N/A")</f>
        <v/>
      </c>
      <c r="L27" s="881">
        <f>IFERROR(H27-G27,"N/A")</f>
        <v/>
      </c>
      <c r="M27" s="317">
        <f>IFERROR((H27-G27)/ABS(G27),"N/A")</f>
        <v/>
      </c>
      <c r="N27" s="61" t="n"/>
      <c r="O27" s="61" t="n"/>
      <c r="P27" s="61" t="n"/>
      <c r="Q27" s="881">
        <f>IFERROR(O27-P27,"N/A")</f>
        <v/>
      </c>
      <c r="R27" s="317">
        <f>IFERROR((O27-P27)/ABS(P27),"N/A")</f>
        <v/>
      </c>
      <c r="S27" s="881">
        <f>IFERROR(O27-N27,"N/A")</f>
        <v/>
      </c>
      <c r="T27" s="317">
        <f>IFERROR((O27-N27)/ABS(N27),"N/A")</f>
        <v/>
      </c>
    </row>
    <row r="28" outlineLevel="1" ht="25.5" customHeight="1">
      <c r="B28" s="325" t="n"/>
      <c r="C28" s="339" t="inlineStr">
        <is>
          <t>COGs</t>
        </is>
      </c>
      <c r="D28" s="339" t="n"/>
      <c r="E28" s="320">
        <f>"thsd</f>
        <v/>
      </c>
      <c r="F28" s="307" t="inlineStr">
        <is>
          <t>+</t>
        </is>
      </c>
      <c r="G28" s="323" t="n"/>
      <c r="H28" s="323" t="n"/>
      <c r="I28" s="323" t="n"/>
      <c r="J28" s="878">
        <f>IFERROR(H28-I28,"N/A")</f>
        <v/>
      </c>
      <c r="K28" s="310">
        <f>IFERROR((H28-I28)/ABS(I28),"N/A")</f>
        <v/>
      </c>
      <c r="L28" s="879">
        <f>IFERROR(H28-G28,"N/A")</f>
        <v/>
      </c>
      <c r="M28" s="310">
        <f>IFERROR((H28-G28)/ABS(G28),"N/A")</f>
        <v/>
      </c>
      <c r="N28" s="61" t="n"/>
      <c r="O28" s="61" t="n"/>
      <c r="P28" s="61" t="n"/>
      <c r="Q28" s="879">
        <f>IFERROR(O28-P28,"N/A")</f>
        <v/>
      </c>
      <c r="R28" s="310">
        <f>IFERROR((O28-P28)/ABS(P28),"N/A")</f>
        <v/>
      </c>
      <c r="S28" s="879">
        <f>IFERROR(O28-N28,"N/A")</f>
        <v/>
      </c>
      <c r="T28" s="310">
        <f>IFERROR((O28-N28)/ABS(N28),"N/A")</f>
        <v/>
      </c>
    </row>
    <row r="29" outlineLevel="1">
      <c r="B29" s="313" t="n"/>
      <c r="C29" s="322" t="inlineStr">
        <is>
          <t>Gas storage</t>
        </is>
      </c>
      <c r="D29" s="322" t="n"/>
      <c r="E29" s="300">
        <f>"thsd</f>
        <v/>
      </c>
      <c r="F29" s="300" t="inlineStr">
        <is>
          <t>+</t>
        </is>
      </c>
      <c r="G29" s="323" t="n"/>
      <c r="H29" s="323" t="n"/>
      <c r="I29" s="323" t="n"/>
      <c r="J29" s="880">
        <f>IFERROR(H29-I29,"N/A")</f>
        <v/>
      </c>
      <c r="K29" s="317">
        <f>IFERROR((H29-I29)/ABS(I29),"N/A")</f>
        <v/>
      </c>
      <c r="L29" s="881">
        <f>IFERROR(H29-G29,"N/A")</f>
        <v/>
      </c>
      <c r="M29" s="317">
        <f>IFERROR((H29-G29)/ABS(G29),"N/A")</f>
        <v/>
      </c>
      <c r="N29" s="61" t="n"/>
      <c r="O29" s="61" t="n"/>
      <c r="P29" s="61" t="n"/>
      <c r="Q29" s="881">
        <f>IFERROR(O29-P29,"N/A")</f>
        <v/>
      </c>
      <c r="R29" s="317">
        <f>IFERROR((O29-P29)/ABS(P29),"N/A")</f>
        <v/>
      </c>
      <c r="S29" s="881">
        <f>IFERROR(O29-N29,"N/A")</f>
        <v/>
      </c>
      <c r="T29" s="317">
        <f>IFERROR((O29-N29)/ABS(N29),"N/A")</f>
        <v/>
      </c>
    </row>
    <row r="30" outlineLevel="1" ht="25.5" customHeight="1">
      <c r="B30" s="325" t="n"/>
      <c r="C30" s="339" t="inlineStr">
        <is>
          <t>COGs</t>
        </is>
      </c>
      <c r="D30" s="339" t="n"/>
      <c r="E30" s="320">
        <f>"thsd</f>
        <v/>
      </c>
      <c r="F30" s="307" t="inlineStr">
        <is>
          <t>+</t>
        </is>
      </c>
      <c r="G30" s="323" t="n"/>
      <c r="H30" s="323" t="n"/>
      <c r="I30" s="323" t="n"/>
      <c r="J30" s="878">
        <f>IFERROR(H30-I30,"N/A")</f>
        <v/>
      </c>
      <c r="K30" s="310">
        <f>IFERROR((H30-I30)/ABS(I30),"N/A")</f>
        <v/>
      </c>
      <c r="L30" s="879">
        <f>IFERROR(H30-G30,"N/A")</f>
        <v/>
      </c>
      <c r="M30" s="310">
        <f>IFERROR((H30-G30)/ABS(G30),"N/A")</f>
        <v/>
      </c>
      <c r="N30" s="61" t="n"/>
      <c r="O30" s="61" t="n"/>
      <c r="P30" s="61" t="n"/>
      <c r="Q30" s="879">
        <f>IFERROR(O30-P30,"N/A")</f>
        <v/>
      </c>
      <c r="R30" s="310">
        <f>IFERROR((O30-P30)/ABS(P30),"N/A")</f>
        <v/>
      </c>
      <c r="S30" s="879">
        <f>IFERROR(O30-N30,"N/A")</f>
        <v/>
      </c>
      <c r="T30" s="310">
        <f>IFERROR((O30-N30)/ABS(N30),"N/A")</f>
        <v/>
      </c>
    </row>
    <row r="31" outlineLevel="1">
      <c r="B31" s="313" t="n"/>
      <c r="C31" s="322" t="inlineStr">
        <is>
          <t xml:space="preserve">Delivery service </t>
        </is>
      </c>
      <c r="D31" s="322" t="n"/>
      <c r="E31" s="300">
        <f>"thsd</f>
        <v/>
      </c>
      <c r="F31" s="300" t="inlineStr">
        <is>
          <t>+</t>
        </is>
      </c>
      <c r="G31" s="323" t="n"/>
      <c r="H31" s="323" t="n"/>
      <c r="I31" s="323" t="n"/>
      <c r="J31" s="880">
        <f>IFERROR(H31-I31,"N/A")</f>
        <v/>
      </c>
      <c r="K31" s="317">
        <f>IFERROR((H31-I31)/ABS(I31),"N/A")</f>
        <v/>
      </c>
      <c r="L31" s="881">
        <f>IFERROR(H31-G31,"N/A")</f>
        <v/>
      </c>
      <c r="M31" s="317">
        <f>IFERROR((H31-G31)/ABS(G31),"N/A")</f>
        <v/>
      </c>
      <c r="N31" s="61" t="n"/>
      <c r="O31" s="61" t="n"/>
      <c r="P31" s="61" t="n"/>
      <c r="Q31" s="881">
        <f>IFERROR(O31-P31,"N/A")</f>
        <v/>
      </c>
      <c r="R31" s="317">
        <f>IFERROR((O31-P31)/ABS(P31),"N/A")</f>
        <v/>
      </c>
      <c r="S31" s="881">
        <f>IFERROR(O31-N31,"N/A")</f>
        <v/>
      </c>
      <c r="T31" s="317">
        <f>IFERROR((O31-N31)/ABS(N31),"N/A")</f>
        <v/>
      </c>
    </row>
    <row r="32" outlineLevel="1" ht="25.5" customHeight="1">
      <c r="B32" s="325" t="n"/>
      <c r="C32" s="344" t="inlineStr">
        <is>
          <t>COGs</t>
        </is>
      </c>
      <c r="D32" s="344" t="n"/>
      <c r="E32" s="320">
        <f>"thsd</f>
        <v/>
      </c>
      <c r="F32" s="307" t="inlineStr">
        <is>
          <t>+</t>
        </is>
      </c>
      <c r="G32" s="323" t="n"/>
      <c r="H32" s="323" t="n"/>
      <c r="I32" s="323" t="n"/>
      <c r="J32" s="882">
        <f>IFERROR(H32-I32,"N/A")</f>
        <v/>
      </c>
      <c r="K32" s="328">
        <f>IFERROR((H32-I32)/ABS(I32),"N/A")</f>
        <v/>
      </c>
      <c r="L32" s="883">
        <f>IFERROR(H32-G32,"N/A")</f>
        <v/>
      </c>
      <c r="M32" s="328">
        <f>IFERROR((H32-G32)/ABS(G32),"N/A")</f>
        <v/>
      </c>
      <c r="N32" s="61" t="n"/>
      <c r="O32" s="61" t="n"/>
      <c r="P32" s="61" t="n"/>
      <c r="Q32" s="883">
        <f>IFERROR(O32-P32,"N/A")</f>
        <v/>
      </c>
      <c r="R32" s="328">
        <f>IFERROR((O32-P32)/ABS(P32),"N/A")</f>
        <v/>
      </c>
      <c r="S32" s="883">
        <f>IFERROR(O32-N32,"N/A")</f>
        <v/>
      </c>
      <c r="T32" s="328">
        <f>IFERROR((O32-N32)/ABS(N32),"N/A")</f>
        <v/>
      </c>
    </row>
    <row r="33" outlineLevel="1" ht="25.5" customHeight="1">
      <c r="B33" s="313" t="n"/>
      <c r="C33" s="322" t="inlineStr">
        <is>
          <t>Other (for midstream)</t>
        </is>
      </c>
      <c r="D33" s="322" t="n"/>
      <c r="E33" s="300">
        <f>"thsd</f>
        <v/>
      </c>
      <c r="F33" s="300" t="inlineStr">
        <is>
          <t>+</t>
        </is>
      </c>
      <c r="G33" s="323" t="n"/>
      <c r="H33" s="323" t="n"/>
      <c r="I33" s="323" t="n"/>
      <c r="J33" s="880">
        <f>IFERROR(H33-I33,"N/A")</f>
        <v/>
      </c>
      <c r="K33" s="317">
        <f>IFERROR((H33-I33)/ABS(I33),"N/A")</f>
        <v/>
      </c>
      <c r="L33" s="881">
        <f>IFERROR(H33-G33,"N/A")</f>
        <v/>
      </c>
      <c r="M33" s="317">
        <f>IFERROR((H33-G33)/ABS(G33),"N/A")</f>
        <v/>
      </c>
      <c r="N33" s="61" t="n"/>
      <c r="O33" s="61" t="n"/>
      <c r="P33" s="61" t="n"/>
      <c r="Q33" s="881">
        <f>IFERROR(O33-P33,"N/A")</f>
        <v/>
      </c>
      <c r="R33" s="317">
        <f>IFERROR((O33-P33)/ABS(P33),"N/A")</f>
        <v/>
      </c>
      <c r="S33" s="881">
        <f>IFERROR(O33-N33,"N/A")</f>
        <v/>
      </c>
      <c r="T33" s="317">
        <f>IFERROR((O33-N33)/ABS(N33),"N/A")</f>
        <v/>
      </c>
    </row>
    <row r="34" outlineLevel="1" ht="25.5" customHeight="1">
      <c r="B34" s="325" t="n"/>
      <c r="C34" s="344" t="inlineStr">
        <is>
          <t>COGs</t>
        </is>
      </c>
      <c r="D34" s="344" t="n"/>
      <c r="E34" s="320">
        <f>"thsd</f>
        <v/>
      </c>
      <c r="F34" s="307" t="inlineStr">
        <is>
          <t>+</t>
        </is>
      </c>
      <c r="G34" s="323" t="n"/>
      <c r="H34" s="323" t="n"/>
      <c r="I34" s="323" t="n"/>
      <c r="J34" s="882">
        <f>IFERROR(H34-I34,"N/A")</f>
        <v/>
      </c>
      <c r="K34" s="328">
        <f>IFERROR((H34-I34)/ABS(I34),"N/A")</f>
        <v/>
      </c>
      <c r="L34" s="883">
        <f>IFERROR(H34-G34,"N/A")</f>
        <v/>
      </c>
      <c r="M34" s="328">
        <f>IFERROR((H34-G34)/ABS(G34),"N/A")</f>
        <v/>
      </c>
      <c r="N34" s="61" t="n"/>
      <c r="O34" s="61" t="n"/>
      <c r="P34" s="61" t="n"/>
      <c r="Q34" s="883">
        <f>IFERROR(O34-P34,"N/A")</f>
        <v/>
      </c>
      <c r="R34" s="328">
        <f>IFERROR((O34-P34)/ABS(P34),"N/A")</f>
        <v/>
      </c>
      <c r="S34" s="883">
        <f>IFERROR(O34-N34,"N/A")</f>
        <v/>
      </c>
      <c r="T34" s="328">
        <f>IFERROR((O34-N34)/ABS(N34),"N/A")</f>
        <v/>
      </c>
    </row>
    <row r="35">
      <c r="B35" s="313" t="n"/>
      <c r="C35" s="314" t="inlineStr">
        <is>
          <t>Transport service</t>
        </is>
      </c>
      <c r="D35" s="314" t="n"/>
      <c r="E35" s="300">
        <f>"thsd</f>
        <v/>
      </c>
      <c r="F35" s="300" t="inlineStr">
        <is>
          <t>+</t>
        </is>
      </c>
      <c r="G35" s="330">
        <f>IF(AND(G37="N/A",G39="N/A",G41="N/A",G43="N/A",G45="N/A",G47="N/A"),"N/A",SUM(G45,G37,G39,G41,G43,G47))</f>
        <v/>
      </c>
      <c r="H35" s="330">
        <f>IF(AND(H37="N/A",H39="N/A",H41="N/A",H43="N/A",H45="N/A",H47="N/A"),"N/A",SUM(H45,H37,H39,H41,H43,H47))</f>
        <v/>
      </c>
      <c r="I35" s="330">
        <f>IF(AND(I37="N/A",I39="N/A",I41="N/A",I43="N/A",I45="N/A",I47="N/A"),"N/A",SUM(I45,I37,I39,I41,I43,I47))</f>
        <v/>
      </c>
      <c r="J35" s="880">
        <f>IFERROR(H35-I35,"N/A")</f>
        <v/>
      </c>
      <c r="K35" s="317">
        <f>IFERROR((H35-I35)/ABS(I35),"N/A")</f>
        <v/>
      </c>
      <c r="L35" s="881">
        <f>IFERROR(H35-G35,"N/A")</f>
        <v/>
      </c>
      <c r="M35" s="317">
        <f>IFERROR((H35-G35)/ABS(G35),"N/A")</f>
        <v/>
      </c>
      <c r="N35" s="331">
        <f>IF(AND(N37="N/A",N39="N/A",N41="N/A",N43="N/A",N45="N/A",N47="N/A"),"N/A",SUM(N45,N37,N39,N41,N43,N47))</f>
        <v/>
      </c>
      <c r="O35" s="331">
        <f>IF(AND(O37="N/A",O39="N/A",O41="N/A",O43="N/A",O45="N/A",O47="N/A"),"N/A",SUM(O45,O37,O39,O41,O43,O47))</f>
        <v/>
      </c>
      <c r="P35" s="331">
        <f>IF(AND(P37="N/A",P39="N/A",P41="N/A",P43="N/A",P45="N/A",P47="N/A"),"N/A",SUM(P45,P37,P39,P41,P43,P47))</f>
        <v/>
      </c>
      <c r="Q35" s="881">
        <f>IFERROR(O35-P35,"N/A")</f>
        <v/>
      </c>
      <c r="R35" s="317">
        <f>IFERROR((O35-P35)/ABS(P35),"N/A")</f>
        <v/>
      </c>
      <c r="S35" s="881">
        <f>IFERROR(O35-N35,"N/A")</f>
        <v/>
      </c>
      <c r="T35" s="317">
        <f>IFERROR((O35-N35)/ABS(N35),"N/A")</f>
        <v/>
      </c>
    </row>
    <row r="36" outlineLevel="1" ht="25.5" customHeight="1">
      <c r="B36" s="325" t="n"/>
      <c r="C36" s="332" t="inlineStr">
        <is>
          <t>COGs</t>
        </is>
      </c>
      <c r="D36" s="332" t="n"/>
      <c r="E36" s="320">
        <f>"thsd</f>
        <v/>
      </c>
      <c r="F36" s="307" t="inlineStr">
        <is>
          <t>+</t>
        </is>
      </c>
      <c r="G36" s="333">
        <f>IF(AND(G38="N/A",G40="N/A",G42="N/A",G44="N/A",G46="N/A",G48="N/A"),"N/A",SUM(G46,G38,G40,G42,G44,G48))</f>
        <v/>
      </c>
      <c r="H36" s="333">
        <f>IF(AND(H38="N/A",H40="N/A",H42="N/A",H44="N/A",H46="N/A",H48="N/A"),"N/A",SUM(H46,H38,H40,H42,H44,H48))</f>
        <v/>
      </c>
      <c r="I36" s="333">
        <f>IF(AND(I38="N/A",I40="N/A",I42="N/A",I44="N/A",I46="N/A",I48="N/A"),"N/A",SUM(I46,I38,I40,I42,I44,I48))</f>
        <v/>
      </c>
      <c r="J36" s="882">
        <f>IFERROR(H36-I36,"N/A")</f>
        <v/>
      </c>
      <c r="K36" s="328">
        <f>IFERROR((H36-I36)/ABS(I36),"N/A")</f>
        <v/>
      </c>
      <c r="L36" s="883">
        <f>IFERROR(H36-G36,"N/A")</f>
        <v/>
      </c>
      <c r="M36" s="328">
        <f>IFERROR((H36-G36)/ABS(G36),"N/A")</f>
        <v/>
      </c>
      <c r="N36" s="334">
        <f>IF(AND(N38="N/A",N40="N/A",N42="N/A",N44="N/A",N46="N/A",N48="N/A"),"N/A",SUM(N46,N38,N40,N42,N44,N48))</f>
        <v/>
      </c>
      <c r="O36" s="334">
        <f>IF(AND(O38="N/A",O40="N/A",O42="N/A",O44="N/A",O46="N/A",O48="N/A"),"N/A",SUM(O46,O38,O40,O42,O44,O48))</f>
        <v/>
      </c>
      <c r="P36" s="334">
        <f>IF(AND(P38="N/A",P40="N/A",P42="N/A",P44="N/A",P46="N/A",P48="N/A"),"N/A",SUM(P46,P38,P40,P42,P44,P48))</f>
        <v/>
      </c>
      <c r="Q36" s="883">
        <f>IFERROR(O36-P36,"N/A")</f>
        <v/>
      </c>
      <c r="R36" s="328">
        <f>IFERROR((O36-P36)/ABS(P36),"N/A")</f>
        <v/>
      </c>
      <c r="S36" s="883">
        <f>IFERROR(O36-N36,"N/A")</f>
        <v/>
      </c>
      <c r="T36" s="328">
        <f>IFERROR((O36-N36)/ABS(N36),"N/A")</f>
        <v/>
      </c>
    </row>
    <row r="37" outlineLevel="1">
      <c r="B37" s="313" t="n"/>
      <c r="C37" s="322" t="inlineStr">
        <is>
          <t>Railway transport service</t>
        </is>
      </c>
      <c r="D37" s="322" t="n"/>
      <c r="E37" s="300">
        <f>"thsd</f>
        <v/>
      </c>
      <c r="F37" s="300" t="inlineStr">
        <is>
          <t>+</t>
        </is>
      </c>
      <c r="G37" s="323" t="n"/>
      <c r="H37" s="323" t="n"/>
      <c r="I37" s="323" t="n"/>
      <c r="J37" s="880">
        <f>IFERROR(H37-I37,"N/A")</f>
        <v/>
      </c>
      <c r="K37" s="317">
        <f>IFERROR((H37-I37)/ABS(I37),"N/A")</f>
        <v/>
      </c>
      <c r="L37" s="881">
        <f>IFERROR(H37-G37,"N/A")</f>
        <v/>
      </c>
      <c r="M37" s="317">
        <f>IFERROR((H37-G37)/ABS(G37),"N/A")</f>
        <v/>
      </c>
      <c r="N37" s="61" t="n"/>
      <c r="O37" s="61" t="n"/>
      <c r="P37" s="61" t="n"/>
      <c r="Q37" s="881">
        <f>IFERROR(O37-P37,"N/A")</f>
        <v/>
      </c>
      <c r="R37" s="317">
        <f>IFERROR((O37-P37)/ABS(P37),"N/A")</f>
        <v/>
      </c>
      <c r="S37" s="881">
        <f>IFERROR(O37-N37,"N/A")</f>
        <v/>
      </c>
      <c r="T37" s="317">
        <f>IFERROR((O37-N37)/ABS(N37),"N/A")</f>
        <v/>
      </c>
    </row>
    <row r="38" outlineLevel="1" ht="25.5" customHeight="1">
      <c r="B38" s="325" t="n"/>
      <c r="C38" s="344" t="inlineStr">
        <is>
          <t>COGs</t>
        </is>
      </c>
      <c r="D38" s="344" t="n"/>
      <c r="E38" s="320">
        <f>"thsd</f>
        <v/>
      </c>
      <c r="F38" s="307" t="inlineStr">
        <is>
          <t>+</t>
        </is>
      </c>
      <c r="G38" s="323" t="n"/>
      <c r="H38" s="323" t="n"/>
      <c r="I38" s="323" t="n"/>
      <c r="J38" s="882">
        <f>IFERROR(H38-I38,"N/A")</f>
        <v/>
      </c>
      <c r="K38" s="328">
        <f>IFERROR((H38-I38)/ABS(I38),"N/A")</f>
        <v/>
      </c>
      <c r="L38" s="883">
        <f>IFERROR(H38-G38,"N/A")</f>
        <v/>
      </c>
      <c r="M38" s="328">
        <f>IFERROR((H38-G38)/ABS(G38),"N/A")</f>
        <v/>
      </c>
      <c r="N38" s="61" t="n"/>
      <c r="O38" s="61" t="n"/>
      <c r="P38" s="61" t="n"/>
      <c r="Q38" s="883">
        <f>IFERROR(O38-P38,"N/A")</f>
        <v/>
      </c>
      <c r="R38" s="328">
        <f>IFERROR((O38-P38)/ABS(P38),"N/A")</f>
        <v/>
      </c>
      <c r="S38" s="883">
        <f>IFERROR(O38-N38,"N/A")</f>
        <v/>
      </c>
      <c r="T38" s="328">
        <f>IFERROR((O38-N38)/ABS(N38),"N/A")</f>
        <v/>
      </c>
    </row>
    <row r="39" outlineLevel="1">
      <c r="B39" s="313" t="n"/>
      <c r="C39" s="322" t="inlineStr">
        <is>
          <t>Sea transport service</t>
        </is>
      </c>
      <c r="D39" s="322" t="n"/>
      <c r="E39" s="300">
        <f>"thsd</f>
        <v/>
      </c>
      <c r="F39" s="300" t="inlineStr">
        <is>
          <t>+</t>
        </is>
      </c>
      <c r="G39" s="323" t="n"/>
      <c r="H39" s="323" t="n"/>
      <c r="I39" s="323" t="n"/>
      <c r="J39" s="880">
        <f>IFERROR(H39-I39,"N/A")</f>
        <v/>
      </c>
      <c r="K39" s="317">
        <f>IFERROR((H39-I39)/ABS(I39),"N/A")</f>
        <v/>
      </c>
      <c r="L39" s="881">
        <f>IFERROR(H39-G39,"N/A")</f>
        <v/>
      </c>
      <c r="M39" s="317">
        <f>IFERROR((H39-G39)/ABS(G39),"N/A")</f>
        <v/>
      </c>
      <c r="N39" s="61" t="n"/>
      <c r="O39" s="61" t="n"/>
      <c r="P39" s="61" t="n"/>
      <c r="Q39" s="881">
        <f>IFERROR(O39-P39,"N/A")</f>
        <v/>
      </c>
      <c r="R39" s="317">
        <f>IFERROR((O39-P39)/ABS(P39),"N/A")</f>
        <v/>
      </c>
      <c r="S39" s="881">
        <f>IFERROR(O39-N39,"N/A")</f>
        <v/>
      </c>
      <c r="T39" s="317">
        <f>IFERROR((O39-N39)/ABS(N39),"N/A")</f>
        <v/>
      </c>
    </row>
    <row r="40" outlineLevel="1" ht="25.5" customHeight="1">
      <c r="B40" s="325" t="n"/>
      <c r="C40" s="344" t="inlineStr">
        <is>
          <t>COGs</t>
        </is>
      </c>
      <c r="D40" s="344" t="n"/>
      <c r="E40" s="320">
        <f>"thsd</f>
        <v/>
      </c>
      <c r="F40" s="307" t="inlineStr">
        <is>
          <t>+</t>
        </is>
      </c>
      <c r="G40" s="323" t="n"/>
      <c r="H40" s="323" t="n"/>
      <c r="I40" s="323" t="n"/>
      <c r="J40" s="882">
        <f>IFERROR(H40-I40,"N/A")</f>
        <v/>
      </c>
      <c r="K40" s="328">
        <f>IFERROR((H40-I40)/ABS(I40),"N/A")</f>
        <v/>
      </c>
      <c r="L40" s="883">
        <f>IFERROR(H40-G40,"N/A")</f>
        <v/>
      </c>
      <c r="M40" s="328">
        <f>IFERROR((H40-G40)/ABS(G40),"N/A")</f>
        <v/>
      </c>
      <c r="N40" s="61" t="n"/>
      <c r="O40" s="61" t="n"/>
      <c r="P40" s="61" t="n"/>
      <c r="Q40" s="883">
        <f>IFERROR(O40-P40,"N/A")</f>
        <v/>
      </c>
      <c r="R40" s="328">
        <f>IFERROR((O40-P40)/ABS(P40),"N/A")</f>
        <v/>
      </c>
      <c r="S40" s="883">
        <f>IFERROR(O40-N40,"N/A")</f>
        <v/>
      </c>
      <c r="T40" s="328">
        <f>IFERROR((O40-N40)/ABS(N40),"N/A")</f>
        <v/>
      </c>
    </row>
    <row r="41" outlineLevel="1">
      <c r="B41" s="313" t="n"/>
      <c r="C41" s="322" t="inlineStr">
        <is>
          <t>Port service</t>
        </is>
      </c>
      <c r="D41" s="322" t="inlineStr">
        <is>
          <t>Liman xidməti</t>
        </is>
      </c>
      <c r="E41" s="300">
        <f>"thsd</f>
        <v/>
      </c>
      <c r="F41" s="300" t="inlineStr">
        <is>
          <t>+</t>
        </is>
      </c>
      <c r="G41" s="323" t="n"/>
      <c r="H41" s="323" t="n"/>
      <c r="I41" s="323" t="n"/>
      <c r="J41" s="880">
        <f>IFERROR(H41-I41,"N/A")</f>
        <v/>
      </c>
      <c r="K41" s="317">
        <f>IFERROR((H41-I41)/ABS(I41),"N/A")</f>
        <v/>
      </c>
      <c r="L41" s="881">
        <f>IFERROR(H41-G41,"N/A")</f>
        <v/>
      </c>
      <c r="M41" s="317">
        <f>IFERROR((H41-G41)/ABS(G41),"N/A")</f>
        <v/>
      </c>
      <c r="N41" s="61" t="n"/>
      <c r="O41" s="61" t="n"/>
      <c r="P41" s="61" t="n"/>
      <c r="Q41" s="881">
        <f>IFERROR(O41-P41,"N/A")</f>
        <v/>
      </c>
      <c r="R41" s="317">
        <f>IFERROR((O41-P41)/ABS(P41),"N/A")</f>
        <v/>
      </c>
      <c r="S41" s="881">
        <f>IFERROR(O41-N41,"N/A")</f>
        <v/>
      </c>
      <c r="T41" s="317">
        <f>IFERROR((O41-N41)/ABS(N41),"N/A")</f>
        <v/>
      </c>
    </row>
    <row r="42" outlineLevel="1" ht="25.5" customHeight="1">
      <c r="B42" s="325" t="n"/>
      <c r="C42" s="344" t="inlineStr">
        <is>
          <t>COGs</t>
        </is>
      </c>
      <c r="D42" s="344" t="n"/>
      <c r="E42" s="320">
        <f>"thsd</f>
        <v/>
      </c>
      <c r="F42" s="307" t="inlineStr">
        <is>
          <t>+</t>
        </is>
      </c>
      <c r="G42" s="323" t="n"/>
      <c r="H42" s="323" t="n"/>
      <c r="I42" s="323" t="n"/>
      <c r="J42" s="882">
        <f>IFERROR(H42-I42,"N/A")</f>
        <v/>
      </c>
      <c r="K42" s="328">
        <f>IFERROR((H42-I42)/ABS(I42),"N/A")</f>
        <v/>
      </c>
      <c r="L42" s="883">
        <f>IFERROR(H42-G42,"N/A")</f>
        <v/>
      </c>
      <c r="M42" s="328">
        <f>IFERROR((H42-G42)/ABS(G42),"N/A")</f>
        <v/>
      </c>
      <c r="N42" s="61" t="n"/>
      <c r="O42" s="61" t="n"/>
      <c r="P42" s="61" t="n"/>
      <c r="Q42" s="883">
        <f>IFERROR(O42-P42,"N/A")</f>
        <v/>
      </c>
      <c r="R42" s="328">
        <f>IFERROR((O42-P42)/ABS(P42),"N/A")</f>
        <v/>
      </c>
      <c r="S42" s="883">
        <f>IFERROR(O42-N42,"N/A")</f>
        <v/>
      </c>
      <c r="T42" s="328">
        <f>IFERROR((O42-N42)/ABS(N42),"N/A")</f>
        <v/>
      </c>
    </row>
    <row r="43" outlineLevel="1">
      <c r="B43" s="313" t="n"/>
      <c r="C43" s="322" t="inlineStr">
        <is>
          <t>Road transport service</t>
        </is>
      </c>
      <c r="D43" s="322" t="n"/>
      <c r="E43" s="300">
        <f>"thsd</f>
        <v/>
      </c>
      <c r="F43" s="300" t="inlineStr">
        <is>
          <t>+</t>
        </is>
      </c>
      <c r="G43" s="323" t="n"/>
      <c r="H43" s="323" t="n"/>
      <c r="I43" s="323" t="n"/>
      <c r="J43" s="880">
        <f>IFERROR(H43-I43,"N/A")</f>
        <v/>
      </c>
      <c r="K43" s="317">
        <f>IFERROR((H43-I43)/ABS(I43),"N/A")</f>
        <v/>
      </c>
      <c r="L43" s="881">
        <f>IFERROR(H43-G43,"N/A")</f>
        <v/>
      </c>
      <c r="M43" s="317">
        <f>IFERROR((H43-G43)/ABS(G43),"N/A")</f>
        <v/>
      </c>
      <c r="N43" s="61" t="n"/>
      <c r="O43" s="61" t="n"/>
      <c r="P43" s="61" t="n"/>
      <c r="Q43" s="881">
        <f>IFERROR(O43-P43,"N/A")</f>
        <v/>
      </c>
      <c r="R43" s="317">
        <f>IFERROR((O43-P43)/ABS(P43),"N/A")</f>
        <v/>
      </c>
      <c r="S43" s="881">
        <f>IFERROR(O43-N43,"N/A")</f>
        <v/>
      </c>
      <c r="T43" s="317">
        <f>IFERROR((O43-N43)/ABS(N43),"N/A")</f>
        <v/>
      </c>
    </row>
    <row r="44" outlineLevel="1" ht="25.5" customHeight="1">
      <c r="B44" s="325" t="n"/>
      <c r="C44" s="344" t="inlineStr">
        <is>
          <t>COGs</t>
        </is>
      </c>
      <c r="D44" s="344" t="n"/>
      <c r="E44" s="320">
        <f>"thsd</f>
        <v/>
      </c>
      <c r="F44" s="307" t="inlineStr">
        <is>
          <t>+</t>
        </is>
      </c>
      <c r="G44" s="323" t="n"/>
      <c r="H44" s="323" t="n"/>
      <c r="I44" s="323" t="n"/>
      <c r="J44" s="882">
        <f>IFERROR(H44-I44,"N/A")</f>
        <v/>
      </c>
      <c r="K44" s="328">
        <f>IFERROR((H44-I44)/ABS(I44),"N/A")</f>
        <v/>
      </c>
      <c r="L44" s="883">
        <f>IFERROR(H44-G44,"N/A")</f>
        <v/>
      </c>
      <c r="M44" s="328">
        <f>IFERROR((H44-G44)/ABS(G44),"N/A")</f>
        <v/>
      </c>
      <c r="N44" s="61" t="n"/>
      <c r="O44" s="61" t="n"/>
      <c r="P44" s="61" t="n"/>
      <c r="Q44" s="883">
        <f>IFERROR(O44-P44,"N/A")</f>
        <v/>
      </c>
      <c r="R44" s="328">
        <f>IFERROR((O44-P44)/ABS(P44),"N/A")</f>
        <v/>
      </c>
      <c r="S44" s="883">
        <f>IFERROR(O44-N44,"N/A")</f>
        <v/>
      </c>
      <c r="T44" s="328">
        <f>IFERROR((O44-N44)/ABS(N44),"N/A")</f>
        <v/>
      </c>
    </row>
    <row r="45" outlineLevel="1">
      <c r="B45" s="313" t="n"/>
      <c r="C45" s="322" t="inlineStr">
        <is>
          <t>Special equipment services</t>
        </is>
      </c>
      <c r="D45" s="322" t="n"/>
      <c r="E45" s="300">
        <f>"thsd</f>
        <v/>
      </c>
      <c r="F45" s="300" t="inlineStr">
        <is>
          <t>+</t>
        </is>
      </c>
      <c r="G45" s="323" t="n"/>
      <c r="H45" s="323" t="n"/>
      <c r="I45" s="323" t="n"/>
      <c r="J45" s="880">
        <f>IFERROR(H45-I45,"N/A")</f>
        <v/>
      </c>
      <c r="K45" s="317">
        <f>IFERROR((H45-I45)/ABS(I45),"N/A")</f>
        <v/>
      </c>
      <c r="L45" s="881">
        <f>IFERROR(H45-G45,"N/A")</f>
        <v/>
      </c>
      <c r="M45" s="317">
        <f>IFERROR((H45-G45)/ABS(G45),"N/A")</f>
        <v/>
      </c>
      <c r="N45" s="61" t="n"/>
      <c r="O45" s="61" t="n"/>
      <c r="P45" s="61" t="n"/>
      <c r="Q45" s="881">
        <f>IFERROR(O45-P45,"N/A")</f>
        <v/>
      </c>
      <c r="R45" s="317">
        <f>IFERROR((O45-P45)/ABS(P45),"N/A")</f>
        <v/>
      </c>
      <c r="S45" s="881">
        <f>IFERROR(O45-N45,"N/A")</f>
        <v/>
      </c>
      <c r="T45" s="317">
        <f>IFERROR((O45-N45)/ABS(N45),"N/A")</f>
        <v/>
      </c>
    </row>
    <row r="46" outlineLevel="1" ht="25.5" customHeight="1">
      <c r="B46" s="325" t="n"/>
      <c r="C46" s="344" t="inlineStr">
        <is>
          <t>COGs</t>
        </is>
      </c>
      <c r="D46" s="344" t="n"/>
      <c r="E46" s="320">
        <f>"thsd</f>
        <v/>
      </c>
      <c r="F46" s="307" t="inlineStr">
        <is>
          <t>+</t>
        </is>
      </c>
      <c r="G46" s="323" t="n"/>
      <c r="H46" s="323" t="n"/>
      <c r="I46" s="323" t="n"/>
      <c r="J46" s="882">
        <f>IFERROR(H46-I46,"N/A")</f>
        <v/>
      </c>
      <c r="K46" s="328">
        <f>IFERROR((H46-I46)/ABS(I46),"N/A")</f>
        <v/>
      </c>
      <c r="L46" s="883">
        <f>IFERROR(H46-G46,"N/A")</f>
        <v/>
      </c>
      <c r="M46" s="328">
        <f>IFERROR((H46-G46)/ABS(G46),"N/A")</f>
        <v/>
      </c>
      <c r="N46" s="61" t="n"/>
      <c r="O46" s="61" t="n"/>
      <c r="P46" s="61" t="n"/>
      <c r="Q46" s="883">
        <f>IFERROR(O46-P46,"N/A")</f>
        <v/>
      </c>
      <c r="R46" s="328">
        <f>IFERROR((O46-P46)/ABS(P46),"N/A")</f>
        <v/>
      </c>
      <c r="S46" s="883">
        <f>IFERROR(O46-N46,"N/A")</f>
        <v/>
      </c>
      <c r="T46" s="328">
        <f>IFERROR((O46-N46)/ABS(N46),"N/A")</f>
        <v/>
      </c>
    </row>
    <row r="47" outlineLevel="1">
      <c r="B47" s="313" t="n"/>
      <c r="C47" s="322" t="inlineStr">
        <is>
          <t>Other (for transport service)</t>
        </is>
      </c>
      <c r="D47" s="322" t="n"/>
      <c r="E47" s="300">
        <f>"thsd</f>
        <v/>
      </c>
      <c r="F47" s="300" t="inlineStr">
        <is>
          <t>+</t>
        </is>
      </c>
      <c r="G47" s="323" t="n"/>
      <c r="H47" s="323" t="n"/>
      <c r="I47" s="323" t="n"/>
      <c r="J47" s="880">
        <f>IFERROR(H47-I47,"N/A")</f>
        <v/>
      </c>
      <c r="K47" s="317">
        <f>IFERROR((H47-I47)/ABS(I47),"N/A")</f>
        <v/>
      </c>
      <c r="L47" s="881">
        <f>IFERROR(H47-G47,"N/A")</f>
        <v/>
      </c>
      <c r="M47" s="317">
        <f>IFERROR((H47-G47)/ABS(G47),"N/A")</f>
        <v/>
      </c>
      <c r="N47" s="61" t="n"/>
      <c r="O47" s="61" t="n"/>
      <c r="P47" s="61" t="n"/>
      <c r="Q47" s="881">
        <f>IFERROR(O47-P47,"N/A")</f>
        <v/>
      </c>
      <c r="R47" s="317">
        <f>IFERROR((O47-P47)/ABS(P47),"N/A")</f>
        <v/>
      </c>
      <c r="S47" s="881">
        <f>IFERROR(O47-N47,"N/A")</f>
        <v/>
      </c>
      <c r="T47" s="317">
        <f>IFERROR((O47-N47)/ABS(N47),"N/A")</f>
        <v/>
      </c>
    </row>
    <row r="48" outlineLevel="1" ht="25.5" customHeight="1">
      <c r="B48" s="325" t="n"/>
      <c r="C48" s="344" t="inlineStr">
        <is>
          <t>COGs</t>
        </is>
      </c>
      <c r="D48" s="344" t="n"/>
      <c r="E48" s="320">
        <f>"thsd</f>
        <v/>
      </c>
      <c r="F48" s="307" t="inlineStr">
        <is>
          <t>+</t>
        </is>
      </c>
      <c r="G48" s="323" t="n"/>
      <c r="H48" s="323" t="n"/>
      <c r="I48" s="323" t="n"/>
      <c r="J48" s="882">
        <f>IFERROR(H48-I48,"N/A")</f>
        <v/>
      </c>
      <c r="K48" s="328">
        <f>IFERROR((H48-I48)/ABS(I48),"N/A")</f>
        <v/>
      </c>
      <c r="L48" s="883">
        <f>IFERROR(H48-G48,"N/A")</f>
        <v/>
      </c>
      <c r="M48" s="328">
        <f>IFERROR((H48-G48)/ABS(G48),"N/A")</f>
        <v/>
      </c>
      <c r="N48" s="61" t="n"/>
      <c r="O48" s="61" t="n"/>
      <c r="P48" s="61" t="n"/>
      <c r="Q48" s="883">
        <f>IFERROR(O48-P48,"N/A")</f>
        <v/>
      </c>
      <c r="R48" s="328">
        <f>IFERROR((O48-P48)/ABS(P48),"N/A")</f>
        <v/>
      </c>
      <c r="S48" s="883">
        <f>IFERROR(O48-N48,"N/A")</f>
        <v/>
      </c>
      <c r="T48" s="328">
        <f>IFERROR((O48-N48)/ABS(N48),"N/A")</f>
        <v/>
      </c>
    </row>
    <row r="49">
      <c r="B49" s="313" t="n"/>
      <c r="C49" s="314" t="inlineStr">
        <is>
          <t>Downstream</t>
        </is>
      </c>
      <c r="D49" s="314" t="n"/>
      <c r="E49" s="300">
        <f>"thsd</f>
        <v/>
      </c>
      <c r="F49" s="300" t="inlineStr">
        <is>
          <t>+</t>
        </is>
      </c>
      <c r="G49" s="315">
        <f>IF(AND(G51="N/A",G55="N/A",G57="N/A",G53="N/A"),"N/A",SUM(G51,G53,G55,G57))</f>
        <v/>
      </c>
      <c r="H49" s="315">
        <f>IF(AND(H51="N/A",H55="N/A",H57="N/A",H53="N/A"),"N/A",SUM(H51,H53,H55,H57))</f>
        <v/>
      </c>
      <c r="I49" s="315">
        <f>IF(AND(I51="N/A",I55="N/A",I57="N/A",I53="N/A"),"N/A",SUM(I51,I53,I55,I57))</f>
        <v/>
      </c>
      <c r="J49" s="880">
        <f>IFERROR(H49-I49,"N/A")</f>
        <v/>
      </c>
      <c r="K49" s="317">
        <f>IFERROR((H49-I49)/ABS(I49),"N/A")</f>
        <v/>
      </c>
      <c r="L49" s="881">
        <f>IFERROR(H49-G49,"N/A")</f>
        <v/>
      </c>
      <c r="M49" s="317">
        <f>IFERROR((H49-G49)/ABS(G49),"N/A")</f>
        <v/>
      </c>
      <c r="N49" s="319">
        <f>IF(AND(N51="N/A",N55="N/A",N57="N/A",N53="N/A"),"N/A",SUM(N51,N53,N55,N57))</f>
        <v/>
      </c>
      <c r="O49" s="319">
        <f>IF(AND(O51="N/A",O55="N/A",O57="N/A",O53="N/A"),"N/A",SUM(O51,O53,O55,O57))</f>
        <v/>
      </c>
      <c r="P49" s="319">
        <f>IF(AND(P51="N/A",P55="N/A",P57="N/A",P53="N/A"),"N/A",SUM(P51,P53,P55,P57))</f>
        <v/>
      </c>
      <c r="Q49" s="881">
        <f>IFERROR(O49-P49,"N/A")</f>
        <v/>
      </c>
      <c r="R49" s="317">
        <f>IFERROR((O49-P49)/ABS(P49),"N/A")</f>
        <v/>
      </c>
      <c r="S49" s="881">
        <f>IFERROR(O49-N49,"N/A")</f>
        <v/>
      </c>
      <c r="T49" s="317">
        <f>IFERROR((O49-N49)/ABS(N49),"N/A")</f>
        <v/>
      </c>
    </row>
    <row r="50" outlineLevel="1" ht="25.5" customHeight="1">
      <c r="B50" s="325" t="n"/>
      <c r="C50" s="332" t="inlineStr">
        <is>
          <t>COGs</t>
        </is>
      </c>
      <c r="D50" s="332" t="n"/>
      <c r="E50" s="320">
        <f>"thsd</f>
        <v/>
      </c>
      <c r="F50" s="307" t="inlineStr">
        <is>
          <t>+</t>
        </is>
      </c>
      <c r="G50" s="321">
        <f>IF(AND(G52="N/A",G56="N/A",G58="N/A",G54="N/A"),"N/A",SUM(G52,G54,G56,G58))</f>
        <v/>
      </c>
      <c r="H50" s="321">
        <f>IF(AND(H52="N/A",H56="N/A",H58="N/A",H54="N/A"),"N/A",SUM(H52,H54,H56,H58))</f>
        <v/>
      </c>
      <c r="I50" s="321">
        <f>IF(AND(I52="N/A",I56="N/A",I58="N/A",I54="N/A"),"N/A",SUM(I52,I54,I56,I58))</f>
        <v/>
      </c>
      <c r="J50" s="882">
        <f>IFERROR(H50-I50,"N/A")</f>
        <v/>
      </c>
      <c r="K50" s="328">
        <f>IFERROR((H50-I50)/ABS(I50),"N/A")</f>
        <v/>
      </c>
      <c r="L50" s="883">
        <f>IFERROR(H50-G50,"N/A")</f>
        <v/>
      </c>
      <c r="M50" s="328">
        <f>IFERROR((H50-G50)/ABS(G50),"N/A")</f>
        <v/>
      </c>
      <c r="N50" s="312">
        <f>IF(AND(N52="N/A",N56="N/A",N58="N/A",N54="N/A"),"N/A",SUM(N52,N54,N56,N58))</f>
        <v/>
      </c>
      <c r="O50" s="312">
        <f>IF(AND(O52="N/A",O56="N/A",O58="N/A",O54="N/A"),"N/A",SUM(O52,O54,O56,O58))</f>
        <v/>
      </c>
      <c r="P50" s="312">
        <f>IF(AND(P52="N/A",P56="N/A",P58="N/A",P54="N/A"),"N/A",SUM(P52,P54,P56,P58))</f>
        <v/>
      </c>
      <c r="Q50" s="883">
        <f>IFERROR(O50-P50,"N/A")</f>
        <v/>
      </c>
      <c r="R50" s="328">
        <f>IFERROR((O50-P50)/ABS(P50),"N/A")</f>
        <v/>
      </c>
      <c r="S50" s="883">
        <f>IFERROR(O50-N50,"N/A")</f>
        <v/>
      </c>
      <c r="T50" s="328">
        <f>IFERROR((O50-N50)/ABS(N50),"N/A")</f>
        <v/>
      </c>
    </row>
    <row r="51" outlineLevel="1" ht="26.1" customHeight="1">
      <c r="B51" s="313" t="n"/>
      <c r="C51" s="322" t="inlineStr">
        <is>
          <t>Oil refining</t>
        </is>
      </c>
      <c r="D51" s="322" t="n"/>
      <c r="E51" s="300">
        <f>"thsd</f>
        <v/>
      </c>
      <c r="F51" s="300" t="inlineStr">
        <is>
          <t>+</t>
        </is>
      </c>
      <c r="G51" s="323" t="n"/>
      <c r="H51" s="323" t="n"/>
      <c r="I51" s="323" t="n"/>
      <c r="J51" s="880">
        <f>IFERROR(H51-I51,"N/A")</f>
        <v/>
      </c>
      <c r="K51" s="317">
        <f>IFERROR((H51-I51)/ABS(I51),"N/A")</f>
        <v/>
      </c>
      <c r="L51" s="881">
        <f>IFERROR(H51-G51,"N/A")</f>
        <v/>
      </c>
      <c r="M51" s="317">
        <f>IFERROR((H51-G51)/ABS(G51),"N/A")</f>
        <v/>
      </c>
      <c r="N51" s="61" t="n"/>
      <c r="O51" s="61" t="n"/>
      <c r="P51" s="61" t="n"/>
      <c r="Q51" s="881">
        <f>IFERROR(O51-P51,"N/A")</f>
        <v/>
      </c>
      <c r="R51" s="317">
        <f>IFERROR((O51-P51)/ABS(P51),"N/A")</f>
        <v/>
      </c>
      <c r="S51" s="881">
        <f>IFERROR(O51-N51,"N/A")</f>
        <v/>
      </c>
      <c r="T51" s="317">
        <f>IFERROR((O51-N51)/ABS(N51),"N/A")</f>
        <v/>
      </c>
    </row>
    <row r="52" outlineLevel="1" ht="25.5" customHeight="1">
      <c r="B52" s="325" t="n"/>
      <c r="C52" s="344" t="inlineStr">
        <is>
          <t>COGs</t>
        </is>
      </c>
      <c r="D52" s="344" t="n"/>
      <c r="E52" s="320">
        <f>"thsd</f>
        <v/>
      </c>
      <c r="F52" s="307" t="inlineStr">
        <is>
          <t>+</t>
        </is>
      </c>
      <c r="G52" s="323" t="n"/>
      <c r="H52" s="323" t="n"/>
      <c r="I52" s="323" t="n"/>
      <c r="J52" s="882">
        <f>IFERROR(H52-I52,"N/A")</f>
        <v/>
      </c>
      <c r="K52" s="328">
        <f>IFERROR((H52-I52)/ABS(I52),"N/A")</f>
        <v/>
      </c>
      <c r="L52" s="883">
        <f>IFERROR(H52-G52,"N/A")</f>
        <v/>
      </c>
      <c r="M52" s="328">
        <f>IFERROR((H52-G52)/ABS(G52),"N/A")</f>
        <v/>
      </c>
      <c r="N52" s="61" t="n"/>
      <c r="O52" s="61" t="n"/>
      <c r="P52" s="61" t="n"/>
      <c r="Q52" s="883">
        <f>IFERROR(O52-P52,"N/A")</f>
        <v/>
      </c>
      <c r="R52" s="328">
        <f>IFERROR((O52-P52)/ABS(P52),"N/A")</f>
        <v/>
      </c>
      <c r="S52" s="883">
        <f>IFERROR(O52-N52,"N/A")</f>
        <v/>
      </c>
      <c r="T52" s="328">
        <f>IFERROR((O52-N52)/ABS(N52),"N/A")</f>
        <v/>
      </c>
    </row>
    <row r="53" outlineLevel="1" ht="26.1" customHeight="1">
      <c r="B53" s="313" t="n"/>
      <c r="C53" s="322" t="inlineStr">
        <is>
          <t>Gas refining</t>
        </is>
      </c>
      <c r="D53" s="322" t="n"/>
      <c r="E53" s="300">
        <f>"thsd</f>
        <v/>
      </c>
      <c r="F53" s="335" t="inlineStr">
        <is>
          <t>+</t>
        </is>
      </c>
      <c r="G53" s="323" t="n"/>
      <c r="H53" s="323" t="n"/>
      <c r="I53" s="323" t="n"/>
      <c r="J53" s="880">
        <f>IFERROR(H53-I53,"N/A")</f>
        <v/>
      </c>
      <c r="K53" s="317">
        <f>IFERROR((H53-I53)/ABS(I53),"N/A")</f>
        <v/>
      </c>
      <c r="L53" s="883">
        <f>IFERROR(H53-G53,"N/A")</f>
        <v/>
      </c>
      <c r="M53" s="328">
        <f>IFERROR((H53-G53)/ABS(G53),"N/A")</f>
        <v/>
      </c>
      <c r="N53" s="61" t="n"/>
      <c r="O53" s="61" t="n"/>
      <c r="P53" s="61" t="n"/>
      <c r="Q53" s="881">
        <f>IFERROR(O53-P53,"N/A")</f>
        <v/>
      </c>
      <c r="R53" s="317">
        <f>IFERROR((O53-P53)/ABS(P53),"N/A")</f>
        <v/>
      </c>
      <c r="S53" s="881">
        <f>IFERROR(O53-N53,"N/A")</f>
        <v/>
      </c>
      <c r="T53" s="317">
        <f>IFERROR((O53-N53)/ABS(N53),"N/A")</f>
        <v/>
      </c>
      <c r="U53" s="336" t="n"/>
    </row>
    <row r="54" outlineLevel="1" ht="25.5" customHeight="1">
      <c r="B54" s="325" t="n"/>
      <c r="C54" s="344" t="inlineStr">
        <is>
          <t>COGs</t>
        </is>
      </c>
      <c r="D54" s="344" t="n"/>
      <c r="E54" s="320">
        <f>"thsd</f>
        <v/>
      </c>
      <c r="F54" s="337" t="inlineStr">
        <is>
          <t>+</t>
        </is>
      </c>
      <c r="G54" s="323" t="n"/>
      <c r="H54" s="323" t="n"/>
      <c r="I54" s="323" t="n"/>
      <c r="J54" s="882">
        <f>IFERROR(H54-I54,"N/A")</f>
        <v/>
      </c>
      <c r="K54" s="328">
        <f>IFERROR((H54-I54)/ABS(I54),"N/A")</f>
        <v/>
      </c>
      <c r="L54" s="883">
        <f>IFERROR(H54-G54,"N/A")</f>
        <v/>
      </c>
      <c r="M54" s="328">
        <f>IFERROR((H54-G54)/ABS(G54),"N/A")</f>
        <v/>
      </c>
      <c r="N54" s="61" t="n"/>
      <c r="O54" s="61" t="n"/>
      <c r="P54" s="61" t="n"/>
      <c r="Q54" s="883">
        <f>IFERROR(O54-P54,"N/A")</f>
        <v/>
      </c>
      <c r="R54" s="328">
        <f>IFERROR((O54-P54)/ABS(P54),"N/A")</f>
        <v/>
      </c>
      <c r="S54" s="883">
        <f>IFERROR(O54-N54,"N/A")</f>
        <v/>
      </c>
      <c r="T54" s="328">
        <f>IFERROR((O54-N54)/ABS(N54),"N/A")</f>
        <v/>
      </c>
    </row>
    <row r="55" outlineLevel="1" ht="25.5" customHeight="1">
      <c r="B55" s="313" t="n"/>
      <c r="C55" s="322" t="inlineStr">
        <is>
          <t>Semi-finished products refining</t>
        </is>
      </c>
      <c r="D55" s="322" t="n"/>
      <c r="E55" s="300">
        <f>"thsd</f>
        <v/>
      </c>
      <c r="F55" s="300" t="inlineStr">
        <is>
          <t>+</t>
        </is>
      </c>
      <c r="G55" s="323" t="n"/>
      <c r="H55" s="323" t="n"/>
      <c r="I55" s="323" t="n"/>
      <c r="J55" s="880">
        <f>IFERROR(H55-I55,"N/A")</f>
        <v/>
      </c>
      <c r="K55" s="317">
        <f>IFERROR((H55-I55)/ABS(I55),"N/A")</f>
        <v/>
      </c>
      <c r="L55" s="881">
        <f>IFERROR(H55-G55,"N/A")</f>
        <v/>
      </c>
      <c r="M55" s="317">
        <f>IFERROR((H55-G55)/ABS(G55),"N/A")</f>
        <v/>
      </c>
      <c r="N55" s="61" t="n"/>
      <c r="O55" s="61" t="n"/>
      <c r="P55" s="61" t="n"/>
      <c r="Q55" s="881">
        <f>IFERROR(O55-P55,"N/A")</f>
        <v/>
      </c>
      <c r="R55" s="317">
        <f>IFERROR((O55-P55)/ABS(P55),"N/A")</f>
        <v/>
      </c>
      <c r="S55" s="881">
        <f>IFERROR(O55-N55,"N/A")</f>
        <v/>
      </c>
      <c r="T55" s="317">
        <f>IFERROR((O55-N55)/ABS(N55),"N/A")</f>
        <v/>
      </c>
    </row>
    <row r="56" outlineLevel="1" ht="25.5" customHeight="1">
      <c r="B56" s="325" t="n"/>
      <c r="C56" s="344" t="inlineStr">
        <is>
          <t>COGs</t>
        </is>
      </c>
      <c r="D56" s="344" t="n"/>
      <c r="E56" s="320">
        <f>"thsd</f>
        <v/>
      </c>
      <c r="F56" s="307" t="inlineStr">
        <is>
          <t>+</t>
        </is>
      </c>
      <c r="G56" s="323" t="n"/>
      <c r="H56" s="323" t="n"/>
      <c r="I56" s="323" t="n"/>
      <c r="J56" s="882">
        <f>IFERROR(H56-I56,"N/A")</f>
        <v/>
      </c>
      <c r="K56" s="328">
        <f>IFERROR((H56-I56)/ABS(I56),"N/A")</f>
        <v/>
      </c>
      <c r="L56" s="883">
        <f>IFERROR(H56-G56,"N/A")</f>
        <v/>
      </c>
      <c r="M56" s="328">
        <f>IFERROR((H56-G56)/ABS(G56),"N/A")</f>
        <v/>
      </c>
      <c r="N56" s="61" t="n"/>
      <c r="O56" s="61" t="n"/>
      <c r="P56" s="61" t="n"/>
      <c r="Q56" s="883">
        <f>IFERROR(O56-P56,"N/A")</f>
        <v/>
      </c>
      <c r="R56" s="328">
        <f>IFERROR((O56-P56)/ABS(P56),"N/A")</f>
        <v/>
      </c>
      <c r="S56" s="883">
        <f>IFERROR(O56-N56,"N/A")</f>
        <v/>
      </c>
      <c r="T56" s="328">
        <f>IFERROR((O56-N56)/ABS(N56),"N/A")</f>
        <v/>
      </c>
    </row>
    <row r="57" outlineLevel="1" ht="25.5" customHeight="1">
      <c r="B57" s="338" t="n"/>
      <c r="C57" s="322" t="inlineStr">
        <is>
          <t>Other (for downstream)</t>
        </is>
      </c>
      <c r="D57" s="322" t="n"/>
      <c r="E57" s="300">
        <f>"thsd</f>
        <v/>
      </c>
      <c r="F57" s="300" t="inlineStr">
        <is>
          <t>+</t>
        </is>
      </c>
      <c r="G57" s="323" t="n"/>
      <c r="H57" s="323" t="n"/>
      <c r="I57" s="323" t="n"/>
      <c r="J57" s="880">
        <f>IFERROR(H57-I57,"N/A")</f>
        <v/>
      </c>
      <c r="K57" s="317">
        <f>IFERROR((H57-I57)/ABS(I57),"N/A")</f>
        <v/>
      </c>
      <c r="L57" s="881">
        <f>IFERROR(H57-G57,"N/A")</f>
        <v/>
      </c>
      <c r="M57" s="317">
        <f>IFERROR((H57-G57)/ABS(G57),"N/A")</f>
        <v/>
      </c>
      <c r="N57" s="61" t="n"/>
      <c r="O57" s="61" t="n"/>
      <c r="P57" s="61" t="n"/>
      <c r="Q57" s="881">
        <f>IFERROR(O57-P57,"N/A")</f>
        <v/>
      </c>
      <c r="R57" s="317">
        <f>IFERROR((O57-P57)/ABS(P57),"N/A")</f>
        <v/>
      </c>
      <c r="S57" s="881">
        <f>IFERROR(O57-N57,"N/A")</f>
        <v/>
      </c>
      <c r="T57" s="317">
        <f>IFERROR((O57-N57)/ABS(N57),"N/A")</f>
        <v/>
      </c>
    </row>
    <row r="58" outlineLevel="1" ht="25.5" customHeight="1">
      <c r="B58" s="325" t="n"/>
      <c r="C58" s="339" t="inlineStr">
        <is>
          <t>COGs</t>
        </is>
      </c>
      <c r="D58" s="339" t="n"/>
      <c r="E58" s="320">
        <f>"thsd</f>
        <v/>
      </c>
      <c r="F58" s="307" t="inlineStr">
        <is>
          <t>+</t>
        </is>
      </c>
      <c r="G58" s="323" t="n"/>
      <c r="H58" s="323" t="n"/>
      <c r="I58" s="323" t="n"/>
      <c r="J58" s="878">
        <f>IFERROR(H58-I58,"N/A")</f>
        <v/>
      </c>
      <c r="K58" s="310">
        <f>IFERROR((H58-I58)/ABS(I58),"N/A")</f>
        <v/>
      </c>
      <c r="L58" s="879">
        <f>IFERROR(H58-G58,"N/A")</f>
        <v/>
      </c>
      <c r="M58" s="310">
        <f>IFERROR((H58-G58)/ABS(G58),"N/A")</f>
        <v/>
      </c>
      <c r="N58" s="61" t="n"/>
      <c r="O58" s="61" t="n"/>
      <c r="P58" s="61" t="n"/>
      <c r="Q58" s="879">
        <f>IFERROR(O58-P58,"N/A")</f>
        <v/>
      </c>
      <c r="R58" s="310">
        <f>IFERROR((O58-P58)/ABS(P58),"N/A")</f>
        <v/>
      </c>
      <c r="S58" s="879">
        <f>IFERROR(O58-N58,"N/A")</f>
        <v/>
      </c>
      <c r="T58" s="310">
        <f>IFERROR((O58-N58)/ABS(N58),"N/A")</f>
        <v/>
      </c>
    </row>
    <row r="59" ht="26.1" customHeight="1">
      <c r="B59" s="313" t="n"/>
      <c r="C59" s="314" t="inlineStr">
        <is>
          <t>Gas Distribution</t>
        </is>
      </c>
      <c r="D59" s="314" t="n"/>
      <c r="E59" s="300">
        <f>"thsd</f>
        <v/>
      </c>
      <c r="F59" s="300" t="inlineStr">
        <is>
          <t>+</t>
        </is>
      </c>
      <c r="G59" s="315">
        <f>IF(AND(G61="N/A",G63="N/A"),"N/A",SUM(G61,G63))</f>
        <v/>
      </c>
      <c r="H59" s="315">
        <f>IF(AND(H61="N/A",H63="N/A"),"N/A",SUM(H61,H63))</f>
        <v/>
      </c>
      <c r="I59" s="315">
        <f>IF(AND(I61="N/A",I63="N/A"),"N/A",SUM(I61,I63))</f>
        <v/>
      </c>
      <c r="J59" s="880">
        <f>IFERROR(H59-I59,"N/A")</f>
        <v/>
      </c>
      <c r="K59" s="317">
        <f>IFERROR((H59-I59)/ABS(I59),"N/A")</f>
        <v/>
      </c>
      <c r="L59" s="881">
        <f>IFERROR(H59-G59,"N/A")</f>
        <v/>
      </c>
      <c r="M59" s="317">
        <f>IFERROR((H59-G59)/ABS(G59),"N/A")</f>
        <v/>
      </c>
      <c r="N59" s="319">
        <f>IF(AND(N61="N/A",N63="N/A"),"N/A",SUM(N61,N63))</f>
        <v/>
      </c>
      <c r="O59" s="319">
        <f>IF(AND(O61="N/A",O63="N/A"),"N/A",SUM(O61,O63))</f>
        <v/>
      </c>
      <c r="P59" s="319">
        <f>IF(AND(P61="N/A",P63="N/A"),"N/A",SUM(P61,P63))</f>
        <v/>
      </c>
      <c r="Q59" s="881">
        <f>IFERROR(O59-P59,"N/A")</f>
        <v/>
      </c>
      <c r="R59" s="317">
        <f>IFERROR((O59-P59)/ABS(P59),"N/A")</f>
        <v/>
      </c>
      <c r="S59" s="881">
        <f>IFERROR(O59-N59,"N/A")</f>
        <v/>
      </c>
      <c r="T59" s="317">
        <f>IFERROR((O59-N59)/ABS(N59),"N/A")</f>
        <v/>
      </c>
    </row>
    <row r="60" outlineLevel="1" ht="25.5" customHeight="1">
      <c r="B60" s="325" t="n"/>
      <c r="C60" s="332" t="inlineStr">
        <is>
          <t>COGs</t>
        </is>
      </c>
      <c r="D60" s="332" t="n"/>
      <c r="E60" s="320">
        <f>"thsd</f>
        <v/>
      </c>
      <c r="F60" s="307" t="inlineStr">
        <is>
          <t>+</t>
        </is>
      </c>
      <c r="G60" s="321">
        <f>IF(AND(G62="N/A",G64="N/A"),"N/A",SUM(G62,G64))</f>
        <v/>
      </c>
      <c r="H60" s="321">
        <f>IF(AND(H62="N/A",H64="N/A"),"N/A",SUM(H62,H64))</f>
        <v/>
      </c>
      <c r="I60" s="321">
        <f>IF(AND(I62="N/A",I64="N/A"),"N/A",SUM(I62,I64))</f>
        <v/>
      </c>
      <c r="J60" s="882">
        <f>IFERROR(H60-I60,"N/A")</f>
        <v/>
      </c>
      <c r="K60" s="328">
        <f>IFERROR((H60-I60)/ABS(I60),"N/A")</f>
        <v/>
      </c>
      <c r="L60" s="883">
        <f>IFERROR(H60-G60,"N/A")</f>
        <v/>
      </c>
      <c r="M60" s="328">
        <f>IFERROR((H60-G60)/ABS(G60),"N/A")</f>
        <v/>
      </c>
      <c r="N60" s="312">
        <f>IF(AND(N62="N/A",N64="N/A"),"N/A",SUM(N62,N64))</f>
        <v/>
      </c>
      <c r="O60" s="312">
        <f>IF(AND(O62="N/A",O64="N/A"),"N/A",SUM(O62,O64))</f>
        <v/>
      </c>
      <c r="P60" s="312">
        <f>IF(AND(P62="N/A",P64="N/A"),"N/A",SUM(P62,P64))</f>
        <v/>
      </c>
      <c r="Q60" s="883">
        <f>IFERROR(O60-P60,"N/A")</f>
        <v/>
      </c>
      <c r="R60" s="328">
        <f>IFERROR((O60-P60)/ABS(P60),"N/A")</f>
        <v/>
      </c>
      <c r="S60" s="883">
        <f>IFERROR(O60-N60,"N/A")</f>
        <v/>
      </c>
      <c r="T60" s="328">
        <f>IFERROR((O60-N60)/ABS(N60),"N/A")</f>
        <v/>
      </c>
    </row>
    <row r="61" outlineLevel="1" ht="25.5" customHeight="1">
      <c r="B61" s="313" t="n"/>
      <c r="C61" s="340" t="inlineStr">
        <is>
          <t>Finished goods transportation by pipes</t>
        </is>
      </c>
      <c r="D61" s="340" t="n"/>
      <c r="E61" s="300">
        <f>"thsd</f>
        <v/>
      </c>
      <c r="F61" s="300" t="inlineStr">
        <is>
          <t>+</t>
        </is>
      </c>
      <c r="G61" s="323" t="n"/>
      <c r="H61" s="323" t="n"/>
      <c r="I61" s="323" t="n"/>
      <c r="J61" s="884">
        <f>IFERROR(H61-I61,"N/A")</f>
        <v/>
      </c>
      <c r="K61" s="342">
        <f>IFERROR((H61-I61)/ABS(I61),"N/A")</f>
        <v/>
      </c>
      <c r="L61" s="885">
        <f>IFERROR(H61-G61,"N/A")</f>
        <v/>
      </c>
      <c r="M61" s="342">
        <f>IFERROR((H61-G61)/ABS(G61),"N/A")</f>
        <v/>
      </c>
      <c r="N61" s="61" t="n"/>
      <c r="O61" s="61" t="n"/>
      <c r="P61" s="61" t="n"/>
      <c r="Q61" s="885">
        <f>IFERROR(O61-P61,"N/A")</f>
        <v/>
      </c>
      <c r="R61" s="342">
        <f>IFERROR((O61-P61)/ABS(P61),"N/A")</f>
        <v/>
      </c>
      <c r="S61" s="885">
        <f>IFERROR(O61-N61,"N/A")</f>
        <v/>
      </c>
      <c r="T61" s="342">
        <f>IFERROR((O61-N61)/ABS(N61),"N/A")</f>
        <v/>
      </c>
    </row>
    <row r="62" outlineLevel="1" ht="25.5" customHeight="1">
      <c r="B62" s="325" t="n"/>
      <c r="C62" s="344" t="inlineStr">
        <is>
          <t>COGs</t>
        </is>
      </c>
      <c r="D62" s="344" t="n"/>
      <c r="E62" s="320">
        <f>"thsd</f>
        <v/>
      </c>
      <c r="F62" s="307" t="inlineStr">
        <is>
          <t>+</t>
        </is>
      </c>
      <c r="G62" s="323" t="n"/>
      <c r="H62" s="323" t="n"/>
      <c r="I62" s="323" t="n"/>
      <c r="J62" s="882">
        <f>IFERROR(H62-I62,"N/A")</f>
        <v/>
      </c>
      <c r="K62" s="328">
        <f>IFERROR((H62-I62)/ABS(I62),"N/A")</f>
        <v/>
      </c>
      <c r="L62" s="883">
        <f>IFERROR(H62-G62,"N/A")</f>
        <v/>
      </c>
      <c r="M62" s="328">
        <f>IFERROR((H62-G62)/ABS(G62),"N/A")</f>
        <v/>
      </c>
      <c r="N62" s="61" t="n"/>
      <c r="O62" s="61" t="n"/>
      <c r="P62" s="61" t="n"/>
      <c r="Q62" s="883">
        <f>IFERROR(O62-P62,"N/A")</f>
        <v/>
      </c>
      <c r="R62" s="328">
        <f>IFERROR((O62-P62)/ABS(P62),"N/A")</f>
        <v/>
      </c>
      <c r="S62" s="883">
        <f>IFERROR(O62-N62,"N/A")</f>
        <v/>
      </c>
      <c r="T62" s="328">
        <f>IFERROR((O62-N62)/ABS(N62),"N/A")</f>
        <v/>
      </c>
    </row>
    <row r="63" outlineLevel="1">
      <c r="B63" s="313" t="n"/>
      <c r="C63" s="322" t="inlineStr">
        <is>
          <t>Other (for Gas Distribution)</t>
        </is>
      </c>
      <c r="D63" s="322" t="inlineStr">
        <is>
          <t>Digər (Qaz paylama)</t>
        </is>
      </c>
      <c r="E63" s="300">
        <f>"thsd</f>
        <v/>
      </c>
      <c r="F63" s="300" t="inlineStr">
        <is>
          <t>+</t>
        </is>
      </c>
      <c r="G63" s="323" t="n"/>
      <c r="H63" s="323" t="n"/>
      <c r="I63" s="323" t="n"/>
      <c r="J63" s="880">
        <f>IFERROR(H63-I63,"N/A")</f>
        <v/>
      </c>
      <c r="K63" s="317">
        <f>IFERROR((H63-I63)/ABS(I63),"N/A")</f>
        <v/>
      </c>
      <c r="L63" s="881">
        <f>IFERROR(H63-G63,"N/A")</f>
        <v/>
      </c>
      <c r="M63" s="317">
        <f>IFERROR((H63-G63)/ABS(G63),"N/A")</f>
        <v/>
      </c>
      <c r="N63" s="61" t="n"/>
      <c r="O63" s="61" t="n"/>
      <c r="P63" s="61" t="n"/>
      <c r="Q63" s="881">
        <f>IFERROR(O63-P63,"N/A")</f>
        <v/>
      </c>
      <c r="R63" s="317">
        <f>IFERROR((O63-P63)/ABS(P63),"N/A")</f>
        <v/>
      </c>
      <c r="S63" s="881">
        <f>IFERROR(O63-N63,"N/A")</f>
        <v/>
      </c>
      <c r="T63" s="317">
        <f>IFERROR((O63-N63)/ABS(N63),"N/A")</f>
        <v/>
      </c>
    </row>
    <row r="64" outlineLevel="1" ht="25.5" customHeight="1">
      <c r="B64" s="325" t="n"/>
      <c r="C64" s="339" t="inlineStr">
        <is>
          <t>COGs</t>
        </is>
      </c>
      <c r="D64" s="339" t="n"/>
      <c r="E64" s="320">
        <f>"thsd</f>
        <v/>
      </c>
      <c r="F64" s="307" t="inlineStr">
        <is>
          <t>+</t>
        </is>
      </c>
      <c r="G64" s="323" t="n"/>
      <c r="H64" s="323" t="n"/>
      <c r="I64" s="323" t="n"/>
      <c r="J64" s="878">
        <f>IFERROR(H64-I64,"N/A")</f>
        <v/>
      </c>
      <c r="K64" s="310">
        <f>IFERROR((H64-I64)/ABS(I64),"N/A")</f>
        <v/>
      </c>
      <c r="L64" s="879">
        <f>IFERROR(H64-G64,"N/A")</f>
        <v/>
      </c>
      <c r="M64" s="310">
        <f>IFERROR((H64-G64)/ABS(G64),"N/A")</f>
        <v/>
      </c>
      <c r="N64" s="61" t="n"/>
      <c r="O64" s="61" t="n"/>
      <c r="P64" s="61" t="n"/>
      <c r="Q64" s="879">
        <f>IFERROR(O64-P64,"N/A")</f>
        <v/>
      </c>
      <c r="R64" s="310">
        <f>IFERROR((O64-P64)/ABS(P64),"N/A")</f>
        <v/>
      </c>
      <c r="S64" s="879">
        <f>IFERROR(O64-N64,"N/A")</f>
        <v/>
      </c>
      <c r="T64" s="310">
        <f>IFERROR((O64-N64)/ABS(N64),"N/A")</f>
        <v/>
      </c>
    </row>
    <row r="65">
      <c r="B65" s="313" t="n"/>
      <c r="C65" s="313" t="inlineStr">
        <is>
          <t>Trading</t>
        </is>
      </c>
      <c r="D65" s="313" t="n"/>
      <c r="E65" s="300">
        <f>"thsd</f>
        <v/>
      </c>
      <c r="F65" s="300" t="inlineStr">
        <is>
          <t>+</t>
        </is>
      </c>
      <c r="G65" s="315">
        <f>IF(AND(G67="N/A",G69="N/A",G71="N/A",G73="N/A",G75="N/A"),"N/A",SUM(G67,G69,G71,G73,G75))</f>
        <v/>
      </c>
      <c r="H65" s="315">
        <f>IF(AND(H67="N/A",H69="N/A",H71="N/A",H73="N/A",H75="N/A"),"N/A",SUM(H67,H69,H71,H73,H75))</f>
        <v/>
      </c>
      <c r="I65" s="315">
        <f>IF(AND(I67="N/A",I69="N/A",I71="N/A",I73="N/A",I75="N/A"),"N/A",SUM(I67,I69,I71,I73,I75))</f>
        <v/>
      </c>
      <c r="J65" s="880">
        <f>IFERROR(H65-I65,"N/A")</f>
        <v/>
      </c>
      <c r="K65" s="317">
        <f>IFERROR((H65-I65)/ABS(I65),"N/A")</f>
        <v/>
      </c>
      <c r="L65" s="881">
        <f>IFERROR(H65-G65,"N/A")</f>
        <v/>
      </c>
      <c r="M65" s="317">
        <f>IFERROR((H65-G65)/ABS(G65),"N/A")</f>
        <v/>
      </c>
      <c r="N65" s="319">
        <f>IF(AND(N67="N/A",N69="N/A",N71="N/A",N73="N/A",N75="N/A"),"N/A",SUM(N67,N69,N71,N73,N75))</f>
        <v/>
      </c>
      <c r="O65" s="319">
        <f>IF(AND(O67="N/A",O69="N/A",O71="N/A",O73="N/A",O75="N/A"),"N/A",SUM(O67,O69,O71,O73,O75))</f>
        <v/>
      </c>
      <c r="P65" s="319">
        <f>IF(AND(P67="N/A",P69="N/A",P71="N/A",P73="N/A",P75="N/A"),"N/A",SUM(P67,P69,P71,P73,P75))</f>
        <v/>
      </c>
      <c r="Q65" s="881">
        <f>IFERROR(O65-P65,"N/A")</f>
        <v/>
      </c>
      <c r="R65" s="317">
        <f>IFERROR((O65-P65)/ABS(P65),"N/A")</f>
        <v/>
      </c>
      <c r="S65" s="881">
        <f>IFERROR(O65-N65,"N/A")</f>
        <v/>
      </c>
      <c r="T65" s="317">
        <f>IFERROR((O65-N65)/ABS(N65),"N/A")</f>
        <v/>
      </c>
    </row>
    <row r="66" outlineLevel="1" ht="25.5" customHeight="1">
      <c r="B66" s="325" t="n"/>
      <c r="C66" s="332" t="inlineStr">
        <is>
          <t>COGs</t>
        </is>
      </c>
      <c r="D66" s="332" t="n"/>
      <c r="E66" s="320">
        <f>"thsd</f>
        <v/>
      </c>
      <c r="F66" s="307" t="inlineStr">
        <is>
          <t>+</t>
        </is>
      </c>
      <c r="G66" s="321">
        <f>IF(AND(G68="N/A",G70="N/A",G72="N/A",G74="N/A",G76="N/A"),"N/A",SUM(G68,G70,G72,G74,G76))</f>
        <v/>
      </c>
      <c r="H66" s="321">
        <f>IF(AND(H68="N/A",H70="N/A",H72="N/A",H74="N/A",H76="N/A"),"N/A",SUM(H68,H70,H72,H74,H76))</f>
        <v/>
      </c>
      <c r="I66" s="321">
        <f>IF(AND(I68="N/A",I70="N/A",I72="N/A",I74="N/A",I76="N/A"),"N/A",SUM(I68,I70,I72,I74,I76))</f>
        <v/>
      </c>
      <c r="J66" s="882">
        <f>IFERROR(H66-I66,"N/A")</f>
        <v/>
      </c>
      <c r="K66" s="328">
        <f>IFERROR((H66-I66)/ABS(I66),"N/A")</f>
        <v/>
      </c>
      <c r="L66" s="883">
        <f>IFERROR(H66-G66,"N/A")</f>
        <v/>
      </c>
      <c r="M66" s="328">
        <f>IFERROR((H66-G66)/ABS(G66),"N/A")</f>
        <v/>
      </c>
      <c r="N66" s="312">
        <f>IF(AND(N68="N/A",N70="N/A",N72="N/A",N74="N/A",N76="N/A"),"N/A",SUM(N68,N70,N72,N74,N76))</f>
        <v/>
      </c>
      <c r="O66" s="312">
        <f>IF(AND(O68="N/A",O70="N/A",O72="N/A",O74="N/A",O76="N/A"),"N/A",SUM(O68,O70,O72,O74,O76))</f>
        <v/>
      </c>
      <c r="P66" s="312">
        <f>IF(AND(P68="N/A",P70="N/A",P72="N/A",P74="N/A",P76="N/A"),"N/A",SUM(P68,P70,P72,P74,P76))</f>
        <v/>
      </c>
      <c r="Q66" s="883">
        <f>IFERROR(O66-P66,"N/A")</f>
        <v/>
      </c>
      <c r="R66" s="328">
        <f>IFERROR((O66-P66)/ABS(P66),"N/A")</f>
        <v/>
      </c>
      <c r="S66" s="883">
        <f>IFERROR(O66-N66,"N/A")</f>
        <v/>
      </c>
      <c r="T66" s="328">
        <f>IFERROR((O66-N66)/ABS(N66),"N/A")</f>
        <v/>
      </c>
    </row>
    <row r="67" outlineLevel="1">
      <c r="B67" s="313" t="n"/>
      <c r="C67" s="322" t="inlineStr">
        <is>
          <t>Freight</t>
        </is>
      </c>
      <c r="D67" s="322" t="n"/>
      <c r="E67" s="300">
        <f>"thsd</f>
        <v/>
      </c>
      <c r="F67" s="300" t="inlineStr">
        <is>
          <t>+</t>
        </is>
      </c>
      <c r="G67" s="323" t="n"/>
      <c r="H67" s="323" t="n"/>
      <c r="I67" s="323" t="n"/>
      <c r="J67" s="880">
        <f>IFERROR(H67-I67,"N/A")</f>
        <v/>
      </c>
      <c r="K67" s="317">
        <f>IFERROR((H67-I67)/ABS(I67),"N/A")</f>
        <v/>
      </c>
      <c r="L67" s="881">
        <f>IFERROR(H67-G67,"N/A")</f>
        <v/>
      </c>
      <c r="M67" s="317">
        <f>IFERROR((H67-G67)/ABS(G67),"N/A")</f>
        <v/>
      </c>
      <c r="N67" s="61" t="n"/>
      <c r="O67" s="61" t="n"/>
      <c r="P67" s="61" t="n"/>
      <c r="Q67" s="881">
        <f>IFERROR(O67-P67,"N/A")</f>
        <v/>
      </c>
      <c r="R67" s="317">
        <f>IFERROR((O67-P67)/ABS(P67),"N/A")</f>
        <v/>
      </c>
      <c r="S67" s="881">
        <f>IFERROR(O67-N67,"N/A")</f>
        <v/>
      </c>
      <c r="T67" s="317">
        <f>IFERROR((O67-N67)/ABS(N67),"N/A")</f>
        <v/>
      </c>
    </row>
    <row r="68" outlineLevel="1" ht="25.5" customHeight="1">
      <c r="B68" s="325" t="n"/>
      <c r="C68" s="344" t="inlineStr">
        <is>
          <t>COGs</t>
        </is>
      </c>
      <c r="D68" s="344" t="n"/>
      <c r="E68" s="320">
        <f>"thsd</f>
        <v/>
      </c>
      <c r="F68" s="307" t="inlineStr">
        <is>
          <t>+</t>
        </is>
      </c>
      <c r="G68" s="323" t="n"/>
      <c r="H68" s="323" t="n"/>
      <c r="I68" s="323" t="n"/>
      <c r="J68" s="882">
        <f>IFERROR(H68-I68,"N/A")</f>
        <v/>
      </c>
      <c r="K68" s="328">
        <f>IFERROR((H68-I68)/ABS(I68),"N/A")</f>
        <v/>
      </c>
      <c r="L68" s="883">
        <f>IFERROR(H68-G68,"N/A")</f>
        <v/>
      </c>
      <c r="M68" s="328">
        <f>IFERROR((H68-G68)/ABS(G68),"N/A")</f>
        <v/>
      </c>
      <c r="N68" s="61" t="n"/>
      <c r="O68" s="61" t="n"/>
      <c r="P68" s="61" t="n"/>
      <c r="Q68" s="883">
        <f>IFERROR(O68-P68,"N/A")</f>
        <v/>
      </c>
      <c r="R68" s="328">
        <f>IFERROR((O68-P68)/ABS(P68),"N/A")</f>
        <v/>
      </c>
      <c r="S68" s="883">
        <f>IFERROR(O68-N68,"N/A")</f>
        <v/>
      </c>
      <c r="T68" s="328">
        <f>IFERROR((O68-N68)/ABS(N68),"N/A")</f>
        <v/>
      </c>
    </row>
    <row r="69" outlineLevel="1" ht="25.5" customHeight="1">
      <c r="B69" s="313" t="n"/>
      <c r="C69" s="322" t="inlineStr">
        <is>
          <t>Finished goods transportation by pipes</t>
        </is>
      </c>
      <c r="D69" s="322" t="n"/>
      <c r="E69" s="300">
        <f>"thsd</f>
        <v/>
      </c>
      <c r="F69" s="300" t="inlineStr">
        <is>
          <t>+</t>
        </is>
      </c>
      <c r="G69" s="323" t="n"/>
      <c r="H69" s="323" t="n"/>
      <c r="I69" s="323" t="n"/>
      <c r="J69" s="880">
        <f>IFERROR(H69-I69,"N/A")</f>
        <v/>
      </c>
      <c r="K69" s="317">
        <f>IFERROR((H69-I69)/ABS(I69),"N/A")</f>
        <v/>
      </c>
      <c r="L69" s="881">
        <f>IFERROR(H69-G69,"N/A")</f>
        <v/>
      </c>
      <c r="M69" s="317">
        <f>IFERROR((H69-G69)/ABS(G69),"N/A")</f>
        <v/>
      </c>
      <c r="N69" s="61" t="n"/>
      <c r="O69" s="61" t="n"/>
      <c r="P69" s="61" t="n"/>
      <c r="Q69" s="881">
        <f>IFERROR(O69-P69,"N/A")</f>
        <v/>
      </c>
      <c r="R69" s="317">
        <f>IFERROR((O69-P69)/ABS(P69),"N/A")</f>
        <v/>
      </c>
      <c r="S69" s="881">
        <f>IFERROR(O69-N69,"N/A")</f>
        <v/>
      </c>
      <c r="T69" s="317">
        <f>IFERROR((O69-N69)/ABS(N69),"N/A")</f>
        <v/>
      </c>
    </row>
    <row r="70" outlineLevel="1" ht="25.5" customHeight="1">
      <c r="B70" s="325" t="n"/>
      <c r="C70" s="344" t="inlineStr">
        <is>
          <t>COGs</t>
        </is>
      </c>
      <c r="D70" s="344" t="n"/>
      <c r="E70" s="320">
        <f>"thsd</f>
        <v/>
      </c>
      <c r="F70" s="307" t="inlineStr">
        <is>
          <t>+</t>
        </is>
      </c>
      <c r="G70" s="323" t="n"/>
      <c r="H70" s="323" t="n"/>
      <c r="I70" s="323" t="n"/>
      <c r="J70" s="882">
        <f>IFERROR(H70-I70,"N/A")</f>
        <v/>
      </c>
      <c r="K70" s="328">
        <f>IFERROR((H70-I70)/ABS(I70),"N/A")</f>
        <v/>
      </c>
      <c r="L70" s="883">
        <f>IFERROR(H70-G70,"N/A")</f>
        <v/>
      </c>
      <c r="M70" s="328">
        <f>IFERROR((H70-G70)/ABS(G70),"N/A")</f>
        <v/>
      </c>
      <c r="N70" s="61" t="n"/>
      <c r="O70" s="61" t="n"/>
      <c r="P70" s="61" t="n"/>
      <c r="Q70" s="883">
        <f>IFERROR(O70-P70,"N/A")</f>
        <v/>
      </c>
      <c r="R70" s="328">
        <f>IFERROR((O70-P70)/ABS(P70),"N/A")</f>
        <v/>
      </c>
      <c r="S70" s="883">
        <f>IFERROR(O70-N70,"N/A")</f>
        <v/>
      </c>
      <c r="T70" s="328">
        <f>IFERROR((O70-N70)/ABS(N70),"N/A")</f>
        <v/>
      </c>
    </row>
    <row r="71" outlineLevel="1" ht="25.5" customHeight="1">
      <c r="B71" s="313" t="n"/>
      <c r="C71" s="322" t="inlineStr">
        <is>
          <t>Finished goods transportation by sea</t>
        </is>
      </c>
      <c r="D71" s="322" t="n"/>
      <c r="E71" s="300">
        <f>"thsd</f>
        <v/>
      </c>
      <c r="F71" s="300" t="inlineStr">
        <is>
          <t>+</t>
        </is>
      </c>
      <c r="G71" s="323" t="n"/>
      <c r="H71" s="323" t="n"/>
      <c r="I71" s="323" t="n"/>
      <c r="J71" s="880">
        <f>IFERROR(H71-I71,"N/A")</f>
        <v/>
      </c>
      <c r="K71" s="317">
        <f>IFERROR((H71-I71)/ABS(I71),"N/A")</f>
        <v/>
      </c>
      <c r="L71" s="881">
        <f>IFERROR(H71-G71,"N/A")</f>
        <v/>
      </c>
      <c r="M71" s="317">
        <f>IFERROR((H71-G71)/ABS(G71),"N/A")</f>
        <v/>
      </c>
      <c r="N71" s="61" t="n"/>
      <c r="O71" s="61" t="n"/>
      <c r="P71" s="61" t="n"/>
      <c r="Q71" s="881">
        <f>IFERROR(O71-P71,"N/A")</f>
        <v/>
      </c>
      <c r="R71" s="317">
        <f>IFERROR((O71-P71)/ABS(P71),"N/A")</f>
        <v/>
      </c>
      <c r="S71" s="881">
        <f>IFERROR(O71-N71,"N/A")</f>
        <v/>
      </c>
      <c r="T71" s="317">
        <f>IFERROR((O71-N71)/ABS(N71),"N/A")</f>
        <v/>
      </c>
    </row>
    <row r="72" outlineLevel="1" ht="25.5" customHeight="1">
      <c r="B72" s="325" t="n"/>
      <c r="C72" s="344" t="inlineStr">
        <is>
          <t>COGs</t>
        </is>
      </c>
      <c r="D72" s="344" t="n"/>
      <c r="E72" s="320">
        <f>"thsd</f>
        <v/>
      </c>
      <c r="F72" s="307" t="inlineStr">
        <is>
          <t>+</t>
        </is>
      </c>
      <c r="G72" s="323" t="n"/>
      <c r="H72" s="323" t="n"/>
      <c r="I72" s="323" t="n"/>
      <c r="J72" s="882">
        <f>IFERROR(H72-I72,"N/A")</f>
        <v/>
      </c>
      <c r="K72" s="328">
        <f>IFERROR((H72-I72)/ABS(I72),"N/A")</f>
        <v/>
      </c>
      <c r="L72" s="883">
        <f>IFERROR(H72-G72,"N/A")</f>
        <v/>
      </c>
      <c r="M72" s="328">
        <f>IFERROR((H72-G72)/ABS(G72),"N/A")</f>
        <v/>
      </c>
      <c r="N72" s="61" t="n"/>
      <c r="O72" s="61" t="n"/>
      <c r="P72" s="61" t="n"/>
      <c r="Q72" s="883">
        <f>IFERROR(O72-P72,"N/A")</f>
        <v/>
      </c>
      <c r="R72" s="328">
        <f>IFERROR((O72-P72)/ABS(P72),"N/A")</f>
        <v/>
      </c>
      <c r="S72" s="883">
        <f>IFERROR(O72-N72,"N/A")</f>
        <v/>
      </c>
      <c r="T72" s="328">
        <f>IFERROR((O72-N72)/ABS(N72),"N/A")</f>
        <v/>
      </c>
    </row>
    <row r="73" outlineLevel="1">
      <c r="B73" s="313" t="n"/>
      <c r="C73" s="322" t="inlineStr">
        <is>
          <t>Agency service</t>
        </is>
      </c>
      <c r="D73" s="322" t="n"/>
      <c r="E73" s="300">
        <f>"thsd</f>
        <v/>
      </c>
      <c r="F73" s="300" t="inlineStr">
        <is>
          <t>+</t>
        </is>
      </c>
      <c r="G73" s="323" t="n"/>
      <c r="H73" s="323" t="n"/>
      <c r="I73" s="323" t="n"/>
      <c r="J73" s="880">
        <f>IFERROR(H73-I73,"N/A")</f>
        <v/>
      </c>
      <c r="K73" s="317">
        <f>IFERROR((H73-I73)/ABS(I73),"N/A")</f>
        <v/>
      </c>
      <c r="L73" s="881">
        <f>IFERROR(H73-G73,"N/A")</f>
        <v/>
      </c>
      <c r="M73" s="317">
        <f>IFERROR((H73-G73)/ABS(G73),"N/A")</f>
        <v/>
      </c>
      <c r="N73" s="61" t="n"/>
      <c r="O73" s="61" t="n"/>
      <c r="P73" s="61" t="n"/>
      <c r="Q73" s="881">
        <f>IFERROR(O73-P73,"N/A")</f>
        <v/>
      </c>
      <c r="R73" s="317">
        <f>IFERROR((O73-P73)/ABS(P73),"N/A")</f>
        <v/>
      </c>
      <c r="S73" s="881">
        <f>IFERROR(O73-N73,"N/A")</f>
        <v/>
      </c>
      <c r="T73" s="317">
        <f>IFERROR((O73-N73)/ABS(N73),"N/A")</f>
        <v/>
      </c>
    </row>
    <row r="74" outlineLevel="1" ht="25.5" customHeight="1">
      <c r="B74" s="325" t="n"/>
      <c r="C74" s="344" t="inlineStr">
        <is>
          <t>COGs</t>
        </is>
      </c>
      <c r="D74" s="344" t="n"/>
      <c r="E74" s="320">
        <f>"thsd</f>
        <v/>
      </c>
      <c r="F74" s="307" t="inlineStr">
        <is>
          <t>+</t>
        </is>
      </c>
      <c r="G74" s="323" t="n"/>
      <c r="H74" s="323" t="n"/>
      <c r="I74" s="323" t="n"/>
      <c r="J74" s="882">
        <f>IFERROR(H74-I74,"N/A")</f>
        <v/>
      </c>
      <c r="K74" s="328">
        <f>IFERROR((H74-I74)/ABS(I74),"N/A")</f>
        <v/>
      </c>
      <c r="L74" s="883">
        <f>IFERROR(H74-G74,"N/A")</f>
        <v/>
      </c>
      <c r="M74" s="328">
        <f>IFERROR((H74-G74)/ABS(G74),"N/A")</f>
        <v/>
      </c>
      <c r="N74" s="61" t="n"/>
      <c r="O74" s="61" t="n"/>
      <c r="P74" s="61" t="n"/>
      <c r="Q74" s="883">
        <f>IFERROR(O74-P74,"N/A")</f>
        <v/>
      </c>
      <c r="R74" s="328">
        <f>IFERROR((O74-P74)/ABS(P74),"N/A")</f>
        <v/>
      </c>
      <c r="S74" s="883">
        <f>IFERROR(O74-N74,"N/A")</f>
        <v/>
      </c>
      <c r="T74" s="328">
        <f>IFERROR((O74-N74)/ABS(N74),"N/A")</f>
        <v/>
      </c>
    </row>
    <row r="75" outlineLevel="1" ht="25.5" customHeight="1">
      <c r="B75" s="313" t="n"/>
      <c r="C75" s="322" t="inlineStr">
        <is>
          <t>Other (for Trading)</t>
        </is>
      </c>
      <c r="D75" s="322" t="n"/>
      <c r="E75" s="300">
        <f>"thsd</f>
        <v/>
      </c>
      <c r="F75" s="300" t="inlineStr">
        <is>
          <t>+</t>
        </is>
      </c>
      <c r="G75" s="323" t="n"/>
      <c r="H75" s="323" t="n"/>
      <c r="I75" s="323" t="n"/>
      <c r="J75" s="880">
        <f>IFERROR(H75-I75,"N/A")</f>
        <v/>
      </c>
      <c r="K75" s="317">
        <f>IFERROR((H75-I75)/ABS(I75),"N/A")</f>
        <v/>
      </c>
      <c r="L75" s="881">
        <f>IFERROR(H75-G75,"N/A")</f>
        <v/>
      </c>
      <c r="M75" s="317">
        <f>IFERROR((H75-G75)/ABS(G75),"N/A")</f>
        <v/>
      </c>
      <c r="N75" s="61" t="n"/>
      <c r="O75" s="61" t="n"/>
      <c r="P75" s="61" t="n"/>
      <c r="Q75" s="881">
        <f>IFERROR(O75-P75,"N/A")</f>
        <v/>
      </c>
      <c r="R75" s="317">
        <f>IFERROR((O75-P75)/ABS(P75),"N/A")</f>
        <v/>
      </c>
      <c r="S75" s="881">
        <f>IFERROR(O75-N75,"N/A")</f>
        <v/>
      </c>
      <c r="T75" s="317">
        <f>IFERROR((O75-N75)/ABS(N75),"N/A")</f>
        <v/>
      </c>
    </row>
    <row r="76" outlineLevel="1" ht="25.5" customHeight="1">
      <c r="B76" s="325" t="n"/>
      <c r="C76" s="339" t="inlineStr">
        <is>
          <t>COGs</t>
        </is>
      </c>
      <c r="D76" s="339" t="n"/>
      <c r="E76" s="320">
        <f>"thsd</f>
        <v/>
      </c>
      <c r="F76" s="307" t="inlineStr">
        <is>
          <t>+</t>
        </is>
      </c>
      <c r="G76" s="323" t="n"/>
      <c r="H76" s="323" t="n"/>
      <c r="I76" s="323" t="n"/>
      <c r="J76" s="878">
        <f>IFERROR(H76-I76,"N/A")</f>
        <v/>
      </c>
      <c r="K76" s="310">
        <f>IFERROR((H76-I76)/ABS(I76),"N/A")</f>
        <v/>
      </c>
      <c r="L76" s="879">
        <f>IFERROR(H76-G76,"N/A")</f>
        <v/>
      </c>
      <c r="M76" s="310">
        <f>IFERROR((H76-G76)/ABS(G76),"N/A")</f>
        <v/>
      </c>
      <c r="N76" s="61" t="n"/>
      <c r="O76" s="61" t="n"/>
      <c r="P76" s="61" t="n"/>
      <c r="Q76" s="879">
        <f>IFERROR(O76-P76,"N/A")</f>
        <v/>
      </c>
      <c r="R76" s="310">
        <f>IFERROR((O76-P76)/ABS(P76),"N/A")</f>
        <v/>
      </c>
      <c r="S76" s="879">
        <f>IFERROR(O76-N76,"N/A")</f>
        <v/>
      </c>
      <c r="T76" s="310">
        <f>IFERROR((O76-N76)/ABS(N76),"N/A")</f>
        <v/>
      </c>
    </row>
    <row r="77" ht="25.5" customHeight="1">
      <c r="B77" s="313" t="n"/>
      <c r="C77" s="314" t="inlineStr">
        <is>
          <t>Retail</t>
        </is>
      </c>
      <c r="D77" s="314" t="n"/>
      <c r="E77" s="300">
        <f>"thsd</f>
        <v/>
      </c>
      <c r="F77" s="300" t="inlineStr">
        <is>
          <t>+</t>
        </is>
      </c>
      <c r="G77" s="315">
        <f>IF(AND(G79="N/A",G81="N/A",G83="N/A"),"N/A",SUM(G79,G81,G83))</f>
        <v/>
      </c>
      <c r="H77" s="315">
        <f>IF(AND(H79="N/A",H81="N/A",H83="N/A"),"N/A",SUM(H79,H81,H83))</f>
        <v/>
      </c>
      <c r="I77" s="315">
        <f>IF(AND(I79="N/A",I81="N/A",I83="N/A"),"N/A",SUM(I79,I81,I83))</f>
        <v/>
      </c>
      <c r="J77" s="880">
        <f>IFERROR(H77-I77,"N/A")</f>
        <v/>
      </c>
      <c r="K77" s="317">
        <f>IFERROR((H77-I77)/ABS(I77),"N/A")</f>
        <v/>
      </c>
      <c r="L77" s="881">
        <f>IFERROR(H77-G77,"N/A")</f>
        <v/>
      </c>
      <c r="M77" s="317">
        <f>IFERROR((H77-G77)/ABS(G77),"N/A")</f>
        <v/>
      </c>
      <c r="N77" s="319">
        <f>IF(AND(N79="N/A",N81="N/A",N83="N/A"),"N/A",SUM(N79,N81,N83))</f>
        <v/>
      </c>
      <c r="O77" s="319">
        <f>IF(AND(O79="N/A",O81="N/A",O83="N/A"),"N/A",SUM(O79,O81,O83))</f>
        <v/>
      </c>
      <c r="P77" s="319">
        <f>IF(AND(P79="N/A",P81="N/A",P83="N/A"),"N/A",SUM(P79,P81,P83))</f>
        <v/>
      </c>
      <c r="Q77" s="881">
        <f>IFERROR(O77-P77,"N/A")</f>
        <v/>
      </c>
      <c r="R77" s="317">
        <f>IFERROR((O77-P77)/ABS(P77),"N/A")</f>
        <v/>
      </c>
      <c r="S77" s="881">
        <f>IFERROR(O77-N77,"N/A")</f>
        <v/>
      </c>
      <c r="T77" s="317">
        <f>IFERROR((O77-N77)/ABS(N77),"N/A")</f>
        <v/>
      </c>
    </row>
    <row r="78" outlineLevel="1" ht="25.5" customHeight="1">
      <c r="B78" s="325" t="n"/>
      <c r="C78" s="325" t="inlineStr">
        <is>
          <t>COGs</t>
        </is>
      </c>
      <c r="D78" s="325" t="n"/>
      <c r="E78" s="320">
        <f>"thsd</f>
        <v/>
      </c>
      <c r="F78" s="307" t="inlineStr">
        <is>
          <t>+</t>
        </is>
      </c>
      <c r="G78" s="321">
        <f>IF(AND(G80="N/A",G82="N/A",G84="N/A"),"N/A",SUM(G80,G82,G84))</f>
        <v/>
      </c>
      <c r="H78" s="321">
        <f>IF(AND(H80="N/A",H82="N/A",H84="N/A"),"N/A",SUM(H80,H82,H84))</f>
        <v/>
      </c>
      <c r="I78" s="321">
        <f>IF(AND(I80="N/A",I82="N/A",I84="N/A"),"N/A",SUM(I80,I82,I84))</f>
        <v/>
      </c>
      <c r="J78" s="878">
        <f>IFERROR(H78-I78,"N/A")</f>
        <v/>
      </c>
      <c r="K78" s="310">
        <f>IFERROR((H78-I78)/ABS(I78),"N/A")</f>
        <v/>
      </c>
      <c r="L78" s="879">
        <f>IFERROR(H78-G78,"N/A")</f>
        <v/>
      </c>
      <c r="M78" s="310">
        <f>IFERROR((H78-G78)/ABS(G78),"N/A")</f>
        <v/>
      </c>
      <c r="N78" s="312">
        <f>IF(AND(N80="N/A",N82="N/A",N84="N/A"),"N/A",SUM(N80,N82,N84))</f>
        <v/>
      </c>
      <c r="O78" s="312">
        <f>IF(AND(O80="N/A",O82="N/A",O84="N/A"),"N/A",SUM(O80,O82,O84))</f>
        <v/>
      </c>
      <c r="P78" s="312">
        <f>IF(AND(P80="N/A",P82="N/A",P84="N/A"),"N/A",SUM(P80,P82,P84))</f>
        <v/>
      </c>
      <c r="Q78" s="879">
        <f>IFERROR(O78-P78,"N/A")</f>
        <v/>
      </c>
      <c r="R78" s="310">
        <f>IFERROR((O78-P78)/ABS(P78),"N/A")</f>
        <v/>
      </c>
      <c r="S78" s="879">
        <f>IFERROR(O78-N78,"N/A")</f>
        <v/>
      </c>
      <c r="T78" s="310">
        <f>IFERROR((O78-N78)/ABS(N78),"N/A")</f>
        <v/>
      </c>
    </row>
    <row r="79" outlineLevel="1">
      <c r="B79" s="313" t="n"/>
      <c r="C79" s="322" t="inlineStr">
        <is>
          <t>Café</t>
        </is>
      </c>
      <c r="D79" s="322" t="inlineStr">
        <is>
          <t>Kafe xidməti</t>
        </is>
      </c>
      <c r="E79" s="300">
        <f>"thsd</f>
        <v/>
      </c>
      <c r="F79" s="300" t="inlineStr">
        <is>
          <t>+</t>
        </is>
      </c>
      <c r="G79" s="323" t="n"/>
      <c r="H79" s="323" t="n"/>
      <c r="I79" s="323" t="n"/>
      <c r="J79" s="880">
        <f>IFERROR(H79-I79,"N/A")</f>
        <v/>
      </c>
      <c r="K79" s="317">
        <f>IFERROR((H79-I79)/ABS(I79),"N/A")</f>
        <v/>
      </c>
      <c r="L79" s="881">
        <f>IFERROR(H79-G79,"N/A")</f>
        <v/>
      </c>
      <c r="M79" s="317">
        <f>IFERROR((H79-G79)/ABS(G79),"N/A")</f>
        <v/>
      </c>
      <c r="N79" s="61" t="n"/>
      <c r="O79" s="61" t="n"/>
      <c r="P79" s="61" t="n"/>
      <c r="Q79" s="881">
        <f>IFERROR(O79-P79,"N/A")</f>
        <v/>
      </c>
      <c r="R79" s="317">
        <f>IFERROR((O79-P79)/ABS(P79),"N/A")</f>
        <v/>
      </c>
      <c r="S79" s="881">
        <f>IFERROR(O79-N79,"N/A")</f>
        <v/>
      </c>
      <c r="T79" s="317">
        <f>IFERROR((O79-N79)/ABS(N79),"N/A")</f>
        <v/>
      </c>
    </row>
    <row r="80" outlineLevel="1" ht="25.5" customHeight="1">
      <c r="B80" s="325" t="n"/>
      <c r="C80" s="339" t="inlineStr">
        <is>
          <t>COGs</t>
        </is>
      </c>
      <c r="D80" s="339" t="n"/>
      <c r="E80" s="320">
        <f>"thsd</f>
        <v/>
      </c>
      <c r="F80" s="307" t="inlineStr">
        <is>
          <t>+</t>
        </is>
      </c>
      <c r="G80" s="323" t="n"/>
      <c r="H80" s="323" t="n"/>
      <c r="I80" s="323" t="n"/>
      <c r="J80" s="878">
        <f>IFERROR(H80-I80,"N/A")</f>
        <v/>
      </c>
      <c r="K80" s="310">
        <f>IFERROR((H80-I80)/ABS(I80),"N/A")</f>
        <v/>
      </c>
      <c r="L80" s="879">
        <f>IFERROR(H80-G80,"N/A")</f>
        <v/>
      </c>
      <c r="M80" s="310">
        <f>IFERROR((H80-G80)/ABS(G80),"N/A")</f>
        <v/>
      </c>
      <c r="N80" s="61" t="n"/>
      <c r="O80" s="61" t="n"/>
      <c r="P80" s="61" t="n"/>
      <c r="Q80" s="879">
        <f>IFERROR(O80-P80,"N/A")</f>
        <v/>
      </c>
      <c r="R80" s="310">
        <f>IFERROR((O80-P80)/ABS(P80),"N/A")</f>
        <v/>
      </c>
      <c r="S80" s="879">
        <f>IFERROR(O80-N80,"N/A")</f>
        <v/>
      </c>
      <c r="T80" s="310">
        <f>IFERROR((O80-N80)/ABS(N80),"N/A")</f>
        <v/>
      </c>
    </row>
    <row r="81" outlineLevel="1" ht="25.5" customHeight="1">
      <c r="B81" s="313" t="n"/>
      <c r="C81" s="322" t="inlineStr">
        <is>
          <t>Car service (incl. car wash)</t>
        </is>
      </c>
      <c r="D81" s="322" t="n"/>
      <c r="E81" s="300">
        <f>"thsd</f>
        <v/>
      </c>
      <c r="F81" s="300" t="inlineStr">
        <is>
          <t>+</t>
        </is>
      </c>
      <c r="G81" s="323" t="n"/>
      <c r="H81" s="323" t="n"/>
      <c r="I81" s="323" t="n"/>
      <c r="J81" s="880">
        <f>IFERROR(H81-I81,"N/A")</f>
        <v/>
      </c>
      <c r="K81" s="317">
        <f>IFERROR((H81-I81)/ABS(I81),"N/A")</f>
        <v/>
      </c>
      <c r="L81" s="881">
        <f>IFERROR(H81-G81,"N/A")</f>
        <v/>
      </c>
      <c r="M81" s="317">
        <f>IFERROR((H81-G81)/ABS(G81),"N/A")</f>
        <v/>
      </c>
      <c r="N81" s="61" t="n"/>
      <c r="O81" s="61" t="n"/>
      <c r="P81" s="61" t="n"/>
      <c r="Q81" s="881">
        <f>IFERROR(O81-P81,"N/A")</f>
        <v/>
      </c>
      <c r="R81" s="317">
        <f>IFERROR((O81-P81)/ABS(P81),"N/A")</f>
        <v/>
      </c>
      <c r="S81" s="881">
        <f>IFERROR(O81-N81,"N/A")</f>
        <v/>
      </c>
      <c r="T81" s="317">
        <f>IFERROR((O81-N81)/ABS(N81),"N/A")</f>
        <v/>
      </c>
    </row>
    <row r="82" outlineLevel="1" ht="25.5" customHeight="1">
      <c r="B82" s="325" t="n"/>
      <c r="C82" s="339" t="inlineStr">
        <is>
          <t>COGs</t>
        </is>
      </c>
      <c r="D82" s="339" t="n"/>
      <c r="E82" s="320">
        <f>"thsd</f>
        <v/>
      </c>
      <c r="F82" s="307" t="inlineStr">
        <is>
          <t>+</t>
        </is>
      </c>
      <c r="G82" s="323" t="n"/>
      <c r="H82" s="323" t="n"/>
      <c r="I82" s="323" t="n"/>
      <c r="J82" s="878">
        <f>IFERROR(H82-I82,"N/A")</f>
        <v/>
      </c>
      <c r="K82" s="310">
        <f>IFERROR((H82-I82)/ABS(I82),"N/A")</f>
        <v/>
      </c>
      <c r="L82" s="879">
        <f>IFERROR(H82-G82,"N/A")</f>
        <v/>
      </c>
      <c r="M82" s="310">
        <f>IFERROR((H82-G82)/ABS(G82),"N/A")</f>
        <v/>
      </c>
      <c r="N82" s="61" t="n"/>
      <c r="O82" s="61" t="n"/>
      <c r="P82" s="61" t="n"/>
      <c r="Q82" s="879">
        <f>IFERROR(O82-P82,"N/A")</f>
        <v/>
      </c>
      <c r="R82" s="310">
        <f>IFERROR((O82-P82)/ABS(P82),"N/A")</f>
        <v/>
      </c>
      <c r="S82" s="879">
        <f>IFERROR(O82-N82,"N/A")</f>
        <v/>
      </c>
      <c r="T82" s="310">
        <f>IFERROR((O82-N82)/ABS(N82),"N/A")</f>
        <v/>
      </c>
    </row>
    <row r="83" outlineLevel="1" ht="25.5" customHeight="1">
      <c r="B83" s="313" t="n"/>
      <c r="C83" s="322" t="inlineStr">
        <is>
          <t>Other (for Retail)</t>
        </is>
      </c>
      <c r="D83" s="322" t="n"/>
      <c r="E83" s="300">
        <f>"thsd</f>
        <v/>
      </c>
      <c r="F83" s="300" t="inlineStr">
        <is>
          <t>+</t>
        </is>
      </c>
      <c r="G83" s="323" t="n">
        <v>0</v>
      </c>
      <c r="H83" s="323" t="n"/>
      <c r="I83" s="323" t="n"/>
      <c r="J83" s="880">
        <f>IFERROR(H83-I83,"N/A")</f>
        <v/>
      </c>
      <c r="K83" s="317">
        <f>IFERROR((H83-I83)/ABS(I83),"N/A")</f>
        <v/>
      </c>
      <c r="L83" s="881">
        <f>IFERROR(H83-G83,"N/A")</f>
        <v/>
      </c>
      <c r="M83" s="317">
        <f>IFERROR((H83-G83)/ABS(G83),"N/A")</f>
        <v/>
      </c>
      <c r="N83" s="61" t="n"/>
      <c r="O83" s="61" t="n"/>
      <c r="P83" s="61" t="n"/>
      <c r="Q83" s="881">
        <f>IFERROR(O83-P83,"N/A")</f>
        <v/>
      </c>
      <c r="R83" s="317">
        <f>IFERROR((O83-P83)/ABS(P83),"N/A")</f>
        <v/>
      </c>
      <c r="S83" s="881">
        <f>IFERROR(O83-N83,"N/A")</f>
        <v/>
      </c>
      <c r="T83" s="317">
        <f>IFERROR((O83-N83)/ABS(N83),"N/A")</f>
        <v/>
      </c>
    </row>
    <row r="84" outlineLevel="1" ht="25.5" customHeight="1">
      <c r="B84" s="325" t="n"/>
      <c r="C84" s="339" t="inlineStr">
        <is>
          <t>COGs</t>
        </is>
      </c>
      <c r="D84" s="339" t="n"/>
      <c r="E84" s="320">
        <f>"thsd</f>
        <v/>
      </c>
      <c r="F84" s="307" t="inlineStr">
        <is>
          <t>+</t>
        </is>
      </c>
      <c r="G84" s="323" t="n"/>
      <c r="H84" s="323" t="n"/>
      <c r="I84" s="323" t="n"/>
      <c r="J84" s="878">
        <f>IFERROR(H84-I84,"N/A")</f>
        <v/>
      </c>
      <c r="K84" s="310">
        <f>IFERROR((H84-I84)/ABS(I84),"N/A")</f>
        <v/>
      </c>
      <c r="L84" s="879">
        <f>IFERROR(H84-G84,"N/A")</f>
        <v/>
      </c>
      <c r="M84" s="310">
        <f>IFERROR((H84-G84)/ABS(G84),"N/A")</f>
        <v/>
      </c>
      <c r="N84" s="61" t="n"/>
      <c r="O84" s="61" t="n"/>
      <c r="P84" s="61" t="n"/>
      <c r="Q84" s="879">
        <f>IFERROR(O84-P84,"N/A")</f>
        <v/>
      </c>
      <c r="R84" s="310">
        <f>IFERROR((O84-P84)/ABS(P84),"N/A")</f>
        <v/>
      </c>
      <c r="S84" s="879">
        <f>IFERROR(O84-N84,"N/A")</f>
        <v/>
      </c>
      <c r="T84" s="310">
        <f>IFERROR((O84-N84)/ABS(N84),"N/A")</f>
        <v/>
      </c>
    </row>
    <row r="85">
      <c r="B85" s="313" t="n"/>
      <c r="C85" s="313" t="inlineStr">
        <is>
          <t>Construction</t>
        </is>
      </c>
      <c r="D85" s="313" t="inlineStr">
        <is>
          <t xml:space="preserve">Tikinti </t>
        </is>
      </c>
      <c r="E85" s="300">
        <f>"thsd</f>
        <v/>
      </c>
      <c r="F85" s="300" t="inlineStr">
        <is>
          <t>+</t>
        </is>
      </c>
      <c r="G85" s="315">
        <f>IF(AND(G87="N/A",G95="N/A",G89="N/A",G91="N/A",G93="N/A"),"N/A",SUM(G87,G95,G89,G91,G93))</f>
        <v/>
      </c>
      <c r="H85" s="315">
        <f>IF(AND(H87="N/A",H95="N/A",H89="N/A",H91="N/A",H93="N/A"),"N/A",SUM(H87,H95,H89,H91,H93))</f>
        <v/>
      </c>
      <c r="I85" s="315">
        <f>IF(AND(I87="N/A",I95="N/A",I89="N/A",I91="N/A",I93="N/A"),"N/A",SUM(I87,I95,I89,I91,I93))</f>
        <v/>
      </c>
      <c r="J85" s="880">
        <f>IFERROR(H85-I85,"N/A")</f>
        <v/>
      </c>
      <c r="K85" s="317">
        <f>IFERROR((H85-I85)/ABS(I85),"N/A")</f>
        <v/>
      </c>
      <c r="L85" s="881">
        <f>IFERROR(H85-G85,"N/A")</f>
        <v/>
      </c>
      <c r="M85" s="317">
        <f>IFERROR((H85-G85)/ABS(G85),"N/A")</f>
        <v/>
      </c>
      <c r="N85" s="319">
        <f>IF(AND(N87="N/A",N95="N/A",N89="N/A",N91="N/A",N93="N/A"),"N/A",SUM(N87,N95,N89,N91,N93))</f>
        <v/>
      </c>
      <c r="O85" s="319">
        <f>IF(AND(O87="N/A",O95="N/A",O89="N/A",O91="N/A",O93="N/A"),"N/A",SUM(O87,O95,O89,O91,O93))</f>
        <v/>
      </c>
      <c r="P85" s="319">
        <f>IF(AND(P87="N/A",P95="N/A",P89="N/A",P91="N/A",P93="N/A"),"N/A",SUM(P87,P95,P89,P91,P93))</f>
        <v/>
      </c>
      <c r="Q85" s="881">
        <f>IFERROR(O85-P85,"N/A")</f>
        <v/>
      </c>
      <c r="R85" s="317">
        <f>IFERROR((O85-P85)/ABS(P85),"N/A")</f>
        <v/>
      </c>
      <c r="S85" s="881">
        <f>IFERROR(O85-N85,"N/A")</f>
        <v/>
      </c>
      <c r="T85" s="317">
        <f>IFERROR((O85-N85)/ABS(N85),"N/A")</f>
        <v/>
      </c>
    </row>
    <row r="86" outlineLevel="1" ht="25.5" customHeight="1">
      <c r="B86" s="325" t="n"/>
      <c r="C86" s="325" t="inlineStr">
        <is>
          <t>COGs</t>
        </is>
      </c>
      <c r="D86" s="325" t="n"/>
      <c r="E86" s="320">
        <f>"thsd</f>
        <v/>
      </c>
      <c r="F86" s="307" t="inlineStr">
        <is>
          <t>+</t>
        </is>
      </c>
      <c r="G86" s="321">
        <f>IF(AND(G88="N/A",G96="N/A",G90="N/A",G92="N/A",G94="N/A"),"N/A",SUM(G88,G96,G90,G92,G94))</f>
        <v/>
      </c>
      <c r="H86" s="321">
        <f>IF(AND(H88="N/A",H96="N/A",H90="N/A",H92="N/A",H94="N/A"),"N/A",SUM(H88,H96,H90,H92,H94))</f>
        <v/>
      </c>
      <c r="I86" s="321">
        <f>IF(AND(I88="N/A",I96="N/A",I90="N/A",I92="N/A",I94="N/A"),"N/A",SUM(I88,I96,I90,I92,I94))</f>
        <v/>
      </c>
      <c r="J86" s="878">
        <f>IFERROR(H86-I86,"N/A")</f>
        <v/>
      </c>
      <c r="K86" s="310">
        <f>IFERROR((H86-I86)/ABS(I86),"N/A")</f>
        <v/>
      </c>
      <c r="L86" s="879">
        <f>IFERROR(H86-G86,"N/A")</f>
        <v/>
      </c>
      <c r="M86" s="310">
        <f>IFERROR((H86-G86)/ABS(G86),"N/A")</f>
        <v/>
      </c>
      <c r="N86" s="312">
        <f>IF(AND(N88="N/A",N96="N/A",N90="N/A",N92="N/A",N94="N/A"),"N/A",SUM(N88,N96,N90,N92,N94))</f>
        <v/>
      </c>
      <c r="O86" s="312">
        <f>IF(AND(O88="N/A",O96="N/A",O90="N/A",O92="N/A",O94="N/A"),"N/A",SUM(O88,O96,O90,O92,O94))</f>
        <v/>
      </c>
      <c r="P86" s="312">
        <f>IF(AND(P88="N/A",P96="N/A",P90="N/A",P92="N/A",P94="N/A"),"N/A",SUM(P88,P96,P90,P92,P94))</f>
        <v/>
      </c>
      <c r="Q86" s="879">
        <f>IFERROR(O86-P86,"N/A")</f>
        <v/>
      </c>
      <c r="R86" s="310">
        <f>IFERROR((O86-P86)/ABS(P86),"N/A")</f>
        <v/>
      </c>
      <c r="S86" s="879">
        <f>IFERROR(O86-N86,"N/A")</f>
        <v/>
      </c>
      <c r="T86" s="310">
        <f>IFERROR((O86-N86)/ABS(N86),"N/A")</f>
        <v/>
      </c>
    </row>
    <row r="87" outlineLevel="1" ht="25.5" customHeight="1">
      <c r="B87" s="313" t="n"/>
      <c r="C87" s="322" t="inlineStr">
        <is>
          <t>Construction and installation of production facilities</t>
        </is>
      </c>
      <c r="D87" s="322" t="n"/>
      <c r="E87" s="300">
        <f>"thsd</f>
        <v/>
      </c>
      <c r="F87" s="300" t="inlineStr">
        <is>
          <t>+</t>
        </is>
      </c>
      <c r="G87" s="323" t="n"/>
      <c r="H87" s="323" t="n"/>
      <c r="I87" s="323" t="n"/>
      <c r="J87" s="880">
        <f>IFERROR(H87-I87,"N/A")</f>
        <v/>
      </c>
      <c r="K87" s="317">
        <f>IFERROR((H87-I87)/ABS(I87),"N/A")</f>
        <v/>
      </c>
      <c r="L87" s="881">
        <f>IFERROR(H87-G87,"N/A")</f>
        <v/>
      </c>
      <c r="M87" s="317">
        <f>IFERROR((H87-G87)/ABS(G87),"N/A")</f>
        <v/>
      </c>
      <c r="N87" s="61" t="n"/>
      <c r="O87" s="61" t="n"/>
      <c r="P87" s="61" t="n"/>
      <c r="Q87" s="881">
        <f>IFERROR(O87-P87,"N/A")</f>
        <v/>
      </c>
      <c r="R87" s="317">
        <f>IFERROR((O87-P87)/ABS(P87),"N/A")</f>
        <v/>
      </c>
      <c r="S87" s="881">
        <f>IFERROR(O87-N87,"N/A")</f>
        <v/>
      </c>
      <c r="T87" s="317">
        <f>IFERROR((O87-N87)/ABS(N87),"N/A")</f>
        <v/>
      </c>
    </row>
    <row r="88" outlineLevel="1" ht="25.5" customHeight="1">
      <c r="B88" s="325" t="n"/>
      <c r="C88" s="339" t="inlineStr">
        <is>
          <t>COGs</t>
        </is>
      </c>
      <c r="D88" s="339" t="n"/>
      <c r="E88" s="320">
        <f>"thsd</f>
        <v/>
      </c>
      <c r="F88" s="307" t="inlineStr">
        <is>
          <t>+</t>
        </is>
      </c>
      <c r="G88" s="323" t="n"/>
      <c r="H88" s="323" t="n"/>
      <c r="I88" s="323" t="n"/>
      <c r="J88" s="878">
        <f>IFERROR(H88-I88,"N/A")</f>
        <v/>
      </c>
      <c r="K88" s="310">
        <f>IFERROR((H88-I88)/ABS(I88),"N/A")</f>
        <v/>
      </c>
      <c r="L88" s="879">
        <f>IFERROR(H88-G88,"N/A")</f>
        <v/>
      </c>
      <c r="M88" s="310">
        <f>IFERROR((H88-G88)/ABS(G88),"N/A")</f>
        <v/>
      </c>
      <c r="N88" s="61" t="n"/>
      <c r="O88" s="61" t="n"/>
      <c r="P88" s="61" t="n"/>
      <c r="Q88" s="879">
        <f>IFERROR(O88-P88,"N/A")</f>
        <v/>
      </c>
      <c r="R88" s="310">
        <f>IFERROR((O88-P88)/ABS(P88),"N/A")</f>
        <v/>
      </c>
      <c r="S88" s="879">
        <f>IFERROR(O88-N88,"N/A")</f>
        <v/>
      </c>
      <c r="T88" s="310">
        <f>IFERROR((O88-N88)/ABS(N88),"N/A")</f>
        <v/>
      </c>
    </row>
    <row r="89" outlineLevel="1" ht="25.5" customHeight="1">
      <c r="B89" s="313" t="n"/>
      <c r="C89" s="322" t="inlineStr">
        <is>
          <t>Construction of non-production facilities</t>
        </is>
      </c>
      <c r="D89" s="322" t="n"/>
      <c r="E89" s="300">
        <f>"thsd</f>
        <v/>
      </c>
      <c r="F89" s="300" t="inlineStr">
        <is>
          <t>+</t>
        </is>
      </c>
      <c r="G89" s="323" t="n"/>
      <c r="H89" s="323" t="n"/>
      <c r="I89" s="323" t="n"/>
      <c r="J89" s="880">
        <f>IFERROR(H89-I89,"N/A")</f>
        <v/>
      </c>
      <c r="K89" s="317">
        <f>IFERROR((H89-I89)/ABS(I89),"N/A")</f>
        <v/>
      </c>
      <c r="L89" s="881">
        <f>IFERROR(H89-G89,"N/A")</f>
        <v/>
      </c>
      <c r="M89" s="317">
        <f>IFERROR((H89-G89)/ABS(G89),"N/A")</f>
        <v/>
      </c>
      <c r="N89" s="61" t="n"/>
      <c r="O89" s="61" t="n"/>
      <c r="P89" s="61" t="n"/>
      <c r="Q89" s="881">
        <f>IFERROR(O89-P89,"N/A")</f>
        <v/>
      </c>
      <c r="R89" s="317">
        <f>IFERROR((O89-P89)/ABS(P89),"N/A")</f>
        <v/>
      </c>
      <c r="S89" s="881">
        <f>IFERROR(O89-N89,"N/A")</f>
        <v/>
      </c>
      <c r="T89" s="317">
        <f>IFERROR((O89-N89)/ABS(N89),"N/A")</f>
        <v/>
      </c>
    </row>
    <row r="90" outlineLevel="1" ht="25.5" customHeight="1">
      <c r="B90" s="325" t="n"/>
      <c r="C90" s="339" t="inlineStr">
        <is>
          <t>COGs</t>
        </is>
      </c>
      <c r="D90" s="339" t="n"/>
      <c r="E90" s="320">
        <f>"thsd</f>
        <v/>
      </c>
      <c r="F90" s="307" t="inlineStr">
        <is>
          <t>+</t>
        </is>
      </c>
      <c r="G90" s="323" t="n"/>
      <c r="H90" s="323" t="n"/>
      <c r="I90" s="323" t="n"/>
      <c r="J90" s="878">
        <f>IFERROR(H90-I90,"N/A")</f>
        <v/>
      </c>
      <c r="K90" s="310">
        <f>IFERROR((H90-I90)/ABS(I90),"N/A")</f>
        <v/>
      </c>
      <c r="L90" s="879">
        <f>IFERROR(H90-G90,"N/A")</f>
        <v/>
      </c>
      <c r="M90" s="310">
        <f>IFERROR((H90-G90)/ABS(G90),"N/A")</f>
        <v/>
      </c>
      <c r="N90" s="61" t="n"/>
      <c r="O90" s="61" t="n"/>
      <c r="P90" s="61" t="n"/>
      <c r="Q90" s="879">
        <f>IFERROR(O90-P90,"N/A")</f>
        <v/>
      </c>
      <c r="R90" s="310">
        <f>IFERROR((O90-P90)/ABS(P90),"N/A")</f>
        <v/>
      </c>
      <c r="S90" s="879">
        <f>IFERROR(O90-N90,"N/A")</f>
        <v/>
      </c>
      <c r="T90" s="310">
        <f>IFERROR((O90-N90)/ABS(N90),"N/A")</f>
        <v/>
      </c>
    </row>
    <row r="91" outlineLevel="1" ht="26.1" customHeight="1">
      <c r="B91" s="313" t="n"/>
      <c r="C91" s="322" t="inlineStr">
        <is>
          <t>Installation of fixed assets</t>
        </is>
      </c>
      <c r="D91" s="322" t="n"/>
      <c r="E91" s="300">
        <f>"thsd</f>
        <v/>
      </c>
      <c r="F91" s="300" t="inlineStr">
        <is>
          <t>+</t>
        </is>
      </c>
      <c r="G91" s="323" t="n"/>
      <c r="H91" s="323" t="n"/>
      <c r="I91" s="323" t="n"/>
      <c r="J91" s="880">
        <f>IFERROR(H91-I91,"N/A")</f>
        <v/>
      </c>
      <c r="K91" s="317">
        <f>IFERROR((H91-I91)/ABS(I91),"N/A")</f>
        <v/>
      </c>
      <c r="L91" s="881">
        <f>IFERROR(H91-G91,"N/A")</f>
        <v/>
      </c>
      <c r="M91" s="317">
        <f>IFERROR((H91-G91)/ABS(G91),"N/A")</f>
        <v/>
      </c>
      <c r="N91" s="61" t="n"/>
      <c r="O91" s="61" t="n"/>
      <c r="P91" s="61" t="n"/>
      <c r="Q91" s="881">
        <f>IFERROR(O91-P91,"N/A")</f>
        <v/>
      </c>
      <c r="R91" s="317">
        <f>IFERROR((O91-P91)/ABS(P91),"N/A")</f>
        <v/>
      </c>
      <c r="S91" s="881">
        <f>IFERROR(O91-N91,"N/A")</f>
        <v/>
      </c>
      <c r="T91" s="317">
        <f>IFERROR((O91-N91)/ABS(N91),"N/A")</f>
        <v/>
      </c>
    </row>
    <row r="92" outlineLevel="1" ht="25.5" customHeight="1">
      <c r="B92" s="325" t="n"/>
      <c r="C92" s="339" t="inlineStr">
        <is>
          <t>COGs</t>
        </is>
      </c>
      <c r="D92" s="339" t="n"/>
      <c r="E92" s="320">
        <f>"thsd</f>
        <v/>
      </c>
      <c r="F92" s="307" t="inlineStr">
        <is>
          <t>+</t>
        </is>
      </c>
      <c r="G92" s="323" t="n"/>
      <c r="H92" s="323" t="n"/>
      <c r="I92" s="323" t="n"/>
      <c r="J92" s="878">
        <f>IFERROR(H92-I92,"N/A")</f>
        <v/>
      </c>
      <c r="K92" s="310">
        <f>IFERROR((H92-I92)/ABS(I92),"N/A")</f>
        <v/>
      </c>
      <c r="L92" s="879">
        <f>IFERROR(H92-G92,"N/A")</f>
        <v/>
      </c>
      <c r="M92" s="310">
        <f>IFERROR((H92-G92)/ABS(G92),"N/A")</f>
        <v/>
      </c>
      <c r="N92" s="61" t="n"/>
      <c r="O92" s="61" t="n"/>
      <c r="P92" s="61" t="n"/>
      <c r="Q92" s="879">
        <f>IFERROR(O92-P92,"N/A")</f>
        <v/>
      </c>
      <c r="R92" s="310">
        <f>IFERROR((O92-P92)/ABS(P92),"N/A")</f>
        <v/>
      </c>
      <c r="S92" s="879">
        <f>IFERROR(O92-N92,"N/A")</f>
        <v/>
      </c>
      <c r="T92" s="310">
        <f>IFERROR((O92-N92)/ABS(N92),"N/A")</f>
        <v/>
      </c>
    </row>
    <row r="93" outlineLevel="1" ht="25.5" customHeight="1">
      <c r="B93" s="322" t="n"/>
      <c r="C93" s="322" t="inlineStr">
        <is>
          <t>Development of project-estimate documents</t>
        </is>
      </c>
      <c r="D93" s="322" t="n"/>
      <c r="E93" s="300">
        <f>"thsd</f>
        <v/>
      </c>
      <c r="F93" s="300" t="inlineStr">
        <is>
          <t>+</t>
        </is>
      </c>
      <c r="G93" s="323" t="n"/>
      <c r="H93" s="323" t="n"/>
      <c r="I93" s="323" t="n"/>
      <c r="J93" s="880">
        <f>IFERROR(H93-I93,"N/A")</f>
        <v/>
      </c>
      <c r="K93" s="317">
        <f>IFERROR((H93-I93)/ABS(I93),"N/A")</f>
        <v/>
      </c>
      <c r="L93" s="881">
        <f>IFERROR(H93-G93,"N/A")</f>
        <v/>
      </c>
      <c r="M93" s="317">
        <f>IFERROR((H93-G93)/ABS(G93),"N/A")</f>
        <v/>
      </c>
      <c r="N93" s="61" t="n"/>
      <c r="O93" s="61" t="n"/>
      <c r="P93" s="61" t="n"/>
      <c r="Q93" s="881">
        <f>IFERROR(O93-P93,"N/A")</f>
        <v/>
      </c>
      <c r="R93" s="317">
        <f>IFERROR((O93-P93)/ABS(P93),"N/A")</f>
        <v/>
      </c>
      <c r="S93" s="881">
        <f>IFERROR(O93-N93,"N/A")</f>
        <v/>
      </c>
      <c r="T93" s="317">
        <f>IFERROR((O93-N93)/ABS(N93),"N/A")</f>
        <v/>
      </c>
    </row>
    <row r="94" outlineLevel="1" ht="25.5" customHeight="1">
      <c r="B94" s="325" t="n"/>
      <c r="C94" s="339" t="inlineStr">
        <is>
          <t>COGs</t>
        </is>
      </c>
      <c r="D94" s="339" t="n"/>
      <c r="E94" s="320">
        <f>"thsd</f>
        <v/>
      </c>
      <c r="F94" s="307" t="inlineStr">
        <is>
          <t>+</t>
        </is>
      </c>
      <c r="G94" s="323" t="n"/>
      <c r="H94" s="323" t="n"/>
      <c r="I94" s="323" t="n"/>
      <c r="J94" s="878">
        <f>IFERROR(H94-I94,"N/A")</f>
        <v/>
      </c>
      <c r="K94" s="310">
        <f>IFERROR((H94-I94)/ABS(I94),"N/A")</f>
        <v/>
      </c>
      <c r="L94" s="879">
        <f>IFERROR(H94-G94,"N/A")</f>
        <v/>
      </c>
      <c r="M94" s="310">
        <f>IFERROR((H94-G94)/ABS(G94),"N/A")</f>
        <v/>
      </c>
      <c r="N94" s="61" t="n"/>
      <c r="O94" s="61" t="n"/>
      <c r="P94" s="61" t="n"/>
      <c r="Q94" s="879">
        <f>IFERROR(O94-P94,"N/A")</f>
        <v/>
      </c>
      <c r="R94" s="310">
        <f>IFERROR((O94-P94)/ABS(P94),"N/A")</f>
        <v/>
      </c>
      <c r="S94" s="879">
        <f>IFERROR(O94-N94,"N/A")</f>
        <v/>
      </c>
      <c r="T94" s="310">
        <f>IFERROR((O94-N94)/ABS(N94),"N/A")</f>
        <v/>
      </c>
    </row>
    <row r="95" outlineLevel="1">
      <c r="B95" s="313" t="n"/>
      <c r="C95" s="322" t="inlineStr">
        <is>
          <t>Other (for Construction)</t>
        </is>
      </c>
      <c r="D95" s="322" t="inlineStr">
        <is>
          <t>Digər (Tikinti)</t>
        </is>
      </c>
      <c r="E95" s="300">
        <f>"thsd</f>
        <v/>
      </c>
      <c r="F95" s="300" t="inlineStr">
        <is>
          <t>+</t>
        </is>
      </c>
      <c r="G95" s="323" t="n"/>
      <c r="H95" s="323" t="n"/>
      <c r="I95" s="323" t="n"/>
      <c r="J95" s="880">
        <f>IFERROR(H95-I95,"N/A")</f>
        <v/>
      </c>
      <c r="K95" s="317">
        <f>IFERROR((H95-I95)/ABS(I95),"N/A")</f>
        <v/>
      </c>
      <c r="L95" s="881">
        <f>IFERROR(H95-G95,"N/A")</f>
        <v/>
      </c>
      <c r="M95" s="317">
        <f>IFERROR((H95-G95)/ABS(G95),"N/A")</f>
        <v/>
      </c>
      <c r="N95" s="61" t="n"/>
      <c r="O95" s="61" t="n"/>
      <c r="P95" s="61" t="n"/>
      <c r="Q95" s="881">
        <f>IFERROR(O95-P95,"N/A")</f>
        <v/>
      </c>
      <c r="R95" s="317">
        <f>IFERROR((O95-P95)/ABS(P95),"N/A")</f>
        <v/>
      </c>
      <c r="S95" s="881">
        <f>IFERROR(O95-N95,"N/A")</f>
        <v/>
      </c>
      <c r="T95" s="317">
        <f>IFERROR((O95-N95)/ABS(N95),"N/A")</f>
        <v/>
      </c>
    </row>
    <row r="96" outlineLevel="1" ht="25.5" customHeight="1">
      <c r="B96" s="325" t="n"/>
      <c r="C96" s="339" t="inlineStr">
        <is>
          <t>COGs</t>
        </is>
      </c>
      <c r="D96" s="339" t="n"/>
      <c r="E96" s="320">
        <f>"thsd</f>
        <v/>
      </c>
      <c r="F96" s="307" t="inlineStr">
        <is>
          <t>+</t>
        </is>
      </c>
      <c r="G96" s="323" t="n"/>
      <c r="H96" s="323" t="n"/>
      <c r="I96" s="323" t="n"/>
      <c r="J96" s="878">
        <f>IFERROR(H96-I96,"N/A")</f>
        <v/>
      </c>
      <c r="K96" s="310">
        <f>IFERROR((H96-I96)/ABS(I96),"N/A")</f>
        <v/>
      </c>
      <c r="L96" s="879">
        <f>IFERROR(H96-G96,"N/A")</f>
        <v/>
      </c>
      <c r="M96" s="310">
        <f>IFERROR((H96-G96)/ABS(G96),"N/A")</f>
        <v/>
      </c>
      <c r="N96" s="61" t="n"/>
      <c r="O96" s="61" t="n"/>
      <c r="P96" s="61" t="n"/>
      <c r="Q96" s="879">
        <f>IFERROR(O96-P96,"N/A")</f>
        <v/>
      </c>
      <c r="R96" s="310">
        <f>IFERROR((O96-P96)/ABS(P96),"N/A")</f>
        <v/>
      </c>
      <c r="S96" s="879">
        <f>IFERROR(O96-N96,"N/A")</f>
        <v/>
      </c>
      <c r="T96" s="310">
        <f>IFERROR((O96-N96)/ABS(N96),"N/A")</f>
        <v/>
      </c>
    </row>
    <row r="97">
      <c r="B97" s="313" t="n"/>
      <c r="C97" s="313" t="inlineStr">
        <is>
          <t>Drilling</t>
        </is>
      </c>
      <c r="D97" s="313" t="n"/>
      <c r="E97" s="300">
        <f>"thsd</f>
        <v/>
      </c>
      <c r="F97" s="300" t="inlineStr">
        <is>
          <t>+</t>
        </is>
      </c>
      <c r="G97" s="315">
        <f>IF(AND(G99="N/A",G101="N/A"),"N/A",SUM(G99,G101))</f>
        <v/>
      </c>
      <c r="H97" s="315">
        <f>IF(AND(H99="N/A",H101="N/A"),"N/A",SUM(H99,H101))</f>
        <v/>
      </c>
      <c r="I97" s="315">
        <f>IF(AND(I99="N/A",I101="N/A"),"N/A",SUM(I99,I101))</f>
        <v/>
      </c>
      <c r="J97" s="880">
        <f>IFERROR(H97-I97,"N/A")</f>
        <v/>
      </c>
      <c r="K97" s="317">
        <f>IFERROR((H97-I97)/ABS(I97),"N/A")</f>
        <v/>
      </c>
      <c r="L97" s="881">
        <f>IFERROR(H97-G97,"N/A")</f>
        <v/>
      </c>
      <c r="M97" s="317">
        <f>IFERROR((H97-G97)/ABS(G97),"N/A")</f>
        <v/>
      </c>
      <c r="N97" s="319">
        <f>IF(AND(N99="N/A",N101="N/A"),"N/A",SUM(N99,N101))</f>
        <v/>
      </c>
      <c r="O97" s="319">
        <f>IF(AND(O99="N/A",O101="N/A"),"N/A",SUM(O99,O101))</f>
        <v/>
      </c>
      <c r="P97" s="319">
        <f>IF(AND(P99="N/A",P101="N/A"),"N/A",SUM(P99,P101))</f>
        <v/>
      </c>
      <c r="Q97" s="881">
        <f>IFERROR(O97-P97,"N/A")</f>
        <v/>
      </c>
      <c r="R97" s="317">
        <f>IFERROR((O97-P97)/ABS(P97),"N/A")</f>
        <v/>
      </c>
      <c r="S97" s="881">
        <f>IFERROR(O97-N97,"N/A")</f>
        <v/>
      </c>
      <c r="T97" s="317">
        <f>IFERROR((O97-N97)/ABS(N97),"N/A")</f>
        <v/>
      </c>
    </row>
    <row r="98" outlineLevel="1" ht="25.5" customHeight="1">
      <c r="B98" s="325" t="n"/>
      <c r="C98" s="325" t="inlineStr">
        <is>
          <t>COGs</t>
        </is>
      </c>
      <c r="D98" s="325" t="n"/>
      <c r="E98" s="320">
        <f>"thsd</f>
        <v/>
      </c>
      <c r="F98" s="307" t="inlineStr">
        <is>
          <t>+</t>
        </is>
      </c>
      <c r="G98" s="321">
        <f>IF(AND(G100="N/A",G102="N/A"),"N/A",SUM(G100,G102))</f>
        <v/>
      </c>
      <c r="H98" s="321">
        <f>IF(AND(H100="N/A",H102="N/A"),"N/A",SUM(H100,H102))</f>
        <v/>
      </c>
      <c r="I98" s="321">
        <f>IF(AND(I100="N/A",I102="N/A"),"N/A",SUM(I100,I102))</f>
        <v/>
      </c>
      <c r="J98" s="878">
        <f>IFERROR(H98-I98,"N/A")</f>
        <v/>
      </c>
      <c r="K98" s="310">
        <f>IFERROR((H98-I98)/ABS(I98),"N/A")</f>
        <v/>
      </c>
      <c r="L98" s="879">
        <f>IFERROR(H98-G98,"N/A")</f>
        <v/>
      </c>
      <c r="M98" s="310">
        <f>IFERROR((H98-G98)/ABS(G98),"N/A")</f>
        <v/>
      </c>
      <c r="N98" s="312">
        <f>IF(AND(N100="N/A",N102="N/A"),"N/A",SUM(N100,N102))</f>
        <v/>
      </c>
      <c r="O98" s="312">
        <f>IF(AND(O100="N/A",O102="N/A"),"N/A",SUM(O100,O102))</f>
        <v/>
      </c>
      <c r="P98" s="312">
        <f>IF(AND(P100="N/A",P102="N/A"),"N/A",SUM(P100,P102))</f>
        <v/>
      </c>
      <c r="Q98" s="879">
        <f>IFERROR(O98-P98,"N/A")</f>
        <v/>
      </c>
      <c r="R98" s="310">
        <f>IFERROR((O98-P98)/ABS(P98),"N/A")</f>
        <v/>
      </c>
      <c r="S98" s="879">
        <f>IFERROR(O98-N98,"N/A")</f>
        <v/>
      </c>
      <c r="T98" s="310">
        <f>IFERROR((O98-N98)/ABS(N98),"N/A")</f>
        <v/>
      </c>
    </row>
    <row r="99" outlineLevel="1">
      <c r="B99" s="313" t="n"/>
      <c r="C99" s="322" t="inlineStr">
        <is>
          <t>Drilling service</t>
        </is>
      </c>
      <c r="D99" s="322" t="inlineStr">
        <is>
          <t>Qazma xidməti</t>
        </is>
      </c>
      <c r="E99" s="300">
        <f>"thsd</f>
        <v/>
      </c>
      <c r="F99" s="300" t="inlineStr">
        <is>
          <t>+</t>
        </is>
      </c>
      <c r="G99" s="323" t="n"/>
      <c r="H99" s="323" t="n"/>
      <c r="I99" s="323" t="n"/>
      <c r="J99" s="880">
        <f>IFERROR(H99-I99,"N/A")</f>
        <v/>
      </c>
      <c r="K99" s="317">
        <f>IFERROR((H99-I99)/ABS(I99),"N/A")</f>
        <v/>
      </c>
      <c r="L99" s="881">
        <f>IFERROR(H99-G99,"N/A")</f>
        <v/>
      </c>
      <c r="M99" s="317">
        <f>IFERROR((H99-G99)/ABS(G99),"N/A")</f>
        <v/>
      </c>
      <c r="N99" s="61" t="n"/>
      <c r="O99" s="61" t="n"/>
      <c r="P99" s="61" t="n"/>
      <c r="Q99" s="881">
        <f>IFERROR(O99-P99,"N/A")</f>
        <v/>
      </c>
      <c r="R99" s="317">
        <f>IFERROR((O99-P99)/ABS(P99),"N/A")</f>
        <v/>
      </c>
      <c r="S99" s="881">
        <f>IFERROR(O99-N99,"N/A")</f>
        <v/>
      </c>
      <c r="T99" s="317">
        <f>IFERROR((O99-N99)/ABS(N99),"N/A")</f>
        <v/>
      </c>
    </row>
    <row r="100" outlineLevel="1" ht="25.5" customHeight="1">
      <c r="B100" s="325" t="n"/>
      <c r="C100" s="339" t="inlineStr">
        <is>
          <t>COGs</t>
        </is>
      </c>
      <c r="D100" s="339" t="n"/>
      <c r="E100" s="320">
        <f>"thsd</f>
        <v/>
      </c>
      <c r="F100" s="307" t="inlineStr">
        <is>
          <t>+</t>
        </is>
      </c>
      <c r="G100" s="323" t="n"/>
      <c r="H100" s="323" t="n"/>
      <c r="I100" s="323" t="n"/>
      <c r="J100" s="878">
        <f>IFERROR(H100-I100,"N/A")</f>
        <v/>
      </c>
      <c r="K100" s="310">
        <f>IFERROR((H100-I100)/ABS(I100),"N/A")</f>
        <v/>
      </c>
      <c r="L100" s="879">
        <f>IFERROR(H100-G100,"N/A")</f>
        <v/>
      </c>
      <c r="M100" s="310">
        <f>IFERROR((H100-G100)/ABS(G100),"N/A")</f>
        <v/>
      </c>
      <c r="N100" s="61" t="n"/>
      <c r="O100" s="61" t="n"/>
      <c r="P100" s="61" t="n"/>
      <c r="Q100" s="879">
        <f>IFERROR(O100-P100,"N/A")</f>
        <v/>
      </c>
      <c r="R100" s="310">
        <f>IFERROR((O100-P100)/ABS(P100),"N/A")</f>
        <v/>
      </c>
      <c r="S100" s="879">
        <f>IFERROR(O100-N100,"N/A")</f>
        <v/>
      </c>
      <c r="T100" s="310">
        <f>IFERROR((O100-N100)/ABS(N100),"N/A")</f>
        <v/>
      </c>
    </row>
    <row r="101" outlineLevel="1" ht="25.5" customHeight="1">
      <c r="B101" s="313" t="n"/>
      <c r="C101" s="322" t="inlineStr">
        <is>
          <t>Other (for Drilling)</t>
        </is>
      </c>
      <c r="D101" s="322" t="n"/>
      <c r="E101" s="300">
        <f>"thsd</f>
        <v/>
      </c>
      <c r="F101" s="300" t="inlineStr">
        <is>
          <t>+</t>
        </is>
      </c>
      <c r="G101" s="323" t="n"/>
      <c r="H101" s="323" t="n"/>
      <c r="I101" s="323" t="n"/>
      <c r="J101" s="880">
        <f>IFERROR(H101-I101,"N/A")</f>
        <v/>
      </c>
      <c r="K101" s="317">
        <f>IFERROR((H101-I101)/ABS(I101),"N/A")</f>
        <v/>
      </c>
      <c r="L101" s="881">
        <f>IFERROR(H101-G101,"N/A")</f>
        <v/>
      </c>
      <c r="M101" s="317">
        <f>IFERROR((H101-G101)/ABS(G101),"N/A")</f>
        <v/>
      </c>
      <c r="N101" s="61" t="n"/>
      <c r="O101" s="61" t="n"/>
      <c r="P101" s="61" t="n"/>
      <c r="Q101" s="881">
        <f>IFERROR(O101-P101,"N/A")</f>
        <v/>
      </c>
      <c r="R101" s="317">
        <f>IFERROR((O101-P101)/ABS(P101),"N/A")</f>
        <v/>
      </c>
      <c r="S101" s="881">
        <f>IFERROR(O101-N101,"N/A")</f>
        <v/>
      </c>
      <c r="T101" s="317">
        <f>IFERROR((O101-N101)/ABS(N101),"N/A")</f>
        <v/>
      </c>
    </row>
    <row r="102" outlineLevel="1" ht="25.5" customHeight="1">
      <c r="B102" s="325" t="n"/>
      <c r="C102" s="339" t="inlineStr">
        <is>
          <t>COGs</t>
        </is>
      </c>
      <c r="D102" s="339" t="n"/>
      <c r="E102" s="320">
        <f>"thsd</f>
        <v/>
      </c>
      <c r="F102" s="307" t="inlineStr">
        <is>
          <t>+</t>
        </is>
      </c>
      <c r="G102" s="323" t="n"/>
      <c r="H102" s="323" t="n"/>
      <c r="I102" s="323" t="n"/>
      <c r="J102" s="878">
        <f>IFERROR(H102-I102,"N/A")</f>
        <v/>
      </c>
      <c r="K102" s="310">
        <f>IFERROR((H102-I102)/ABS(I102),"N/A")</f>
        <v/>
      </c>
      <c r="L102" s="879">
        <f>IFERROR(H102-G102,"N/A")</f>
        <v/>
      </c>
      <c r="M102" s="310">
        <f>IFERROR((H102-G102)/ABS(G102),"N/A")</f>
        <v/>
      </c>
      <c r="N102" s="61" t="n"/>
      <c r="O102" s="61" t="n"/>
      <c r="P102" s="61" t="n"/>
      <c r="Q102" s="879">
        <f>IFERROR(O102-P102,"N/A")</f>
        <v/>
      </c>
      <c r="R102" s="310">
        <f>IFERROR((O102-P102)/ABS(P102),"N/A")</f>
        <v/>
      </c>
      <c r="S102" s="879">
        <f>IFERROR(O102-N102,"N/A")</f>
        <v/>
      </c>
      <c r="T102" s="310">
        <f>IFERROR((O102-N102)/ABS(N102),"N/A")</f>
        <v/>
      </c>
    </row>
    <row r="103">
      <c r="B103" s="313" t="n"/>
      <c r="C103" s="313" t="inlineStr">
        <is>
          <t>Other type of services</t>
        </is>
      </c>
      <c r="D103" s="313" t="n"/>
      <c r="E103" s="300">
        <f>"thsd</f>
        <v/>
      </c>
      <c r="F103" s="300" t="inlineStr">
        <is>
          <t>+</t>
        </is>
      </c>
      <c r="G103" s="315">
        <f>IF(AND(G105="N/A",G107="N/A",G109="N/A",G111="N/A",G113="N/A",G115="N/A",G117="N/A",G119="N/A",G121="N/A",G123="N/A",G125="N/A",G127="N/A",G129="N/A",G131="N/A",G133="N/A"),"N/A",SUM(G105,G107,G109,G111,G113,G115,G117,G119,G121,G123,G125,G127,G129,G131,G133))</f>
        <v/>
      </c>
      <c r="H103" s="315">
        <f>IF(AND(H105="N/A",H107="N/A",H109="N/A",H111="N/A",H113="N/A",H115="N/A",H117="N/A",H119="N/A",H121="N/A",H123="N/A",H125="N/A",H127="N/A",H129="N/A",H131="N/A",H133="N/A"),"N/A",SUM(H105,H107,H109,H111,H113,H115,H117,H119,H121,H123,H125,H127,H129,H131,H133))</f>
        <v/>
      </c>
      <c r="I103" s="315">
        <f>IF(AND(I105="N/A",I107="N/A",I109="N/A",I111="N/A",I113="N/A",I115="N/A",I117="N/A",I119="N/A",I121="N/A",I123="N/A",I125="N/A",I127="N/A",I129="N/A",I131="N/A",I133="N/A"),"N/A",SUM(I105,I107,I109,I111,I113,I115,I117,I119,I121,I123,I125,I127,I129,I131,I133))</f>
        <v/>
      </c>
      <c r="J103" s="880">
        <f>IFERROR(H103-I103,"N/A")</f>
        <v/>
      </c>
      <c r="K103" s="317">
        <f>IFERROR((H103-I103)/ABS(I103),"N/A")</f>
        <v/>
      </c>
      <c r="L103" s="881">
        <f>IFERROR(H103-G103,"N/A")</f>
        <v/>
      </c>
      <c r="M103" s="317">
        <f>IFERROR((H103-G103)/ABS(G103),"N/A")</f>
        <v/>
      </c>
      <c r="N103" s="319">
        <f>IF(AND(N105="N/A",N107="N/A",N109="N/A",N111="N/A",N113="N/A",N115="N/A",N117="N/A",N119="N/A",N121="N/A",N123="N/A",N125="N/A",N127="N/A",N129="N/A",N131="N/A",N133="N/A"),"N/A",SUM(N105,N107,N109,N111,N113,N115,N117,N119,N121,N123,N125,N127,N129,N131,N133))</f>
        <v/>
      </c>
      <c r="O103" s="319">
        <f>IF(AND(O105="N/A",O107="N/A",O109="N/A",O111="N/A",O113="N/A",O115="N/A",O117="N/A",O119="N/A",O121="N/A",O123="N/A",O125="N/A",O127="N/A",O129="N/A",O131="N/A",O133="N/A"),"N/A",SUM(O105,O107,O109,O111,O113,O115,O117,O119,O121,O123,O125,O127,O129,O131,O133))</f>
        <v/>
      </c>
      <c r="P103" s="319">
        <f>IF(AND(P105="N/A",P107="N/A",P109="N/A",P111="N/A",P113="N/A",P115="N/A",P117="N/A",P119="N/A",P121="N/A",P123="N/A",P125="N/A",P127="N/A",P129="N/A",P131="N/A",P133="N/A"),"N/A",SUM(P105,P107,P109,P111,P113,P115,P117,P119,P121,P123,P125,P127,P129,P131,P133))</f>
        <v/>
      </c>
      <c r="Q103" s="881">
        <f>IFERROR(O103-P103,"N/A")</f>
        <v/>
      </c>
      <c r="R103" s="317">
        <f>IFERROR((O103-P103)/ABS(P103),"N/A")</f>
        <v/>
      </c>
      <c r="S103" s="881">
        <f>IFERROR(O103-N103,"N/A")</f>
        <v/>
      </c>
      <c r="T103" s="317">
        <f>IFERROR((O103-N103)/ABS(N103),"N/A")</f>
        <v/>
      </c>
    </row>
    <row r="104" outlineLevel="1" ht="25.5" customHeight="1">
      <c r="B104" s="325" t="n"/>
      <c r="C104" s="325" t="inlineStr">
        <is>
          <t>COGs</t>
        </is>
      </c>
      <c r="D104" s="325" t="n"/>
      <c r="E104" s="320">
        <f>"thsd</f>
        <v/>
      </c>
      <c r="F104" s="307" t="inlineStr">
        <is>
          <t>+</t>
        </is>
      </c>
      <c r="G104" s="321">
        <f>IF(AND(G106="N/A",G108="N/A",G110="N/A",G112="N/A",G114="N/A",G116="N/A",G118="N/A",G120="N/A",G122="N/A",G124="N/A",G126="N/A",G128="N/A",G130="N/A",G132="N/A",G134="N/A"),"N/A",SUM(G106,G108,G110,G112,G114,G116,G118,G120,G122,G124,G126,G128,G130,G132,G134))</f>
        <v/>
      </c>
      <c r="H104" s="321">
        <f>IF(AND(H106="N/A",H108="N/A",H110="N/A",H112="N/A",H114="N/A",H116="N/A",H118="N/A",H120="N/A",H122="N/A",H124="N/A",H126="N/A",H128="N/A",H130="N/A",H132="N/A",H134="N/A"),"N/A",SUM(H106,H108,H110,H112,H114,H116,H118,H120,H122,H124,H126,H128,H130,H132,H134))</f>
        <v/>
      </c>
      <c r="I104" s="321">
        <f>IF(AND(I106="N/A",I108="N/A",I110="N/A",I112="N/A",I114="N/A",I116="N/A",I118="N/A",I120="N/A",I122="N/A",I124="N/A",I126="N/A",I128="N/A",I130="N/A",I132="N/A",I134="N/A"),"N/A",SUM(I106,I108,I110,I112,I114,I116,I118,I120,I122,I124,I126,I128,I130,I132,I134))</f>
        <v/>
      </c>
      <c r="J104" s="878">
        <f>IFERROR(H104-I104,"N/A")</f>
        <v/>
      </c>
      <c r="K104" s="310">
        <f>IFERROR((H104-I104)/ABS(I104),"N/A")</f>
        <v/>
      </c>
      <c r="L104" s="879">
        <f>IFERROR(H104-G104,"N/A")</f>
        <v/>
      </c>
      <c r="M104" s="310">
        <f>IFERROR((H104-G104)/ABS(G104),"N/A")</f>
        <v/>
      </c>
      <c r="N104" s="312">
        <f>IF(AND(N106="N/A",N108="N/A",N110="N/A",N112="N/A",N114="N/A",N116="N/A",N118="N/A",N120="N/A",N122="N/A",N124="N/A",N126="N/A",N128="N/A",N130="N/A",N132="N/A",N134="N/A"),"N/A",SUM(N106,N108,N110,N112,N114,N116,N118,N120,N122,N124,N126,N128,N130,N132,N134))</f>
        <v/>
      </c>
      <c r="O104" s="312">
        <f>IF(AND(O106="N/A",O108="N/A",O110="N/A",O112="N/A",O114="N/A",O116="N/A",O118="N/A",O120="N/A",O122="N/A",O124="N/A",O126="N/A",O128="N/A",O130="N/A",O132="N/A",O134="N/A"),"N/A",SUM(O106,O108,O110,O112,O114,O116,O118,O120,O122,O124,O126,O128,O130,O132,O134))</f>
        <v/>
      </c>
      <c r="P104" s="312">
        <f>IF(AND(P106="N/A",P108="N/A",P110="N/A",P112="N/A",P114="N/A",P116="N/A",P118="N/A",P120="N/A",P122="N/A",P124="N/A",P126="N/A",P128="N/A",P130="N/A",P132="N/A",P134="N/A"),"N/A",SUM(P106,P108,P110,P112,P114,P116,P118,P120,P122,P124,P126,P128,P130,P132,P134))</f>
        <v/>
      </c>
      <c r="Q104" s="879">
        <f>IFERROR(O104-P104,"N/A")</f>
        <v/>
      </c>
      <c r="R104" s="310">
        <f>IFERROR((O104-P104)/ABS(P104),"N/A")</f>
        <v/>
      </c>
      <c r="S104" s="879">
        <f>IFERROR(O104-N104,"N/A")</f>
        <v/>
      </c>
      <c r="T104" s="310">
        <f>IFERROR((O104-N104)/ABS(N104),"N/A")</f>
        <v/>
      </c>
    </row>
    <row r="105" outlineLevel="1" ht="25.5" customHeight="1">
      <c r="B105" s="313" t="n"/>
      <c r="C105" s="322" t="inlineStr">
        <is>
          <t xml:space="preserve">Research and design  </t>
        </is>
      </c>
      <c r="D105" s="322" t="n"/>
      <c r="E105" s="300">
        <f>"thsd</f>
        <v/>
      </c>
      <c r="F105" s="300" t="inlineStr">
        <is>
          <t>+</t>
        </is>
      </c>
      <c r="G105" s="323" t="n"/>
      <c r="H105" s="323" t="n"/>
      <c r="I105" s="323" t="n"/>
      <c r="J105" s="880">
        <f>IFERROR(H105-I105,"N/A")</f>
        <v/>
      </c>
      <c r="K105" s="317">
        <f>IFERROR((H105-I105)/ABS(I105),"N/A")</f>
        <v/>
      </c>
      <c r="L105" s="881">
        <f>IFERROR(H105-G105,"N/A")</f>
        <v/>
      </c>
      <c r="M105" s="317">
        <f>IFERROR((H105-G105)/ABS(G105),"N/A")</f>
        <v/>
      </c>
      <c r="N105" s="61" t="n"/>
      <c r="O105" s="61" t="n"/>
      <c r="P105" s="61" t="n"/>
      <c r="Q105" s="881">
        <f>IFERROR(O105-P105,"N/A")</f>
        <v/>
      </c>
      <c r="R105" s="317">
        <f>IFERROR((O105-P105)/ABS(P105),"N/A")</f>
        <v/>
      </c>
      <c r="S105" s="881">
        <f>IFERROR(O105-N105,"N/A")</f>
        <v/>
      </c>
      <c r="T105" s="317">
        <f>IFERROR((O105-N105)/ABS(N105),"N/A")</f>
        <v/>
      </c>
    </row>
    <row r="106" outlineLevel="1" ht="25.5" customHeight="1">
      <c r="B106" s="325" t="n"/>
      <c r="C106" s="339" t="inlineStr">
        <is>
          <t>COGs</t>
        </is>
      </c>
      <c r="D106" s="339" t="n"/>
      <c r="E106" s="320">
        <f>"thsd</f>
        <v/>
      </c>
      <c r="F106" s="307" t="inlineStr">
        <is>
          <t>+</t>
        </is>
      </c>
      <c r="G106" s="323" t="n"/>
      <c r="H106" s="323" t="n"/>
      <c r="I106" s="323" t="n"/>
      <c r="J106" s="878">
        <f>IFERROR(H106-I106,"N/A")</f>
        <v/>
      </c>
      <c r="K106" s="310">
        <f>IFERROR((H106-I106)/ABS(I106),"N/A")</f>
        <v/>
      </c>
      <c r="L106" s="879">
        <f>IFERROR(H106-G106,"N/A")</f>
        <v/>
      </c>
      <c r="M106" s="310">
        <f>IFERROR((H106-G106)/ABS(G106),"N/A")</f>
        <v/>
      </c>
      <c r="N106" s="61" t="n"/>
      <c r="O106" s="61" t="n"/>
      <c r="P106" s="61" t="n"/>
      <c r="Q106" s="879">
        <f>IFERROR(O106-P106,"N/A")</f>
        <v/>
      </c>
      <c r="R106" s="310">
        <f>IFERROR((O106-P106)/ABS(P106),"N/A")</f>
        <v/>
      </c>
      <c r="S106" s="879">
        <f>IFERROR(O106-N106,"N/A")</f>
        <v/>
      </c>
      <c r="T106" s="310">
        <f>IFERROR((O106-N106)/ABS(N106),"N/A")</f>
        <v/>
      </c>
    </row>
    <row r="107" outlineLevel="1">
      <c r="B107" s="313" t="n"/>
      <c r="C107" s="322" t="inlineStr">
        <is>
          <t>Management services</t>
        </is>
      </c>
      <c r="D107" s="322" t="n"/>
      <c r="E107" s="300">
        <f>"thsd</f>
        <v/>
      </c>
      <c r="F107" s="300" t="inlineStr">
        <is>
          <t>+</t>
        </is>
      </c>
      <c r="G107" s="323" t="n"/>
      <c r="H107" s="323" t="n"/>
      <c r="I107" s="323" t="n"/>
      <c r="J107" s="880">
        <f>IFERROR(H107-I107,"N/A")</f>
        <v/>
      </c>
      <c r="K107" s="317">
        <f>IFERROR((H107-I107)/ABS(I107),"N/A")</f>
        <v/>
      </c>
      <c r="L107" s="881">
        <f>IFERROR(H107-G107,"N/A")</f>
        <v/>
      </c>
      <c r="M107" s="317">
        <f>IFERROR((H107-G107)/ABS(G107),"N/A")</f>
        <v/>
      </c>
      <c r="N107" s="61" t="n"/>
      <c r="O107" s="61" t="n"/>
      <c r="P107" s="61" t="n"/>
      <c r="Q107" s="881">
        <f>IFERROR(O107-P107,"N/A")</f>
        <v/>
      </c>
      <c r="R107" s="317">
        <f>IFERROR((O107-P107)/ABS(P107),"N/A")</f>
        <v/>
      </c>
      <c r="S107" s="881">
        <f>IFERROR(O107-N107,"N/A")</f>
        <v/>
      </c>
      <c r="T107" s="317">
        <f>IFERROR((O107-N107)/ABS(N107),"N/A")</f>
        <v/>
      </c>
    </row>
    <row r="108" outlineLevel="1" ht="25.5" customHeight="1">
      <c r="B108" s="325" t="n"/>
      <c r="C108" s="339" t="inlineStr">
        <is>
          <t>COGs</t>
        </is>
      </c>
      <c r="D108" s="339" t="n"/>
      <c r="E108" s="320">
        <f>"thsd</f>
        <v/>
      </c>
      <c r="F108" s="307" t="inlineStr">
        <is>
          <t>+</t>
        </is>
      </c>
      <c r="G108" s="323" t="n"/>
      <c r="H108" s="323" t="n"/>
      <c r="I108" s="323" t="n"/>
      <c r="J108" s="878">
        <f>IFERROR(H108-I108,"N/A")</f>
        <v/>
      </c>
      <c r="K108" s="310">
        <f>IFERROR((H108-I108)/ABS(I108),"N/A")</f>
        <v/>
      </c>
      <c r="L108" s="879">
        <f>IFERROR(H108-G108,"N/A")</f>
        <v/>
      </c>
      <c r="M108" s="310">
        <f>IFERROR((H108-G108)/ABS(G108),"N/A")</f>
        <v/>
      </c>
      <c r="N108" s="61" t="n"/>
      <c r="O108" s="61" t="n"/>
      <c r="P108" s="61" t="n"/>
      <c r="Q108" s="879">
        <f>IFERROR(O108-P108,"N/A")</f>
        <v/>
      </c>
      <c r="R108" s="310">
        <f>IFERROR((O108-P108)/ABS(P108),"N/A")</f>
        <v/>
      </c>
      <c r="S108" s="879">
        <f>IFERROR(O108-N108,"N/A")</f>
        <v/>
      </c>
      <c r="T108" s="310">
        <f>IFERROR((O108-N108)/ABS(N108),"N/A")</f>
        <v/>
      </c>
    </row>
    <row r="109" outlineLevel="1" ht="25.5" customHeight="1">
      <c r="B109" s="313" t="n"/>
      <c r="C109" s="322" t="inlineStr">
        <is>
          <t>Repair and maintenance of fixed assets</t>
        </is>
      </c>
      <c r="D109" s="322" t="n"/>
      <c r="E109" s="300">
        <f>"thsd</f>
        <v/>
      </c>
      <c r="F109" s="300" t="inlineStr">
        <is>
          <t>+</t>
        </is>
      </c>
      <c r="G109" s="323" t="n"/>
      <c r="H109" s="323" t="n"/>
      <c r="I109" s="323" t="n"/>
      <c r="J109" s="880">
        <f>IFERROR(H109-I109,"N/A")</f>
        <v/>
      </c>
      <c r="K109" s="317">
        <f>IFERROR((H109-I109)/ABS(I109),"N/A")</f>
        <v/>
      </c>
      <c r="L109" s="881">
        <f>IFERROR(H109-G109,"N/A")</f>
        <v/>
      </c>
      <c r="M109" s="317">
        <f>IFERROR((H109-G109)/ABS(G109),"N/A")</f>
        <v/>
      </c>
      <c r="N109" s="61" t="n"/>
      <c r="O109" s="61" t="n"/>
      <c r="P109" s="61" t="n"/>
      <c r="Q109" s="881">
        <f>IFERROR(O109-P109,"N/A")</f>
        <v/>
      </c>
      <c r="R109" s="317">
        <f>IFERROR((O109-P109)/ABS(P109),"N/A")</f>
        <v/>
      </c>
      <c r="S109" s="881">
        <f>IFERROR(O109-N109,"N/A")</f>
        <v/>
      </c>
      <c r="T109" s="317">
        <f>IFERROR((O109-N109)/ABS(N109),"N/A")</f>
        <v/>
      </c>
    </row>
    <row r="110" outlineLevel="1" ht="25.5" customHeight="1">
      <c r="B110" s="325" t="n"/>
      <c r="C110" s="339" t="inlineStr">
        <is>
          <t>COGs</t>
        </is>
      </c>
      <c r="D110" s="339" t="n"/>
      <c r="E110" s="320">
        <f>"thsd</f>
        <v/>
      </c>
      <c r="F110" s="307" t="inlineStr">
        <is>
          <t>+</t>
        </is>
      </c>
      <c r="G110" s="323" t="n"/>
      <c r="H110" s="323" t="n"/>
      <c r="I110" s="323" t="n"/>
      <c r="J110" s="878">
        <f>IFERROR(H110-I110,"N/A")</f>
        <v/>
      </c>
      <c r="K110" s="310">
        <f>IFERROR((H110-I110)/ABS(I110),"N/A")</f>
        <v/>
      </c>
      <c r="L110" s="879">
        <f>IFERROR(H110-G110,"N/A")</f>
        <v/>
      </c>
      <c r="M110" s="310">
        <f>IFERROR((H110-G110)/ABS(G110),"N/A")</f>
        <v/>
      </c>
      <c r="N110" s="61" t="n"/>
      <c r="O110" s="61" t="n"/>
      <c r="P110" s="61" t="n"/>
      <c r="Q110" s="879">
        <f>IFERROR(O110-P110,"N/A")</f>
        <v/>
      </c>
      <c r="R110" s="310">
        <f>IFERROR((O110-P110)/ABS(P110),"N/A")</f>
        <v/>
      </c>
      <c r="S110" s="879">
        <f>IFERROR(O110-N110,"N/A")</f>
        <v/>
      </c>
      <c r="T110" s="310">
        <f>IFERROR((O110-N110)/ABS(N110),"N/A")</f>
        <v/>
      </c>
    </row>
    <row r="111" outlineLevel="1" ht="38.25" customHeight="1">
      <c r="B111" s="313" t="n"/>
      <c r="C111" s="322" t="inlineStr">
        <is>
          <t>Waste acceptance, treatment, placement and disposal services</t>
        </is>
      </c>
      <c r="D111" s="322" t="n"/>
      <c r="E111" s="300">
        <f>"thsd</f>
        <v/>
      </c>
      <c r="F111" s="300" t="inlineStr">
        <is>
          <t>+</t>
        </is>
      </c>
      <c r="G111" s="323" t="n"/>
      <c r="H111" s="323" t="n"/>
      <c r="I111" s="323" t="n"/>
      <c r="J111" s="880">
        <f>IFERROR(H111-I111,"N/A")</f>
        <v/>
      </c>
      <c r="K111" s="317">
        <f>IFERROR((H111-I111)/ABS(I111),"N/A")</f>
        <v/>
      </c>
      <c r="L111" s="881">
        <f>IFERROR(H111-G111,"N/A")</f>
        <v/>
      </c>
      <c r="M111" s="317">
        <f>IFERROR((H111-G111)/ABS(G111),"N/A")</f>
        <v/>
      </c>
      <c r="N111" s="61" t="n"/>
      <c r="O111" s="61" t="n"/>
      <c r="P111" s="61" t="n"/>
      <c r="Q111" s="881">
        <f>IFERROR(O111-P111,"N/A")</f>
        <v/>
      </c>
      <c r="R111" s="317">
        <f>IFERROR((O111-P111)/ABS(P111),"N/A")</f>
        <v/>
      </c>
      <c r="S111" s="881">
        <f>IFERROR(O111-N111,"N/A")</f>
        <v/>
      </c>
      <c r="T111" s="317">
        <f>IFERROR((O111-N111)/ABS(N111),"N/A")</f>
        <v/>
      </c>
    </row>
    <row r="112" outlineLevel="1" ht="25.5" customHeight="1">
      <c r="B112" s="325" t="n"/>
      <c r="C112" s="339" t="inlineStr">
        <is>
          <t>COGs</t>
        </is>
      </c>
      <c r="D112" s="339" t="n"/>
      <c r="E112" s="320">
        <f>"thsd</f>
        <v/>
      </c>
      <c r="F112" s="307" t="inlineStr">
        <is>
          <t>+</t>
        </is>
      </c>
      <c r="G112" s="323" t="n"/>
      <c r="H112" s="323" t="n"/>
      <c r="I112" s="323" t="n"/>
      <c r="J112" s="878">
        <f>IFERROR(H112-I112,"N/A")</f>
        <v/>
      </c>
      <c r="K112" s="310">
        <f>IFERROR((H112-I112)/ABS(I112),"N/A")</f>
        <v/>
      </c>
      <c r="L112" s="879">
        <f>IFERROR(H112-G112,"N/A")</f>
        <v/>
      </c>
      <c r="M112" s="310">
        <f>IFERROR((H112-G112)/ABS(G112),"N/A")</f>
        <v/>
      </c>
      <c r="N112" s="61" t="n"/>
      <c r="O112" s="61" t="n"/>
      <c r="P112" s="61" t="n"/>
      <c r="Q112" s="879">
        <f>IFERROR(O112-P112,"N/A")</f>
        <v/>
      </c>
      <c r="R112" s="310">
        <f>IFERROR((O112-P112)/ABS(P112),"N/A")</f>
        <v/>
      </c>
      <c r="S112" s="879">
        <f>IFERROR(O112-N112,"N/A")</f>
        <v/>
      </c>
      <c r="T112" s="310">
        <f>IFERROR((O112-N112)/ABS(N112),"N/A")</f>
        <v/>
      </c>
    </row>
    <row r="113" outlineLevel="1" ht="51" customHeight="1">
      <c r="B113" s="313" t="n"/>
      <c r="C113" s="322" t="inlineStr">
        <is>
          <t>Services on labor protection, safety equipment, environmental protection</t>
        </is>
      </c>
      <c r="D113" s="322" t="n"/>
      <c r="E113" s="300">
        <f>"thsd</f>
        <v/>
      </c>
      <c r="F113" s="300" t="inlineStr">
        <is>
          <t>+</t>
        </is>
      </c>
      <c r="G113" s="323" t="n"/>
      <c r="H113" s="323" t="n"/>
      <c r="I113" s="323" t="n"/>
      <c r="J113" s="880">
        <f>IFERROR(H113-I113,"N/A")</f>
        <v/>
      </c>
      <c r="K113" s="317">
        <f>IFERROR((H113-I113)/ABS(I113),"N/A")</f>
        <v/>
      </c>
      <c r="L113" s="881">
        <f>IFERROR(H113-G113,"N/A")</f>
        <v/>
      </c>
      <c r="M113" s="317">
        <f>IFERROR((H113-G113)/ABS(G113),"N/A")</f>
        <v/>
      </c>
      <c r="N113" s="61" t="n"/>
      <c r="O113" s="61" t="n"/>
      <c r="P113" s="61" t="n"/>
      <c r="Q113" s="881">
        <f>IFERROR(O113-P113,"N/A")</f>
        <v/>
      </c>
      <c r="R113" s="317">
        <f>IFERROR((O113-P113)/ABS(P113),"N/A")</f>
        <v/>
      </c>
      <c r="S113" s="881">
        <f>IFERROR(O113-N113,"N/A")</f>
        <v/>
      </c>
      <c r="T113" s="317">
        <f>IFERROR((O113-N113)/ABS(N113),"N/A")</f>
        <v/>
      </c>
    </row>
    <row r="114" outlineLevel="1" ht="25.5" customHeight="1">
      <c r="B114" s="325" t="n"/>
      <c r="C114" s="339" t="inlineStr">
        <is>
          <t>COGs</t>
        </is>
      </c>
      <c r="D114" s="339" t="n"/>
      <c r="E114" s="320">
        <f>"thsd</f>
        <v/>
      </c>
      <c r="F114" s="307" t="inlineStr">
        <is>
          <t>+</t>
        </is>
      </c>
      <c r="G114" s="323" t="n"/>
      <c r="H114" s="323" t="n"/>
      <c r="I114" s="323" t="n"/>
      <c r="J114" s="878">
        <f>IFERROR(H114-I114,"N/A")</f>
        <v/>
      </c>
      <c r="K114" s="310">
        <f>IFERROR((H114-I114)/ABS(I114),"N/A")</f>
        <v/>
      </c>
      <c r="L114" s="879">
        <f>IFERROR(H114-G114,"N/A")</f>
        <v/>
      </c>
      <c r="M114" s="310">
        <f>IFERROR((H114-G114)/ABS(G114),"N/A")</f>
        <v/>
      </c>
      <c r="N114" s="61" t="n"/>
      <c r="O114" s="61" t="n"/>
      <c r="P114" s="61" t="n"/>
      <c r="Q114" s="879">
        <f>IFERROR(O114-P114,"N/A")</f>
        <v/>
      </c>
      <c r="R114" s="310">
        <f>IFERROR((O114-P114)/ABS(P114),"N/A")</f>
        <v/>
      </c>
      <c r="S114" s="879">
        <f>IFERROR(O114-N114,"N/A")</f>
        <v/>
      </c>
      <c r="T114" s="310">
        <f>IFERROR((O114-N114)/ABS(N114),"N/A")</f>
        <v/>
      </c>
    </row>
    <row r="115" outlineLevel="1">
      <c r="B115" s="313" t="n"/>
      <c r="C115" s="322" t="inlineStr">
        <is>
          <t>Utilities supply</t>
        </is>
      </c>
      <c r="D115" s="322" t="n"/>
      <c r="E115" s="300">
        <f>"thsd</f>
        <v/>
      </c>
      <c r="F115" s="300" t="inlineStr">
        <is>
          <t>+</t>
        </is>
      </c>
      <c r="G115" s="323" t="n"/>
      <c r="H115" s="323" t="n"/>
      <c r="I115" s="323" t="n"/>
      <c r="J115" s="880">
        <f>IFERROR(H115-I115,"N/A")</f>
        <v/>
      </c>
      <c r="K115" s="317">
        <f>IFERROR((H115-I115)/ABS(I115),"N/A")</f>
        <v/>
      </c>
      <c r="L115" s="881">
        <f>IFERROR(H115-G115,"N/A")</f>
        <v/>
      </c>
      <c r="M115" s="317">
        <f>IFERROR((H115-G115)/ABS(G115),"N/A")</f>
        <v/>
      </c>
      <c r="N115" s="61" t="n"/>
      <c r="O115" s="61" t="n"/>
      <c r="P115" s="61" t="n"/>
      <c r="Q115" s="881">
        <f>IFERROR(O115-P115,"N/A")</f>
        <v/>
      </c>
      <c r="R115" s="317">
        <f>IFERROR((O115-P115)/ABS(P115),"N/A")</f>
        <v/>
      </c>
      <c r="S115" s="881">
        <f>IFERROR(O115-N115,"N/A")</f>
        <v/>
      </c>
      <c r="T115" s="317">
        <f>IFERROR((O115-N115)/ABS(N115),"N/A")</f>
        <v/>
      </c>
    </row>
    <row r="116" outlineLevel="1" ht="25.5" customHeight="1">
      <c r="B116" s="325" t="n"/>
      <c r="C116" s="339" t="inlineStr">
        <is>
          <t>COGs</t>
        </is>
      </c>
      <c r="D116" s="339" t="n"/>
      <c r="E116" s="320">
        <f>"thsd</f>
        <v/>
      </c>
      <c r="F116" s="307" t="inlineStr">
        <is>
          <t>+</t>
        </is>
      </c>
      <c r="G116" s="323" t="n"/>
      <c r="H116" s="323" t="n"/>
      <c r="I116" s="323" t="n"/>
      <c r="J116" s="878">
        <f>IFERROR(H116-I116,"N/A")</f>
        <v/>
      </c>
      <c r="K116" s="310">
        <f>IFERROR((H116-I116)/ABS(I116),"N/A")</f>
        <v/>
      </c>
      <c r="L116" s="879">
        <f>IFERROR(H116-G116,"N/A")</f>
        <v/>
      </c>
      <c r="M116" s="310">
        <f>IFERROR((H116-G116)/ABS(G116),"N/A")</f>
        <v/>
      </c>
      <c r="N116" s="61" t="n"/>
      <c r="O116" s="61" t="n"/>
      <c r="P116" s="61" t="n"/>
      <c r="Q116" s="879">
        <f>IFERROR(O116-P116,"N/A")</f>
        <v/>
      </c>
      <c r="R116" s="310">
        <f>IFERROR((O116-P116)/ABS(P116),"N/A")</f>
        <v/>
      </c>
      <c r="S116" s="879">
        <f>IFERROR(O116-N116,"N/A")</f>
        <v/>
      </c>
      <c r="T116" s="310">
        <f>IFERROR((O116-N116)/ABS(N116),"N/A")</f>
        <v/>
      </c>
    </row>
    <row r="117" outlineLevel="1" ht="25.5" customHeight="1">
      <c r="B117" s="313" t="n"/>
      <c r="C117" s="322" t="inlineStr">
        <is>
          <t>Information technology and communication service</t>
        </is>
      </c>
      <c r="D117" s="322" t="n"/>
      <c r="E117" s="300">
        <f>"thsd</f>
        <v/>
      </c>
      <c r="F117" s="300" t="inlineStr">
        <is>
          <t>+</t>
        </is>
      </c>
      <c r="G117" s="323" t="n"/>
      <c r="H117" s="323" t="n"/>
      <c r="I117" s="323" t="n"/>
      <c r="J117" s="880">
        <f>IFERROR(H117-I117,"N/A")</f>
        <v/>
      </c>
      <c r="K117" s="317">
        <f>IFERROR((H117-I117)/ABS(I117),"N/A")</f>
        <v/>
      </c>
      <c r="L117" s="881">
        <f>IFERROR(H117-G117,"N/A")</f>
        <v/>
      </c>
      <c r="M117" s="317">
        <f>IFERROR((H117-G117)/ABS(G117),"N/A")</f>
        <v/>
      </c>
      <c r="N117" s="61" t="n"/>
      <c r="O117" s="61" t="n"/>
      <c r="P117" s="61" t="n"/>
      <c r="Q117" s="881">
        <f>IFERROR(O117-P117,"N/A")</f>
        <v/>
      </c>
      <c r="R117" s="317">
        <f>IFERROR((O117-P117)/ABS(P117),"N/A")</f>
        <v/>
      </c>
      <c r="S117" s="881">
        <f>IFERROR(O117-N117,"N/A")</f>
        <v/>
      </c>
      <c r="T117" s="317">
        <f>IFERROR((O117-N117)/ABS(N117),"N/A")</f>
        <v/>
      </c>
    </row>
    <row r="118" outlineLevel="1" ht="25.5" customHeight="1">
      <c r="B118" s="325" t="n"/>
      <c r="C118" s="339" t="inlineStr">
        <is>
          <t>COGs</t>
        </is>
      </c>
      <c r="D118" s="339" t="n"/>
      <c r="E118" s="320">
        <f>"thsd</f>
        <v/>
      </c>
      <c r="F118" s="307" t="inlineStr">
        <is>
          <t>+</t>
        </is>
      </c>
      <c r="G118" s="323" t="n"/>
      <c r="H118" s="323" t="n"/>
      <c r="I118" s="323" t="n"/>
      <c r="J118" s="878">
        <f>IFERROR(H118-I118,"N/A")</f>
        <v/>
      </c>
      <c r="K118" s="310">
        <f>IFERROR((H118-I118)/ABS(I118),"N/A")</f>
        <v/>
      </c>
      <c r="L118" s="879">
        <f>IFERROR(H118-G118,"N/A")</f>
        <v/>
      </c>
      <c r="M118" s="310">
        <f>IFERROR((H118-G118)/ABS(G118),"N/A")</f>
        <v/>
      </c>
      <c r="N118" s="61" t="n"/>
      <c r="O118" s="61" t="n"/>
      <c r="P118" s="61" t="n"/>
      <c r="Q118" s="879">
        <f>IFERROR(O118-P118,"N/A")</f>
        <v/>
      </c>
      <c r="R118" s="310">
        <f>IFERROR((O118-P118)/ABS(P118),"N/A")</f>
        <v/>
      </c>
      <c r="S118" s="879">
        <f>IFERROR(O118-N118,"N/A")</f>
        <v/>
      </c>
      <c r="T118" s="310">
        <f>IFERROR((O118-N118)/ABS(N118),"N/A")</f>
        <v/>
      </c>
    </row>
    <row r="119" outlineLevel="1">
      <c r="B119" s="313" t="n"/>
      <c r="C119" s="322" t="inlineStr">
        <is>
          <t>Ecology services</t>
        </is>
      </c>
      <c r="D119" s="322" t="n"/>
      <c r="E119" s="300">
        <f>"thsd</f>
        <v/>
      </c>
      <c r="F119" s="300" t="inlineStr">
        <is>
          <t>+</t>
        </is>
      </c>
      <c r="G119" s="323" t="n"/>
      <c r="H119" s="323" t="n"/>
      <c r="I119" s="323" t="n"/>
      <c r="J119" s="880">
        <f>IFERROR(H119-I119,"N/A")</f>
        <v/>
      </c>
      <c r="K119" s="317">
        <f>IFERROR((H119-I119)/ABS(I119),"N/A")</f>
        <v/>
      </c>
      <c r="L119" s="881">
        <f>IFERROR(H119-G119,"N/A")</f>
        <v/>
      </c>
      <c r="M119" s="317">
        <f>IFERROR((H119-G119)/ABS(G119),"N/A")</f>
        <v/>
      </c>
      <c r="N119" s="61" t="n"/>
      <c r="O119" s="61" t="n"/>
      <c r="P119" s="61" t="n"/>
      <c r="Q119" s="881">
        <f>IFERROR(O119-P119,"N/A")</f>
        <v/>
      </c>
      <c r="R119" s="317">
        <f>IFERROR((O119-P119)/ABS(P119),"N/A")</f>
        <v/>
      </c>
      <c r="S119" s="881">
        <f>IFERROR(O119-N119,"N/A")</f>
        <v/>
      </c>
      <c r="T119" s="317">
        <f>IFERROR((O119-N119)/ABS(N119),"N/A")</f>
        <v/>
      </c>
    </row>
    <row r="120" outlineLevel="1" ht="25.5" customHeight="1">
      <c r="B120" s="325" t="n"/>
      <c r="C120" s="339" t="inlineStr">
        <is>
          <t>COGs</t>
        </is>
      </c>
      <c r="D120" s="339" t="n"/>
      <c r="E120" s="320">
        <f>"thsd</f>
        <v/>
      </c>
      <c r="F120" s="307" t="inlineStr">
        <is>
          <t>+</t>
        </is>
      </c>
      <c r="G120" s="323" t="n"/>
      <c r="H120" s="323" t="n"/>
      <c r="I120" s="323" t="n"/>
      <c r="J120" s="878">
        <f>IFERROR(H120-I120,"N/A")</f>
        <v/>
      </c>
      <c r="K120" s="310">
        <f>IFERROR((H120-I120)/ABS(I120),"N/A")</f>
        <v/>
      </c>
      <c r="L120" s="879">
        <f>IFERROR(H120-G120,"N/A")</f>
        <v/>
      </c>
      <c r="M120" s="310">
        <f>IFERROR((H120-G120)/ABS(G120),"N/A")</f>
        <v/>
      </c>
      <c r="N120" s="61" t="n"/>
      <c r="O120" s="61" t="n"/>
      <c r="P120" s="61" t="n"/>
      <c r="Q120" s="879">
        <f>IFERROR(O120-P120,"N/A")</f>
        <v/>
      </c>
      <c r="R120" s="310">
        <f>IFERROR((O120-P120)/ABS(P120),"N/A")</f>
        <v/>
      </c>
      <c r="S120" s="879">
        <f>IFERROR(O120-N120,"N/A")</f>
        <v/>
      </c>
      <c r="T120" s="310">
        <f>IFERROR((O120-N120)/ABS(N120),"N/A")</f>
        <v/>
      </c>
    </row>
    <row r="121" outlineLevel="1">
      <c r="B121" s="313" t="n"/>
      <c r="C121" s="322" t="inlineStr">
        <is>
          <t>Secrurity services</t>
        </is>
      </c>
      <c r="D121" s="322" t="n"/>
      <c r="E121" s="300">
        <f>"thsd</f>
        <v/>
      </c>
      <c r="F121" s="300" t="inlineStr">
        <is>
          <t>+</t>
        </is>
      </c>
      <c r="G121" s="323" t="n"/>
      <c r="H121" s="323" t="n"/>
      <c r="I121" s="323" t="n"/>
      <c r="J121" s="880">
        <f>IFERROR(H121-I121,"N/A")</f>
        <v/>
      </c>
      <c r="K121" s="317">
        <f>IFERROR((H121-I121)/ABS(I121),"N/A")</f>
        <v/>
      </c>
      <c r="L121" s="881">
        <f>IFERROR(H121-G121,"N/A")</f>
        <v/>
      </c>
      <c r="M121" s="317">
        <f>IFERROR((H121-G121)/ABS(G121),"N/A")</f>
        <v/>
      </c>
      <c r="N121" s="61" t="n"/>
      <c r="O121" s="61" t="n"/>
      <c r="P121" s="61" t="n"/>
      <c r="Q121" s="881">
        <f>IFERROR(O121-P121,"N/A")</f>
        <v/>
      </c>
      <c r="R121" s="317">
        <f>IFERROR((O121-P121)/ABS(P121),"N/A")</f>
        <v/>
      </c>
      <c r="S121" s="881">
        <f>IFERROR(O121-N121,"N/A")</f>
        <v/>
      </c>
      <c r="T121" s="317">
        <f>IFERROR((O121-N121)/ABS(N121),"N/A")</f>
        <v/>
      </c>
    </row>
    <row r="122" outlineLevel="1" ht="25.5" customHeight="1">
      <c r="B122" s="325" t="n"/>
      <c r="C122" s="339" t="inlineStr">
        <is>
          <t>COGs</t>
        </is>
      </c>
      <c r="D122" s="339" t="n"/>
      <c r="E122" s="320">
        <f>"thsd</f>
        <v/>
      </c>
      <c r="F122" s="307" t="inlineStr">
        <is>
          <t>+</t>
        </is>
      </c>
      <c r="G122" s="323" t="n"/>
      <c r="H122" s="323" t="n"/>
      <c r="I122" s="323" t="n"/>
      <c r="J122" s="878">
        <f>IFERROR(H122-I122,"N/A")</f>
        <v/>
      </c>
      <c r="K122" s="310">
        <f>IFERROR((H122-I122)/ABS(I122),"N/A")</f>
        <v/>
      </c>
      <c r="L122" s="879">
        <f>IFERROR(H122-G122,"N/A")</f>
        <v/>
      </c>
      <c r="M122" s="310">
        <f>IFERROR((H122-G122)/ABS(G122),"N/A")</f>
        <v/>
      </c>
      <c r="N122" s="61" t="n"/>
      <c r="O122" s="61" t="n"/>
      <c r="P122" s="61" t="n"/>
      <c r="Q122" s="879">
        <f>IFERROR(O122-P122,"N/A")</f>
        <v/>
      </c>
      <c r="R122" s="310">
        <f>IFERROR((O122-P122)/ABS(P122),"N/A")</f>
        <v/>
      </c>
      <c r="S122" s="879">
        <f>IFERROR(O122-N122,"N/A")</f>
        <v/>
      </c>
      <c r="T122" s="310">
        <f>IFERROR((O122-N122)/ABS(N122),"N/A")</f>
        <v/>
      </c>
    </row>
    <row r="123" outlineLevel="1" ht="25.5" customHeight="1">
      <c r="B123" s="313" t="n"/>
      <c r="C123" s="322" t="inlineStr">
        <is>
          <t xml:space="preserve">Diving and underwater maintenance services </t>
        </is>
      </c>
      <c r="D123" s="322" t="n"/>
      <c r="E123" s="300">
        <f>"thsd</f>
        <v/>
      </c>
      <c r="F123" s="300" t="inlineStr">
        <is>
          <t>+</t>
        </is>
      </c>
      <c r="G123" s="323" t="n"/>
      <c r="H123" s="323" t="n"/>
      <c r="I123" s="323" t="n"/>
      <c r="J123" s="880">
        <f>IFERROR(H123-I123,"N/A")</f>
        <v/>
      </c>
      <c r="K123" s="317">
        <f>IFERROR((H123-I123)/ABS(I123),"N/A")</f>
        <v/>
      </c>
      <c r="L123" s="881">
        <f>IFERROR(H123-G123,"N/A")</f>
        <v/>
      </c>
      <c r="M123" s="317">
        <f>IFERROR((H123-G123)/ABS(G123),"N/A")</f>
        <v/>
      </c>
      <c r="N123" s="61" t="n"/>
      <c r="O123" s="61" t="n"/>
      <c r="P123" s="61" t="n"/>
      <c r="Q123" s="881">
        <f>IFERROR(O123-P123,"N/A")</f>
        <v/>
      </c>
      <c r="R123" s="317">
        <f>IFERROR((O123-P123)/ABS(P123),"N/A")</f>
        <v/>
      </c>
      <c r="S123" s="881">
        <f>IFERROR(O123-N123,"N/A")</f>
        <v/>
      </c>
      <c r="T123" s="317">
        <f>IFERROR((O123-N123)/ABS(N123),"N/A")</f>
        <v/>
      </c>
    </row>
    <row r="124" outlineLevel="1" ht="25.5" customHeight="1">
      <c r="B124" s="325" t="n"/>
      <c r="C124" s="339" t="inlineStr">
        <is>
          <t>COGs</t>
        </is>
      </c>
      <c r="D124" s="339" t="n"/>
      <c r="E124" s="320">
        <f>"thsd</f>
        <v/>
      </c>
      <c r="F124" s="307" t="inlineStr">
        <is>
          <t>+</t>
        </is>
      </c>
      <c r="G124" s="323" t="n"/>
      <c r="H124" s="323" t="n"/>
      <c r="I124" s="323" t="n"/>
      <c r="J124" s="878">
        <f>IFERROR(H124-I124,"N/A")</f>
        <v/>
      </c>
      <c r="K124" s="310">
        <f>IFERROR((H124-I124)/ABS(I124),"N/A")</f>
        <v/>
      </c>
      <c r="L124" s="879">
        <f>IFERROR(H124-G124,"N/A")</f>
        <v/>
      </c>
      <c r="M124" s="310">
        <f>IFERROR((H124-G124)/ABS(G124),"N/A")</f>
        <v/>
      </c>
      <c r="N124" s="61" t="n"/>
      <c r="O124" s="61" t="n"/>
      <c r="P124" s="61" t="n"/>
      <c r="Q124" s="879">
        <f>IFERROR(O124-P124,"N/A")</f>
        <v/>
      </c>
      <c r="R124" s="310">
        <f>IFERROR((O124-P124)/ABS(P124),"N/A")</f>
        <v/>
      </c>
      <c r="S124" s="879">
        <f>IFERROR(O124-N124,"N/A")</f>
        <v/>
      </c>
      <c r="T124" s="310">
        <f>IFERROR((O124-N124)/ABS(N124),"N/A")</f>
        <v/>
      </c>
    </row>
    <row r="125" outlineLevel="1">
      <c r="B125" s="313" t="n"/>
      <c r="C125" s="322" t="inlineStr">
        <is>
          <t>Service resale</t>
        </is>
      </c>
      <c r="D125" s="322" t="n"/>
      <c r="E125" s="300">
        <f>"thsd</f>
        <v/>
      </c>
      <c r="F125" s="300" t="inlineStr">
        <is>
          <t>+</t>
        </is>
      </c>
      <c r="G125" s="323" t="n"/>
      <c r="H125" s="323" t="n"/>
      <c r="I125" s="323" t="n"/>
      <c r="J125" s="880">
        <f>IFERROR(H125-I125,"N/A")</f>
        <v/>
      </c>
      <c r="K125" s="317">
        <f>IFERROR((H125-I125)/ABS(I125),"N/A")</f>
        <v/>
      </c>
      <c r="L125" s="881">
        <f>IFERROR(H125-G125,"N/A")</f>
        <v/>
      </c>
      <c r="M125" s="317">
        <f>IFERROR((H125-G125)/ABS(G125),"N/A")</f>
        <v/>
      </c>
      <c r="N125" s="61" t="n"/>
      <c r="O125" s="61" t="n"/>
      <c r="P125" s="61" t="n"/>
      <c r="Q125" s="881">
        <f>IFERROR(O125-P125,"N/A")</f>
        <v/>
      </c>
      <c r="R125" s="317">
        <f>IFERROR((O125-P125)/ABS(P125),"N/A")</f>
        <v/>
      </c>
      <c r="S125" s="881">
        <f>IFERROR(O125-N125,"N/A")</f>
        <v/>
      </c>
      <c r="T125" s="317">
        <f>IFERROR((O125-N125)/ABS(N125),"N/A")</f>
        <v/>
      </c>
    </row>
    <row r="126" outlineLevel="1" ht="25.5" customHeight="1">
      <c r="B126" s="325" t="n"/>
      <c r="C126" s="339" t="inlineStr">
        <is>
          <t>COGs</t>
        </is>
      </c>
      <c r="D126" s="339" t="n"/>
      <c r="E126" s="320">
        <f>"thsd</f>
        <v/>
      </c>
      <c r="F126" s="307" t="inlineStr">
        <is>
          <t>+</t>
        </is>
      </c>
      <c r="G126" s="323" t="n"/>
      <c r="H126" s="323" t="n"/>
      <c r="I126" s="323" t="n"/>
      <c r="J126" s="878">
        <f>IFERROR(H126-I126,"N/A")</f>
        <v/>
      </c>
      <c r="K126" s="310">
        <f>IFERROR((H126-I126)/ABS(I126),"N/A")</f>
        <v/>
      </c>
      <c r="L126" s="879">
        <f>IFERROR(H126-G126,"N/A")</f>
        <v/>
      </c>
      <c r="M126" s="310">
        <f>IFERROR((H126-G126)/ABS(G126),"N/A")</f>
        <v/>
      </c>
      <c r="N126" s="61" t="n"/>
      <c r="O126" s="61" t="n"/>
      <c r="P126" s="61" t="n"/>
      <c r="Q126" s="879">
        <f>IFERROR(O126-P126,"N/A")</f>
        <v/>
      </c>
      <c r="R126" s="310">
        <f>IFERROR((O126-P126)/ABS(P126),"N/A")</f>
        <v/>
      </c>
      <c r="S126" s="879">
        <f>IFERROR(O126-N126,"N/A")</f>
        <v/>
      </c>
      <c r="T126" s="310">
        <f>IFERROR((O126-N126)/ABS(N126),"N/A")</f>
        <v/>
      </c>
    </row>
    <row r="127" outlineLevel="1" ht="25.5" customHeight="1">
      <c r="B127" s="313" t="n"/>
      <c r="C127" s="322" t="inlineStr">
        <is>
          <t>Agency service (except Trading)</t>
        </is>
      </c>
      <c r="D127" s="322" t="n"/>
      <c r="E127" s="300">
        <f>"thsd</f>
        <v/>
      </c>
      <c r="F127" s="300" t="inlineStr">
        <is>
          <t>+</t>
        </is>
      </c>
      <c r="G127" s="323" t="n"/>
      <c r="H127" s="323" t="n"/>
      <c r="I127" s="323" t="n"/>
      <c r="J127" s="880">
        <f>IFERROR(H127-I127,"N/A")</f>
        <v/>
      </c>
      <c r="K127" s="317">
        <f>IFERROR((H127-I127)/ABS(I127),"N/A")</f>
        <v/>
      </c>
      <c r="L127" s="881">
        <f>IFERROR(H127-G127,"N/A")</f>
        <v/>
      </c>
      <c r="M127" s="317">
        <f>IFERROR((H127-G127)/ABS(G127),"N/A")</f>
        <v/>
      </c>
      <c r="N127" s="61" t="n"/>
      <c r="O127" s="61" t="n"/>
      <c r="P127" s="61" t="n"/>
      <c r="Q127" s="881">
        <f>IFERROR(O127-P127,"N/A")</f>
        <v/>
      </c>
      <c r="R127" s="317">
        <f>IFERROR((O127-P127)/ABS(P127),"N/A")</f>
        <v/>
      </c>
      <c r="S127" s="881">
        <f>IFERROR(O127-N127,"N/A")</f>
        <v/>
      </c>
      <c r="T127" s="317">
        <f>IFERROR((O127-N127)/ABS(N127),"N/A")</f>
        <v/>
      </c>
    </row>
    <row r="128" outlineLevel="1" ht="25.5" customHeight="1">
      <c r="B128" s="325" t="n"/>
      <c r="C128" s="339" t="inlineStr">
        <is>
          <t>COGs</t>
        </is>
      </c>
      <c r="D128" s="339" t="n"/>
      <c r="E128" s="320">
        <f>"thsd</f>
        <v/>
      </c>
      <c r="F128" s="307" t="inlineStr">
        <is>
          <t>+</t>
        </is>
      </c>
      <c r="G128" s="323" t="n"/>
      <c r="H128" s="323" t="n"/>
      <c r="I128" s="323" t="n"/>
      <c r="J128" s="878">
        <f>IFERROR(H128-I128,"N/A")</f>
        <v/>
      </c>
      <c r="K128" s="310">
        <f>IFERROR((H128-I128)/ABS(I128),"N/A")</f>
        <v/>
      </c>
      <c r="L128" s="879">
        <f>IFERROR(H128-G128,"N/A")</f>
        <v/>
      </c>
      <c r="M128" s="310">
        <f>IFERROR((H128-G128)/ABS(G128),"N/A")</f>
        <v/>
      </c>
      <c r="N128" s="61" t="n"/>
      <c r="O128" s="61" t="n"/>
      <c r="P128" s="61" t="n"/>
      <c r="Q128" s="879">
        <f>IFERROR(O128-P128,"N/A")</f>
        <v/>
      </c>
      <c r="R128" s="310">
        <f>IFERROR((O128-P128)/ABS(P128),"N/A")</f>
        <v/>
      </c>
      <c r="S128" s="879">
        <f>IFERROR(O128-N128,"N/A")</f>
        <v/>
      </c>
      <c r="T128" s="310">
        <f>IFERROR((O128-N128)/ABS(N128),"N/A")</f>
        <v/>
      </c>
    </row>
    <row r="129" outlineLevel="1" ht="25.5" customHeight="1">
      <c r="B129" s="313" t="n"/>
      <c r="C129" s="322" t="inlineStr">
        <is>
          <t>Rent</t>
        </is>
      </c>
      <c r="D129" s="322" t="n"/>
      <c r="E129" s="300">
        <f>"thsd</f>
        <v/>
      </c>
      <c r="F129" s="300" t="inlineStr">
        <is>
          <t>+</t>
        </is>
      </c>
      <c r="G129" s="323" t="n"/>
      <c r="H129" s="323" t="n"/>
      <c r="I129" s="323" t="n"/>
      <c r="J129" s="880">
        <f>IFERROR(H129-I129,"N/A")</f>
        <v/>
      </c>
      <c r="K129" s="317">
        <f>IFERROR((H129-I129)/ABS(I129),"N/A")</f>
        <v/>
      </c>
      <c r="L129" s="881">
        <f>IFERROR(H129-G129,"N/A")</f>
        <v/>
      </c>
      <c r="M129" s="317">
        <f>IFERROR((H129-G129)/ABS(G129),"N/A")</f>
        <v/>
      </c>
      <c r="N129" s="61" t="n"/>
      <c r="O129" s="61" t="n"/>
      <c r="P129" s="61" t="n"/>
      <c r="Q129" s="881">
        <f>IFERROR(O129-P129,"N/A")</f>
        <v/>
      </c>
      <c r="R129" s="317">
        <f>IFERROR((O129-P129)/ABS(P129),"N/A")</f>
        <v/>
      </c>
      <c r="S129" s="881">
        <f>IFERROR(O129-N129,"N/A")</f>
        <v/>
      </c>
      <c r="T129" s="317">
        <f>IFERROR((O129-N129)/ABS(N129),"N/A")</f>
        <v/>
      </c>
    </row>
    <row r="130" outlineLevel="1" ht="25.5" customHeight="1">
      <c r="B130" s="325" t="n"/>
      <c r="C130" s="339" t="inlineStr">
        <is>
          <t>COGs</t>
        </is>
      </c>
      <c r="D130" s="339" t="n"/>
      <c r="E130" s="320">
        <f>"thsd</f>
        <v/>
      </c>
      <c r="F130" s="307" t="inlineStr">
        <is>
          <t>+</t>
        </is>
      </c>
      <c r="G130" s="323" t="n"/>
      <c r="H130" s="323" t="n"/>
      <c r="I130" s="323" t="n"/>
      <c r="J130" s="878">
        <f>IFERROR(H130-I130,"N/A")</f>
        <v/>
      </c>
      <c r="K130" s="310">
        <f>IFERROR((H130-I130)/ABS(I130),"N/A")</f>
        <v/>
      </c>
      <c r="L130" s="879">
        <f>IFERROR(H130-G130,"N/A")</f>
        <v/>
      </c>
      <c r="M130" s="310">
        <f>IFERROR((H130-G130)/ABS(G130),"N/A")</f>
        <v/>
      </c>
      <c r="N130" s="61" t="n"/>
      <c r="O130" s="61" t="n"/>
      <c r="P130" s="61" t="n"/>
      <c r="Q130" s="879">
        <f>IFERROR(O130-P130,"N/A")</f>
        <v/>
      </c>
      <c r="R130" s="310">
        <f>IFERROR((O130-P130)/ABS(P130),"N/A")</f>
        <v/>
      </c>
      <c r="S130" s="879">
        <f>IFERROR(O130-N130,"N/A")</f>
        <v/>
      </c>
      <c r="T130" s="310">
        <f>IFERROR((O130-N130)/ABS(N130),"N/A")</f>
        <v/>
      </c>
    </row>
    <row r="131" outlineLevel="1">
      <c r="B131" s="313" t="n"/>
      <c r="C131" s="322" t="inlineStr">
        <is>
          <t>İnsurance service</t>
        </is>
      </c>
      <c r="D131" s="322" t="n"/>
      <c r="E131" s="300">
        <f>"thsd</f>
        <v/>
      </c>
      <c r="F131" s="300" t="inlineStr">
        <is>
          <t>+</t>
        </is>
      </c>
      <c r="G131" s="323" t="n"/>
      <c r="H131" s="323" t="n"/>
      <c r="I131" s="323" t="n"/>
      <c r="J131" s="880">
        <f>IFERROR(H131-I131,"N/A")</f>
        <v/>
      </c>
      <c r="K131" s="317">
        <f>IFERROR((H131-I131)/ABS(I131),"N/A")</f>
        <v/>
      </c>
      <c r="L131" s="881">
        <f>IFERROR(H131-G131,"N/A")</f>
        <v/>
      </c>
      <c r="M131" s="317">
        <f>IFERROR((H131-G131)/ABS(G131),"N/A")</f>
        <v/>
      </c>
      <c r="N131" s="61" t="n"/>
      <c r="O131" s="61" t="n"/>
      <c r="P131" s="61" t="n"/>
      <c r="Q131" s="881">
        <f>IFERROR(O131-P131,"N/A")</f>
        <v/>
      </c>
      <c r="R131" s="317">
        <f>IFERROR((O131-P131)/ABS(P131),"N/A")</f>
        <v/>
      </c>
      <c r="S131" s="881">
        <f>IFERROR(O131-N131,"N/A")</f>
        <v/>
      </c>
      <c r="T131" s="317">
        <f>IFERROR((O131-N131)/ABS(N131),"N/A")</f>
        <v/>
      </c>
    </row>
    <row r="132" outlineLevel="1" ht="25.5" customHeight="1">
      <c r="B132" s="325" t="n"/>
      <c r="C132" s="339" t="inlineStr">
        <is>
          <t>COGs</t>
        </is>
      </c>
      <c r="D132" s="339" t="n"/>
      <c r="E132" s="320">
        <f>"thsd</f>
        <v/>
      </c>
      <c r="F132" s="307" t="inlineStr">
        <is>
          <t>+</t>
        </is>
      </c>
      <c r="G132" s="323" t="n"/>
      <c r="H132" s="323" t="n"/>
      <c r="I132" s="323" t="n"/>
      <c r="J132" s="878">
        <f>IFERROR(H132-I132,"N/A")</f>
        <v/>
      </c>
      <c r="K132" s="310">
        <f>IFERROR((H132-I132)/ABS(I132),"N/A")</f>
        <v/>
      </c>
      <c r="L132" s="879">
        <f>IFERROR(H132-G132,"N/A")</f>
        <v/>
      </c>
      <c r="M132" s="310">
        <f>IFERROR((H132-G132)/ABS(G132),"N/A")</f>
        <v/>
      </c>
      <c r="N132" s="61" t="n"/>
      <c r="O132" s="61" t="n"/>
      <c r="P132" s="61" t="n"/>
      <c r="Q132" s="879">
        <f>IFERROR(O132-P132,"N/A")</f>
        <v/>
      </c>
      <c r="R132" s="310">
        <f>IFERROR((O132-P132)/ABS(P132),"N/A")</f>
        <v/>
      </c>
      <c r="S132" s="879">
        <f>IFERROR(O132-N132,"N/A")</f>
        <v/>
      </c>
      <c r="T132" s="310">
        <f>IFERROR((O132-N132)/ABS(N132),"N/A")</f>
        <v/>
      </c>
    </row>
    <row r="133" outlineLevel="1">
      <c r="B133" s="313" t="n"/>
      <c r="C133" s="322" t="inlineStr">
        <is>
          <t>Other services</t>
        </is>
      </c>
      <c r="D133" s="322" t="n"/>
      <c r="E133" s="300">
        <f>"thsd</f>
        <v/>
      </c>
      <c r="F133" s="300" t="inlineStr">
        <is>
          <t>+</t>
        </is>
      </c>
      <c r="G133" s="323" t="n">
        <v>6529.263898530243</v>
      </c>
      <c r="H133" s="323" t="n">
        <v>862.2886502476496</v>
      </c>
      <c r="I133" s="323" t="n">
        <v>518.8235294117648</v>
      </c>
      <c r="J133" s="880">
        <f>IFERROR(H133-I133,"N/A")</f>
        <v/>
      </c>
      <c r="K133" s="317">
        <f>IFERROR((H133-I133)/ABS(I133),"N/A")</f>
        <v/>
      </c>
      <c r="L133" s="881">
        <f>IFERROR(H133-G133,"N/A")</f>
        <v/>
      </c>
      <c r="M133" s="317">
        <f>IFERROR((H133-G133)/ABS(G133),"N/A")</f>
        <v/>
      </c>
      <c r="N133" s="61" t="n">
        <v>15623.19989544895</v>
      </c>
      <c r="O133" s="61" t="n">
        <v>5227.445256783764</v>
      </c>
      <c r="P133" s="61" t="n">
        <v>5905.882352941177</v>
      </c>
      <c r="Q133" s="881">
        <f>IFERROR(O133-P133,"N/A")</f>
        <v/>
      </c>
      <c r="R133" s="317">
        <f>IFERROR((O133-P133)/ABS(P133),"N/A")</f>
        <v/>
      </c>
      <c r="S133" s="881">
        <f>IFERROR(O133-N133,"N/A")</f>
        <v/>
      </c>
      <c r="T133" s="317">
        <f>IFERROR((O133-N133)/ABS(N133),"N/A")</f>
        <v/>
      </c>
    </row>
    <row r="134" outlineLevel="1" ht="25.5" customHeight="1">
      <c r="B134" s="325" t="n"/>
      <c r="C134" s="339" t="inlineStr">
        <is>
          <t>COGs</t>
        </is>
      </c>
      <c r="D134" s="339" t="n"/>
      <c r="E134" s="320">
        <f>"thsd</f>
        <v/>
      </c>
      <c r="F134" s="307" t="inlineStr">
        <is>
          <t>+</t>
        </is>
      </c>
      <c r="G134" s="323" t="n">
        <v>2023</v>
      </c>
      <c r="H134" s="323" t="n">
        <v>260</v>
      </c>
      <c r="I134" s="323" t="n">
        <v>2100</v>
      </c>
      <c r="J134" s="878">
        <f>IFERROR(H134-I134,"N/A")</f>
        <v/>
      </c>
      <c r="K134" s="310">
        <f>IFERROR((H134-I134)/ABS(I134),"N/A")</f>
        <v/>
      </c>
      <c r="L134" s="879">
        <f>IFERROR(H134-G134,"N/A")</f>
        <v/>
      </c>
      <c r="M134" s="310">
        <f>IFERROR((H134-G134)/ABS(G134),"N/A")</f>
        <v/>
      </c>
      <c r="N134" s="61" t="n">
        <v>10312</v>
      </c>
      <c r="O134" s="61" t="n">
        <v>11599</v>
      </c>
      <c r="P134" s="61" t="n">
        <v>17458</v>
      </c>
      <c r="Q134" s="879">
        <f>IFERROR(O134-P134,"N/A")</f>
        <v/>
      </c>
      <c r="R134" s="310">
        <f>IFERROR((O134-P134)/ABS(P134),"N/A")</f>
        <v/>
      </c>
      <c r="S134" s="879">
        <f>IFERROR(O134-N134,"N/A")</f>
        <v/>
      </c>
      <c r="T134" s="310">
        <f>IFERROR((O134-N134)/ABS(N134),"N/A")</f>
        <v/>
      </c>
    </row>
    <row r="135">
      <c r="L135" s="347" t="n"/>
      <c r="N135" s="348" t="n"/>
      <c r="O135" s="348" t="n"/>
      <c r="P135" s="348" t="n"/>
      <c r="Q135" s="349" t="n"/>
      <c r="R135" s="336" t="n"/>
      <c r="S135" s="349" t="n"/>
      <c r="T135" s="336" t="n"/>
    </row>
    <row r="136">
      <c r="L136" s="347" t="n"/>
      <c r="N136" s="348" t="n"/>
      <c r="O136" s="348" t="n"/>
      <c r="P136" s="348" t="n"/>
      <c r="Q136" s="349" t="n"/>
      <c r="R136" s="336" t="n"/>
      <c r="S136" s="348" t="n"/>
    </row>
    <row r="137">
      <c r="L137" s="347" t="n"/>
      <c r="S137" s="348" t="n"/>
    </row>
    <row r="138">
      <c r="L138" s="347" t="n"/>
    </row>
  </sheetData>
  <mergeCells count="21">
    <mergeCell ref="N13:T13"/>
    <mergeCell ref="D10:E10"/>
    <mergeCell ref="B11:B12"/>
    <mergeCell ref="D11:D12"/>
    <mergeCell ref="H11:H12"/>
    <mergeCell ref="P11:P12"/>
    <mergeCell ref="S11:T11"/>
    <mergeCell ref="C11:C12"/>
    <mergeCell ref="E11:E12"/>
    <mergeCell ref="J11:K11"/>
    <mergeCell ref="O11:O12"/>
    <mergeCell ref="D9:E9"/>
    <mergeCell ref="F11:F12"/>
    <mergeCell ref="G10:M10"/>
    <mergeCell ref="N11:N12"/>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T313"/>
  <sheetViews>
    <sheetView workbookViewId="0">
      <selection activeCell="A1" sqref="A1:XFD1048576"/>
    </sheetView>
  </sheetViews>
  <sheetFormatPr baseColWidth="8" defaultColWidth="8.5703125" defaultRowHeight="14.25" outlineLevelRow="1"/>
  <cols>
    <col width="8.5703125" customWidth="1" style="351" min="1" max="1"/>
    <col width="8.5703125" customWidth="1" style="352" min="2" max="2"/>
    <col width="33.5703125" customWidth="1" style="352" min="3" max="3"/>
    <col width="31.42578125" customWidth="1" style="352" min="4" max="4"/>
    <col width="21.5703125" customWidth="1" style="353" min="5" max="5"/>
    <col width="10.5703125" customWidth="1" style="353" min="6" max="6"/>
    <col width="29.5703125" customWidth="1" style="354" min="7" max="9"/>
    <col width="34.42578125" customWidth="1" style="355" min="10" max="10"/>
    <col width="34.42578125" customWidth="1" style="356" min="11" max="11"/>
    <col width="34.42578125" customWidth="1" style="352" min="12" max="13"/>
    <col width="26.5703125" customWidth="1" style="352" min="14" max="15"/>
    <col width="26.42578125" customWidth="1" style="352" min="16" max="16"/>
    <col width="34.42578125" customWidth="1" style="352" min="17" max="17"/>
    <col width="34.42578125" customWidth="1" style="417" min="18" max="18"/>
    <col width="34.42578125" customWidth="1" style="352" min="19" max="19"/>
    <col width="34.42578125" customWidth="1" style="417" min="20" max="20"/>
    <col width="8.5703125" customWidth="1" style="352" min="21" max="16384"/>
  </cols>
  <sheetData>
    <row r="1"/>
    <row r="2" ht="18" customHeight="1">
      <c r="D2" s="447" t="n"/>
      <c r="H2" s="215" t="n"/>
      <c r="R2" s="417" t="n"/>
      <c r="T2" s="417" t="n"/>
    </row>
    <row r="3">
      <c r="R3" s="417" t="n"/>
      <c r="T3" s="417" t="n"/>
    </row>
    <row r="4">
      <c r="D4" s="353" t="n"/>
      <c r="R4" s="417" t="n"/>
      <c r="T4" s="417" t="n"/>
    </row>
    <row r="5">
      <c r="D5" s="353" t="n"/>
      <c r="R5" s="417" t="n"/>
      <c r="T5" s="417" t="n"/>
    </row>
    <row r="6" ht="15" customHeight="1">
      <c r="B6" s="420" t="n"/>
      <c r="D6" s="448" t="n"/>
      <c r="E6" s="352" t="n"/>
      <c r="F6" s="352" t="n"/>
      <c r="R6" s="417" t="n"/>
      <c r="T6" s="417" t="n"/>
    </row>
    <row r="7" ht="30" customHeight="1">
      <c r="A7" s="353" t="n"/>
      <c r="B7" s="420" t="n"/>
      <c r="H7" s="359" t="n"/>
      <c r="J7" s="354" t="n"/>
      <c r="K7" s="354" t="n"/>
      <c r="L7" s="354" t="n"/>
      <c r="M7" s="354" t="n"/>
      <c r="N7" s="354" t="n"/>
      <c r="O7" s="354" t="n"/>
      <c r="P7" s="354" t="n"/>
      <c r="Q7" s="354" t="n"/>
      <c r="R7" s="492" t="n"/>
      <c r="S7" s="354" t="n"/>
      <c r="T7" s="492" t="n"/>
    </row>
    <row r="8" ht="15.75" customHeight="1">
      <c r="B8" s="361" t="n"/>
      <c r="C8" s="362" t="inlineStr">
        <is>
          <t>Entity Name</t>
        </is>
      </c>
      <c r="D8" s="743">
        <f>IF([1]Segment_map!D4=0,"THE COMPANY HAS NOT BEEN PICKED",[1]Segment_map!D4)</f>
        <v/>
      </c>
      <c r="E8" s="862" t="n"/>
      <c r="F8" s="363" t="n"/>
      <c r="G8" s="363" t="n"/>
      <c r="H8" s="364" t="n"/>
      <c r="I8" s="364" t="n"/>
      <c r="K8" s="364" t="n"/>
      <c r="L8" s="364" t="n"/>
      <c r="M8" s="364" t="n"/>
      <c r="N8" s="364" t="n"/>
      <c r="O8" s="364" t="n"/>
      <c r="P8" s="364" t="n"/>
      <c r="Q8" s="364" t="n"/>
      <c r="R8" s="365" t="n"/>
      <c r="S8" s="364" t="n"/>
      <c r="T8" s="365" t="n"/>
    </row>
    <row r="9" ht="20.1" customHeight="1">
      <c r="B9" s="364" t="n"/>
      <c r="C9" s="362" t="inlineStr">
        <is>
          <t>Currency</t>
        </is>
      </c>
      <c r="D9" s="744">
        <f>IF([1]Segment_map!J4="","CURRENCY HAS NOT BEEN PICKED",[1]Segment_map!J4)</f>
        <v/>
      </c>
      <c r="E9" s="872" t="n"/>
      <c r="F9" s="363" t="n"/>
      <c r="G9" s="363" t="n"/>
      <c r="H9" s="363" t="n"/>
      <c r="I9" s="363" t="n"/>
      <c r="J9" s="354" t="n"/>
      <c r="K9" s="354" t="n"/>
      <c r="L9" s="354" t="n"/>
      <c r="M9" s="354" t="n"/>
      <c r="N9" s="354" t="n"/>
      <c r="O9" s="354" t="n"/>
      <c r="P9" s="354" t="n"/>
      <c r="Q9" s="354" t="n"/>
      <c r="R9" s="492" t="n"/>
      <c r="S9" s="354" t="n"/>
      <c r="T9" s="492" t="n"/>
    </row>
    <row r="10" ht="20.1" customHeight="1">
      <c r="B10" s="364" t="n"/>
      <c r="C10" s="364" t="n"/>
      <c r="D10" s="364" t="n"/>
      <c r="E10" s="364" t="n"/>
      <c r="F10" s="364" t="n"/>
      <c r="G10" s="755">
        <f>'[1]P&amp;L'!$E$6</f>
        <v/>
      </c>
      <c r="H10" s="865" t="n"/>
      <c r="I10" s="865" t="n"/>
      <c r="J10" s="865" t="n"/>
      <c r="K10" s="865" t="n"/>
      <c r="L10" s="865" t="n"/>
      <c r="M10" s="865" t="n"/>
      <c r="N10" s="756">
        <f>'[1]P&amp;L'!P6</f>
        <v/>
      </c>
      <c r="O10" s="886" t="n"/>
      <c r="P10" s="886" t="n"/>
      <c r="Q10" s="886" t="n"/>
      <c r="R10" s="886" t="n"/>
      <c r="S10" s="886" t="n"/>
      <c r="T10" s="886" t="n"/>
    </row>
    <row r="11" ht="35.1" customHeight="1">
      <c r="B11" s="746" t="inlineStr">
        <is>
          <t>Code</t>
        </is>
      </c>
      <c r="C11" s="746" t="inlineStr">
        <is>
          <t>Line item</t>
        </is>
      </c>
      <c r="D11" s="746" t="inlineStr">
        <is>
          <t>Sətir elementi</t>
        </is>
      </c>
      <c r="E11" s="757" t="inlineStr">
        <is>
          <t>Units of measurement</t>
        </is>
      </c>
      <c r="F11" s="757" t="inlineStr">
        <is>
          <t>+/-</t>
        </is>
      </c>
      <c r="G11" s="753" t="inlineStr">
        <is>
          <t>Same period of the previous year actual</t>
        </is>
      </c>
      <c r="H11" s="753" t="inlineStr">
        <is>
          <t>Current period actual</t>
        </is>
      </c>
      <c r="I11" s="753" t="inlineStr">
        <is>
          <t>Current period plan</t>
        </is>
      </c>
      <c r="J11" s="715" t="inlineStr">
        <is>
          <t>Deviations actual to plan of current period</t>
        </is>
      </c>
      <c r="K11" s="862" t="n"/>
      <c r="L11" s="754" t="inlineStr">
        <is>
          <t>Deviations of current from previous period</t>
        </is>
      </c>
      <c r="M11" s="862" t="n"/>
      <c r="N11" s="722" t="inlineStr">
        <is>
          <t>Same period of the previous year actual</t>
        </is>
      </c>
      <c r="O11" s="722" t="inlineStr">
        <is>
          <t>Current period actual</t>
        </is>
      </c>
      <c r="P11" s="722" t="inlineStr">
        <is>
          <t>Current period plan</t>
        </is>
      </c>
      <c r="Q11" s="750" t="inlineStr">
        <is>
          <t>Deviations actual to plan of current period</t>
        </is>
      </c>
      <c r="R11" s="862" t="n"/>
      <c r="S11" s="750" t="inlineStr">
        <is>
          <t>Deviations of current from previous period</t>
        </is>
      </c>
      <c r="T11" s="862" t="n"/>
    </row>
    <row r="12" ht="82.34999999999999" customFormat="1" customHeight="1" s="367">
      <c r="A12" s="366" t="n"/>
      <c r="B12" s="874" t="n"/>
      <c r="C12" s="874" t="n"/>
      <c r="D12" s="874" t="n"/>
      <c r="E12" s="874" t="n"/>
      <c r="F12" s="874" t="n"/>
      <c r="G12" s="874" t="n"/>
      <c r="H12" s="874" t="n"/>
      <c r="I12" s="874" t="n"/>
      <c r="J12" s="754" t="inlineStr">
        <is>
          <t>Deviation from current period plan in absolute</t>
        </is>
      </c>
      <c r="K12" s="41" t="n"/>
      <c r="L12" s="754" t="inlineStr">
        <is>
          <t>Deviation from same period of the previous year actual in absolute</t>
        </is>
      </c>
      <c r="M12" s="41" t="inlineStr">
        <is>
          <t>Deviation from same period of the previous year actual %</t>
        </is>
      </c>
      <c r="N12" s="864" t="n"/>
      <c r="O12" s="864" t="n"/>
      <c r="P12" s="864" t="n"/>
      <c r="Q12" s="121" t="inlineStr">
        <is>
          <t>Deviation from current period plan in absolute</t>
        </is>
      </c>
      <c r="R12" s="121" t="n"/>
      <c r="S12" s="122" t="inlineStr">
        <is>
          <t>Deviation from same period of the previous year actual in absolute</t>
        </is>
      </c>
      <c r="T12" s="122" t="inlineStr">
        <is>
          <t>Deviation from same period of the previous year actual %</t>
        </is>
      </c>
    </row>
    <row r="13" ht="15.6" customHeight="1">
      <c r="B13" s="368" t="n"/>
      <c r="C13" s="369" t="n"/>
      <c r="D13" s="369" t="n"/>
      <c r="E13" s="370" t="n"/>
      <c r="F13" s="371" t="n"/>
      <c r="G13" s="751">
        <f>'[1]P&amp;L'!E9</f>
        <v/>
      </c>
      <c r="H13" s="861" t="n"/>
      <c r="I13" s="861" t="n"/>
      <c r="J13" s="861" t="n"/>
      <c r="K13" s="861" t="n"/>
      <c r="L13" s="861" t="n"/>
      <c r="M13" s="861" t="n"/>
      <c r="N13" s="752">
        <f>'[1]P&amp;L'!P9</f>
        <v/>
      </c>
      <c r="O13" s="865" t="n"/>
      <c r="P13" s="865" t="n"/>
      <c r="Q13" s="865" t="n"/>
      <c r="R13" s="865" t="n"/>
      <c r="S13" s="865" t="n"/>
      <c r="T13" s="865" t="n"/>
    </row>
    <row r="14">
      <c r="B14" s="372" t="n">
        <v>1</v>
      </c>
      <c r="C14" s="372" t="n">
        <v>2</v>
      </c>
      <c r="D14" s="372" t="n">
        <v>3</v>
      </c>
      <c r="E14" s="372" t="n">
        <v>4</v>
      </c>
      <c r="F14" s="372" t="n">
        <v>5</v>
      </c>
      <c r="G14" s="372" t="n">
        <v>6</v>
      </c>
      <c r="H14" s="372" t="n">
        <v>7</v>
      </c>
      <c r="I14" s="372" t="n">
        <v>8</v>
      </c>
      <c r="J14" s="372" t="n">
        <v>9</v>
      </c>
      <c r="K14" s="372" t="n">
        <v>10</v>
      </c>
      <c r="L14" s="372" t="n">
        <v>11</v>
      </c>
      <c r="M14" s="372" t="n">
        <v>12</v>
      </c>
      <c r="N14" s="372" t="n">
        <v>13</v>
      </c>
      <c r="O14" s="372" t="n">
        <v>14</v>
      </c>
      <c r="P14" s="372" t="n">
        <v>15</v>
      </c>
      <c r="Q14" s="372" t="n">
        <v>16</v>
      </c>
      <c r="R14" s="372" t="n">
        <v>17</v>
      </c>
      <c r="S14" s="372" t="n">
        <v>18</v>
      </c>
      <c r="T14" s="372" t="n">
        <v>19</v>
      </c>
    </row>
    <row r="15" ht="25.5" customFormat="1" customHeight="1" s="30">
      <c r="A15" s="373" t="n"/>
      <c r="B15" s="374" t="inlineStr">
        <is>
          <t>01.A</t>
        </is>
      </c>
      <c r="C15" s="374" t="inlineStr">
        <is>
          <t xml:space="preserve">Products revenue </t>
        </is>
      </c>
      <c r="D15" s="374" t="n"/>
      <c r="E15" s="375">
        <f>"thsd</f>
        <v/>
      </c>
      <c r="F15" s="375" t="inlineStr">
        <is>
          <t>+</t>
        </is>
      </c>
      <c r="G15" s="376">
        <f>SUM(G17,G40,G143,G236,G289,G302)</f>
        <v/>
      </c>
      <c r="H15" s="376">
        <f>SUM(H17,H40,H143,H236,H289,H302)</f>
        <v/>
      </c>
      <c r="I15" s="376">
        <f>SUM(I17,I40,I143,I236,I289,I302)</f>
        <v/>
      </c>
      <c r="J15" s="377">
        <f>IFERROR((H15-I15),"N/A")</f>
        <v/>
      </c>
      <c r="K15" s="378">
        <f>IFERROR((H15-I15)/ABS(I15),"N/A")</f>
        <v/>
      </c>
      <c r="L15" s="143">
        <f>IFERROR((H15-G15),"N/A")</f>
        <v/>
      </c>
      <c r="M15" s="378">
        <f>IFERROR((H15-G15)/ABS(G15),"N/A")</f>
        <v/>
      </c>
      <c r="N15" s="376">
        <f>SUM(N17,N40,N143,N236,N289,N302)</f>
        <v/>
      </c>
      <c r="O15" s="376">
        <f>SUM(O17,O40,O143,O236,O289,O302)</f>
        <v/>
      </c>
      <c r="P15" s="376">
        <f>SUM(P17,P40,P143,P236,P289,P302)</f>
        <v/>
      </c>
      <c r="Q15" s="379">
        <f>IFERROR((O15-P15),"N/A")</f>
        <v/>
      </c>
      <c r="R15" s="380">
        <f>IFERROR((O15-P15)/ABS(P15),"N/A")</f>
        <v/>
      </c>
      <c r="S15" s="143">
        <f>IFERROR((O15-N15),"N/A")</f>
        <v/>
      </c>
      <c r="T15" s="380">
        <f>IFERROR((O15-N15)/ABS(N15),"N/A")</f>
        <v/>
      </c>
    </row>
    <row r="16" ht="12.75" customFormat="1" customHeight="1" s="30">
      <c r="A16" s="373" t="n"/>
      <c r="B16" s="397" t="n"/>
      <c r="C16" s="397" t="inlineStr">
        <is>
          <t>COGS</t>
        </is>
      </c>
      <c r="D16" s="397" t="n"/>
      <c r="E16" s="383">
        <f>"thsd</f>
        <v/>
      </c>
      <c r="F16" s="375" t="inlineStr">
        <is>
          <t>+</t>
        </is>
      </c>
      <c r="G16" s="184">
        <f>SUM(G23,G28,G34,G39,G46,G51,G56,G61,G66,G71,G76,G81,G86,G91,G97,G102,G107,G112,G117,G122,G127,G132,G137,G142,G149,G154,G159,G164,G169,G174,G179,G184,G189,G195,G200,G205,G210,G215,G220,G225,G230,G235,G242,G247,G252,G257,G262,G268,G273,G278,G283,G288,G295,G301,G304,G306)</f>
        <v/>
      </c>
      <c r="H16" s="184">
        <f>SUM(H23,H28,H34,H39,H46,H51,H56,H61,H66,H71,H76,H81,H86,H91,H97,H102,H107,H112,H117,H122,H127,H132,H137,H142,H149,H154,H159,H164,H169,H174,H179,H184,H189,H195,H200,H205,H210,H215,H220,H225,H230,H235,H242,H247,H252,H257,H262,H268,H273,H278,H283,H288,H295,H301,H304,H306)</f>
        <v/>
      </c>
      <c r="I16" s="184">
        <f>SUM(I23,I28,I34,I39,I46,I51,I56,I61,I66,I71,I76,I81,I86,I91,I97,I102,I107,I112,I117,I122,I127,I132,I137,I142,I149,I154,I159,I164,I169,I174,I179,I184,I189,I195,I200,I205,I210,I215,I220,I225,I230,I235,I242,I247,I252,I257,I262,I268,I273,I278,I283,I288,I295,I301,I304,I306)</f>
        <v/>
      </c>
      <c r="J16" s="184">
        <f>IFERROR((H16-I16),"N/A")</f>
        <v/>
      </c>
      <c r="K16" s="384">
        <f>IFERROR((H16-I16)/ABS(I16),"N/A")</f>
        <v/>
      </c>
      <c r="L16" s="184">
        <f>IFERROR((H16-G16),"N/A")</f>
        <v/>
      </c>
      <c r="M16" s="384">
        <f>IFERROR((H16-G16)/ABS(G16),"N/A")</f>
        <v/>
      </c>
      <c r="N16" s="184">
        <f>SUM(N23,N28,N34,N39,N46,N51,N56,N61,N66,N71,N76,N81,N86,N91,N97,N102,N107,N112,N117,N122,N127,N132,N137,N142,N149,N154,N159,N164,N169,N174,N179,N184,N189,N195,N200,N205,N210,N215,N220,N225,N230,N235,N242,N247,N252,N257,N262,N268,N273,N278,N283,N288,N295,N301,N304,N306)</f>
        <v/>
      </c>
      <c r="O16" s="184">
        <f>SUM(O23,O28,O34,O39,O46,O51,O56,O61,O66,O71,O76,O81,O86,O91,O97,O102,O107,O112,O117,O122,O127,O132,O137,O142,O149,O154,O159,O164,O169,O174,O179,O184,O189,O195,O200,O205,O210,O215,O220,O225,O230,O235,O242,O247,O252,O257,O262,O268,O273,O278,O283,O288,O295,O301,O304,O306)</f>
        <v/>
      </c>
      <c r="P16" s="184">
        <f>SUM(P23,P28,P34,P39,P46,P51,P56,P61,P66,P71,P76,P81,P86,P91,P97,P102,P107,P112,P117,P122,P127,P132,P137,P142,P149,P154,P159,P164,P169,P174,P179,P184,P189,P195,P200,P205,P210,P215,P220,P225,P230,P235,P242,P247,P252,P257,P262,P268,P273,P278,P283,P288,P295,P301,P304,P306)</f>
        <v/>
      </c>
      <c r="Q16" s="184">
        <f>IFERROR((O16-P16),"N/A")</f>
        <v/>
      </c>
      <c r="R16" s="385">
        <f>IFERROR((O16-P16)/ABS(P16),"N/A")</f>
        <v/>
      </c>
      <c r="S16" s="184">
        <f>IFERROR((O16-N16),"N/A")</f>
        <v/>
      </c>
      <c r="T16" s="385">
        <f>IFERROR((O16-N16)/ABS(N16),"N/A")</f>
        <v/>
      </c>
    </row>
    <row r="17" ht="15" customFormat="1" customHeight="1" s="30">
      <c r="A17" s="373" t="n"/>
      <c r="B17" s="386" t="n"/>
      <c r="C17" s="387" t="inlineStr">
        <is>
          <t>Crude liquids</t>
        </is>
      </c>
      <c r="D17" s="387" t="inlineStr">
        <is>
          <t>Xam neft (kondensat)</t>
        </is>
      </c>
      <c r="E17" s="375">
        <f>"thsd</f>
        <v/>
      </c>
      <c r="F17" s="375" t="inlineStr">
        <is>
          <t>+</t>
        </is>
      </c>
      <c r="G17" s="376">
        <f>SUM(G18,G29)</f>
        <v/>
      </c>
      <c r="H17" s="376">
        <f>SUM(H18,H29)</f>
        <v/>
      </c>
      <c r="I17" s="376">
        <f>SUM(I18,I29)</f>
        <v/>
      </c>
      <c r="J17" s="376">
        <f>IFERROR((H17-I17),"N/A")</f>
        <v/>
      </c>
      <c r="K17" s="388">
        <f>IFERROR((H17-I17)/ABS(I17),"N/A")</f>
        <v/>
      </c>
      <c r="L17" s="376">
        <f>IFERROR((H17-G17),"N/A")</f>
        <v/>
      </c>
      <c r="M17" s="388">
        <f>IFERROR((H17-G17)/ABS(G17),"N/A")</f>
        <v/>
      </c>
      <c r="N17" s="376">
        <f>SUM(N18,N29)</f>
        <v/>
      </c>
      <c r="O17" s="376">
        <f>SUM(O18,O29)</f>
        <v/>
      </c>
      <c r="P17" s="376">
        <f>SUM(P18,P29)</f>
        <v/>
      </c>
      <c r="Q17" s="376">
        <f>IFERROR((O17-P17),"N/A")</f>
        <v/>
      </c>
      <c r="R17" s="389">
        <f>IFERROR((O17-P17)/ABS(P17),"N/A")</f>
        <v/>
      </c>
      <c r="S17" s="376">
        <f>IFERROR((O17-N17),"N/A")</f>
        <v/>
      </c>
      <c r="T17" s="389">
        <f>IFERROR((O17-N17)/ABS(N17),"N/A")</f>
        <v/>
      </c>
    </row>
    <row r="18" outlineLevel="1" ht="25.5" customFormat="1" customHeight="1" s="30">
      <c r="A18" s="373" t="n"/>
      <c r="B18" s="390" t="n"/>
      <c r="C18" s="390" t="inlineStr">
        <is>
          <t>Local revenue (for Entity location)</t>
        </is>
      </c>
      <c r="D18" s="390" t="n"/>
      <c r="E18" s="391">
        <f>"thsd</f>
        <v/>
      </c>
      <c r="F18" s="375" t="inlineStr">
        <is>
          <t>+</t>
        </is>
      </c>
      <c r="G18" s="392">
        <f>SUM(G19,G24)</f>
        <v/>
      </c>
      <c r="H18" s="392">
        <f>SUM(H19,H24)</f>
        <v/>
      </c>
      <c r="I18" s="392">
        <f>SUM(I19,I24)</f>
        <v/>
      </c>
      <c r="J18" s="392">
        <f>IFERROR((H18-I18),"N/A")</f>
        <v/>
      </c>
      <c r="K18" s="393">
        <f>IFERROR((H18-I18)/ABS(I18),"N/A")</f>
        <v/>
      </c>
      <c r="L18" s="392">
        <f>IFERROR((H18-G18),"N/A")</f>
        <v/>
      </c>
      <c r="M18" s="393">
        <f>IFERROR((H18-G18)/ABS(G18),"N/A")</f>
        <v/>
      </c>
      <c r="N18" s="392">
        <f>SUM(N19,N24)</f>
        <v/>
      </c>
      <c r="O18" s="392">
        <f>SUM(O19,O24)</f>
        <v/>
      </c>
      <c r="P18" s="392">
        <f>SUM(P19,P24)</f>
        <v/>
      </c>
      <c r="Q18" s="392">
        <f>IFERROR((O18-P18),"N/A")</f>
        <v/>
      </c>
      <c r="R18" s="394">
        <f>IFERROR((O18-P18)/ABS(P18),"N/A")</f>
        <v/>
      </c>
      <c r="S18" s="392">
        <f>IFERROR((O18-N18),"N/A")</f>
        <v/>
      </c>
      <c r="T18" s="394">
        <f>IFERROR((O18-N18)/ABS(N18),"N/A")</f>
        <v/>
      </c>
    </row>
    <row r="19" outlineLevel="1" ht="12.75" customFormat="1" customHeight="1" s="30">
      <c r="A19" s="373">
        <f>$C$18&amp;" "&amp;C19&amp;" Revenue " &amp;$C$17</f>
        <v/>
      </c>
      <c r="B19" s="395" t="n"/>
      <c r="C19" s="395" t="inlineStr">
        <is>
          <t>Crude oil</t>
        </is>
      </c>
      <c r="D19" s="395" t="inlineStr">
        <is>
          <t>Xam neft</t>
        </is>
      </c>
      <c r="E19" s="396">
        <f>"thsd</f>
        <v/>
      </c>
      <c r="F19" s="375" t="inlineStr">
        <is>
          <t>+</t>
        </is>
      </c>
      <c r="G19" s="158" t="n"/>
      <c r="H19" s="158" t="n"/>
      <c r="I19" s="158" t="n"/>
      <c r="J19" s="184">
        <f>IFERROR((H19-I19),"N/A")</f>
        <v/>
      </c>
      <c r="K19" s="384">
        <f>IFERROR((H19-I19)/ABS(I19),"N/A")</f>
        <v/>
      </c>
      <c r="L19" s="184">
        <f>IFERROR((H19-G19),"N/A")</f>
        <v/>
      </c>
      <c r="M19" s="384">
        <f>IFERROR((H19-G19)/ABS(G19),"N/A")</f>
        <v/>
      </c>
      <c r="N19" s="158" t="n"/>
      <c r="O19" s="158" t="n"/>
      <c r="P19" s="158" t="n"/>
      <c r="Q19" s="184">
        <f>IFERROR((O19-P19),"N/A")</f>
        <v/>
      </c>
      <c r="R19" s="385">
        <f>IFERROR((O19-P19)/ABS(P19),"N/A")</f>
        <v/>
      </c>
      <c r="S19" s="184">
        <f>IFERROR((O19-N19),"N/A")</f>
        <v/>
      </c>
      <c r="T19" s="385">
        <f>IFERROR((O19-N19)/ABS(N19),"N/A")</f>
        <v/>
      </c>
    </row>
    <row r="20" outlineLevel="1" ht="12.75" customFormat="1" customHeight="1" s="30">
      <c r="A20" s="373">
        <f>$C$18&amp;" "&amp;$C$19&amp;" "&amp;C20 &amp;" "&amp; $C$17</f>
        <v/>
      </c>
      <c r="B20" s="397" t="n"/>
      <c r="C20" s="397" t="inlineStr">
        <is>
          <t>Sales volume</t>
        </is>
      </c>
      <c r="D20" s="397" t="n"/>
      <c r="E20" s="396" t="inlineStr">
        <is>
          <t>thsd</t>
        </is>
      </c>
      <c r="F20" s="375" t="inlineStr">
        <is>
          <t>+</t>
        </is>
      </c>
      <c r="G20" s="158" t="n"/>
      <c r="H20" s="158" t="n"/>
      <c r="I20" s="158" t="n"/>
      <c r="J20" s="184">
        <f>IFERROR((H20-I20),"N/A")</f>
        <v/>
      </c>
      <c r="K20" s="384">
        <f>IFERROR((H20-I20)/ABS(I20),"N/A")</f>
        <v/>
      </c>
      <c r="L20" s="184">
        <f>IFERROR((H20-G20),"N/A")</f>
        <v/>
      </c>
      <c r="M20" s="384">
        <f>IFERROR((H20-G20)/ABS(G20),"N/A")</f>
        <v/>
      </c>
      <c r="N20" s="158" t="n"/>
      <c r="O20" s="158" t="n"/>
      <c r="P20" s="158" t="n"/>
      <c r="Q20" s="184">
        <f>IFERROR((O20-P20),"N/A")</f>
        <v/>
      </c>
      <c r="R20" s="385">
        <f>IFERROR((O20-P20)/ABS(P20),"N/A")</f>
        <v/>
      </c>
      <c r="S20" s="184">
        <f>IFERROR((O20-N20),"N/A")</f>
        <v/>
      </c>
      <c r="T20" s="385">
        <f>IFERROR((O20-N20)/ABS(N20),"N/A")</f>
        <v/>
      </c>
    </row>
    <row r="21" outlineLevel="1" ht="12.75" customFormat="1" customHeight="1" s="30">
      <c r="A21" s="373">
        <f>$C$18&amp;" "&amp;$C$19&amp;" "&amp;C21 &amp;" "&amp; $C$17</f>
        <v/>
      </c>
      <c r="B21" s="397" t="n"/>
      <c r="C21" s="397" t="inlineStr">
        <is>
          <t>Price</t>
        </is>
      </c>
      <c r="D21" s="397" t="inlineStr">
        <is>
          <t>Qiyməti</t>
        </is>
      </c>
      <c r="E21" s="396">
        <f>$D$9&amp;"</f>
        <v/>
      </c>
      <c r="F21" s="375" t="inlineStr">
        <is>
          <t>+</t>
        </is>
      </c>
      <c r="G21" s="184">
        <f>IF(G20=0,0,IFERROR(G19/G20,"N/A"))</f>
        <v/>
      </c>
      <c r="H21" s="184">
        <f>IF(H20=0,0,IFERROR(H19/H20,"N/A"))</f>
        <v/>
      </c>
      <c r="I21" s="184">
        <f>IF(I20=0,0,IFERROR(I19/I20,"N/A"))</f>
        <v/>
      </c>
      <c r="J21" s="184">
        <f>IFERROR((H21-I21),"N/A")</f>
        <v/>
      </c>
      <c r="K21" s="384">
        <f>IFERROR((H21-I21)/ABS(I21),"N/A")</f>
        <v/>
      </c>
      <c r="L21" s="184">
        <f>IFERROR((H21-G21),"N/A")</f>
        <v/>
      </c>
      <c r="M21" s="384">
        <f>IFERROR((H21-G21)/ABS(G21),"N/A")</f>
        <v/>
      </c>
      <c r="N21" s="184">
        <f>IF(N20=0,0,IFERROR(N19/N20,"N/A"))</f>
        <v/>
      </c>
      <c r="O21" s="184">
        <f>IF(O20=0,0,IFERROR(O19/O20,"N/A"))</f>
        <v/>
      </c>
      <c r="P21" s="184">
        <f>IF(P20=0,0,IFERROR(P19/P20,"N/A"))</f>
        <v/>
      </c>
      <c r="Q21" s="184">
        <f>IFERROR((O21-P21),"N/A")</f>
        <v/>
      </c>
      <c r="R21" s="385">
        <f>IFERROR((O21-P21)/ABS(P21),"N/A")</f>
        <v/>
      </c>
      <c r="S21" s="184">
        <f>IFERROR((O21-N21),"N/A")</f>
        <v/>
      </c>
      <c r="T21" s="385">
        <f>IFERROR((O21-N21)/ABS(N21),"N/A")</f>
        <v/>
      </c>
    </row>
    <row r="22" outlineLevel="1" ht="12.75" customFormat="1" customHeight="1" s="30">
      <c r="A22" s="373">
        <f>$C$18&amp;" "&amp;$C$19&amp;" "&amp;C22 &amp;" "&amp; $C$17</f>
        <v/>
      </c>
      <c r="B22" s="397" t="n"/>
      <c r="C22" s="436" t="inlineStr">
        <is>
          <t>COGs</t>
        </is>
      </c>
      <c r="D22" s="397" t="n"/>
      <c r="E22" s="396">
        <f>$D$9&amp;"</f>
        <v/>
      </c>
      <c r="F22" s="375" t="inlineStr">
        <is>
          <t>+</t>
        </is>
      </c>
      <c r="G22" s="399">
        <f>IF(G20=0,0,IFERROR(G23/G20,"N/A"))</f>
        <v/>
      </c>
      <c r="H22" s="399">
        <f>IF(H20=0,0,IFERROR(H23/H20,"N/A"))</f>
        <v/>
      </c>
      <c r="I22" s="399">
        <f>IF(I20=0,0,IFERROR(I23/I20,"N/A"))</f>
        <v/>
      </c>
      <c r="J22" s="400">
        <f>IFERROR((H22-I22),"N/A")</f>
        <v/>
      </c>
      <c r="K22" s="385">
        <f>IFERROR((H22-I22)/ABS(I22),"N/A")</f>
        <v/>
      </c>
      <c r="L22" s="400">
        <f>IFERROR((H22-G22),"N/A")</f>
        <v/>
      </c>
      <c r="M22" s="385">
        <f>IFERROR((H22-G22)/ABS(G22),"N/A")</f>
        <v/>
      </c>
      <c r="N22" s="399">
        <f>IF(N20=0,0,IFERROR(N23/N20,"N/A"))</f>
        <v/>
      </c>
      <c r="O22" s="399">
        <f>IF(O20=0,0,IFERROR(O23/O20,"N/A"))</f>
        <v/>
      </c>
      <c r="P22" s="399">
        <f>IF(P20=0,0,IFERROR(P23/P20,"N/A"))</f>
        <v/>
      </c>
      <c r="Q22" s="184">
        <f>IFERROR((O22-P22),"N/A")</f>
        <v/>
      </c>
      <c r="R22" s="385">
        <f>IFERROR((O22-P22)/ABS(P22),"N/A")</f>
        <v/>
      </c>
      <c r="S22" s="400">
        <f>IFERROR((O22-N22),"N/A")</f>
        <v/>
      </c>
      <c r="T22" s="385">
        <f>IFERROR((O22-N22)/ABS(N22),"N/A")</f>
        <v/>
      </c>
    </row>
    <row r="23" outlineLevel="1" ht="12.75" customFormat="1" customHeight="1" s="30">
      <c r="A23" s="373" t="n"/>
      <c r="B23" s="397" t="n"/>
      <c r="C23" s="436" t="inlineStr">
        <is>
          <t>Total COGs</t>
        </is>
      </c>
      <c r="D23" s="397" t="n"/>
      <c r="E23" s="396">
        <f>"thsd</f>
        <v/>
      </c>
      <c r="F23" s="375" t="inlineStr">
        <is>
          <t>+</t>
        </is>
      </c>
      <c r="G23" s="158" t="n"/>
      <c r="H23" s="158" t="n"/>
      <c r="I23" s="158" t="n"/>
      <c r="J23" s="400">
        <f>IFERROR((H23-I23),"N/A")</f>
        <v/>
      </c>
      <c r="K23" s="385">
        <f>IFERROR((H23-I23)/ABS(I23),"N/A")</f>
        <v/>
      </c>
      <c r="L23" s="400">
        <f>IFERROR((H23-G23),"N/A")</f>
        <v/>
      </c>
      <c r="M23" s="385">
        <f>IFERROR((H23-G23)/ABS(G23),"N/A")</f>
        <v/>
      </c>
      <c r="N23" s="158" t="n"/>
      <c r="O23" s="158" t="n"/>
      <c r="P23" s="158" t="n"/>
      <c r="Q23" s="184">
        <f>IFERROR((O23-P23),"N/A")</f>
        <v/>
      </c>
      <c r="R23" s="385">
        <f>IFERROR((O23-P23)/ABS(P23),"N/A")</f>
        <v/>
      </c>
      <c r="S23" s="400">
        <f>IFERROR((O23-N23),"N/A")</f>
        <v/>
      </c>
      <c r="T23" s="385">
        <f>IFERROR((O23-N23)/ABS(N23),"N/A")</f>
        <v/>
      </c>
    </row>
    <row r="24" outlineLevel="1" ht="12.75" customFormat="1" customHeight="1" s="30">
      <c r="A24" s="373">
        <f>$C$18&amp;" "&amp;C24&amp;" Revenue " &amp;$C$17</f>
        <v/>
      </c>
      <c r="B24" s="397" t="n"/>
      <c r="C24" s="395" t="inlineStr">
        <is>
          <t>Gas condensate</t>
        </is>
      </c>
      <c r="D24" s="395" t="inlineStr">
        <is>
          <t>Qaz kondensatı</t>
        </is>
      </c>
      <c r="E24" s="396">
        <f>"thsd</f>
        <v/>
      </c>
      <c r="F24" s="375" t="inlineStr">
        <is>
          <t>+</t>
        </is>
      </c>
      <c r="G24" s="158" t="n"/>
      <c r="H24" s="158" t="n"/>
      <c r="I24" s="158" t="n"/>
      <c r="J24" s="184">
        <f>IFERROR((H24-I24),"N/A")</f>
        <v/>
      </c>
      <c r="K24" s="384">
        <f>IFERROR((H24-I24)/ABS(I24),"N/A")</f>
        <v/>
      </c>
      <c r="L24" s="184">
        <f>IFERROR((H24-G24),"N/A")</f>
        <v/>
      </c>
      <c r="M24" s="384">
        <f>IFERROR((H24-G24)/ABS(G24),"N/A")</f>
        <v/>
      </c>
      <c r="N24" s="158" t="n"/>
      <c r="O24" s="158" t="n"/>
      <c r="P24" s="158" t="n"/>
      <c r="Q24" s="184">
        <f>IFERROR((O24-P24),"N/A")</f>
        <v/>
      </c>
      <c r="R24" s="385">
        <f>IFERROR((O24-P24)/ABS(P24),"N/A")</f>
        <v/>
      </c>
      <c r="S24" s="184">
        <f>IFERROR((O24-N24),"N/A")</f>
        <v/>
      </c>
      <c r="T24" s="385">
        <f>IFERROR((O24-N24)/ABS(N24),"N/A")</f>
        <v/>
      </c>
    </row>
    <row r="25" outlineLevel="1" ht="12.75" customFormat="1" customHeight="1" s="30">
      <c r="A25" s="373">
        <f>$C$18&amp;" "&amp;$C$24&amp;" "&amp;C25 &amp;" "&amp; $C$17</f>
        <v/>
      </c>
      <c r="B25" s="397" t="n"/>
      <c r="C25" s="397" t="inlineStr">
        <is>
          <t>Sales volume</t>
        </is>
      </c>
      <c r="D25" s="397" t="n"/>
      <c r="E25" s="396" t="inlineStr">
        <is>
          <t>thsd</t>
        </is>
      </c>
      <c r="F25" s="375" t="inlineStr">
        <is>
          <t>+</t>
        </is>
      </c>
      <c r="G25" s="158" t="n"/>
      <c r="H25" s="158" t="n"/>
      <c r="I25" s="158" t="n"/>
      <c r="J25" s="184">
        <f>IFERROR((H25-I25),"N/A")</f>
        <v/>
      </c>
      <c r="K25" s="384">
        <f>IFERROR((H25-I25)/ABS(I25),"N/A")</f>
        <v/>
      </c>
      <c r="L25" s="184">
        <f>IFERROR((H25-G25),"N/A")</f>
        <v/>
      </c>
      <c r="M25" s="384">
        <f>IFERROR((H25-G25)/ABS(G25),"N/A")</f>
        <v/>
      </c>
      <c r="N25" s="158" t="n"/>
      <c r="O25" s="158" t="n"/>
      <c r="P25" s="158" t="n"/>
      <c r="Q25" s="184">
        <f>IFERROR((O25-P25),"N/A")</f>
        <v/>
      </c>
      <c r="R25" s="385">
        <f>IFERROR((O25-P25)/ABS(P25),"N/A")</f>
        <v/>
      </c>
      <c r="S25" s="184">
        <f>IFERROR((O25-N25),"N/A")</f>
        <v/>
      </c>
      <c r="T25" s="385">
        <f>IFERROR((O25-N25)/ABS(N25),"N/A")</f>
        <v/>
      </c>
    </row>
    <row r="26" outlineLevel="1" ht="12.75" customFormat="1" customHeight="1" s="30">
      <c r="A26" s="373">
        <f>$C$18&amp;" "&amp;$C$24&amp;" "&amp;C26 &amp;" "&amp; $C$17</f>
        <v/>
      </c>
      <c r="B26" s="397" t="n"/>
      <c r="C26" s="397" t="inlineStr">
        <is>
          <t>Price</t>
        </is>
      </c>
      <c r="D26" s="397" t="inlineStr">
        <is>
          <t>Qiyməti</t>
        </is>
      </c>
      <c r="E26" s="396">
        <f>$D$9&amp;"</f>
        <v/>
      </c>
      <c r="F26" s="375" t="inlineStr">
        <is>
          <t>+</t>
        </is>
      </c>
      <c r="G26" s="184">
        <f>IF(G25=0,0,IFERROR(G24/G25,"N/A"))</f>
        <v/>
      </c>
      <c r="H26" s="184">
        <f>IF(H25=0,0,IFERROR(H24/H25,"N/A"))</f>
        <v/>
      </c>
      <c r="I26" s="184">
        <f>IF(I25=0,0,IFERROR(I24/I25,"N/A"))</f>
        <v/>
      </c>
      <c r="J26" s="184">
        <f>IFERROR((H26-I26),"N/A")</f>
        <v/>
      </c>
      <c r="K26" s="384">
        <f>IFERROR((H26-I26)/ABS(I26),"N/A")</f>
        <v/>
      </c>
      <c r="L26" s="184">
        <f>IFERROR((H26-G26),"N/A")</f>
        <v/>
      </c>
      <c r="M26" s="384">
        <f>IFERROR((H26-G26)/ABS(G26),"N/A")</f>
        <v/>
      </c>
      <c r="N26" s="184">
        <f>IF(N25=0,0,IFERROR(N24/N25,"N/A"))</f>
        <v/>
      </c>
      <c r="O26" s="184">
        <f>IF(O25=0,0,IFERROR(O24/O25,"N/A"))</f>
        <v/>
      </c>
      <c r="P26" s="184">
        <f>IF(P25=0,0,IFERROR(P24/P25,"N/A"))</f>
        <v/>
      </c>
      <c r="Q26" s="184">
        <f>IFERROR((O26-P26),"N/A")</f>
        <v/>
      </c>
      <c r="R26" s="385">
        <f>IFERROR((O26-P26)/ABS(P26),"N/A")</f>
        <v/>
      </c>
      <c r="S26" s="184">
        <f>IFERROR((O26-N26),"N/A")</f>
        <v/>
      </c>
      <c r="T26" s="385">
        <f>IFERROR((O26-N26)/ABS(N26),"N/A")</f>
        <v/>
      </c>
    </row>
    <row r="27" outlineLevel="1" ht="12.75" customFormat="1" customHeight="1" s="30">
      <c r="A27" s="373">
        <f>$C$18&amp;" "&amp;$C$24&amp;" "&amp;C27 &amp;" "&amp; $C$17</f>
        <v/>
      </c>
      <c r="B27" s="397" t="n"/>
      <c r="C27" s="436" t="inlineStr">
        <is>
          <t>COGs</t>
        </is>
      </c>
      <c r="D27" s="397" t="n"/>
      <c r="E27" s="396">
        <f>$D$9&amp;"</f>
        <v/>
      </c>
      <c r="F27" s="375" t="inlineStr">
        <is>
          <t>+</t>
        </is>
      </c>
      <c r="G27" s="399">
        <f>IF(G25=0,0,IFERROR(G28/G25,"N/A"))</f>
        <v/>
      </c>
      <c r="H27" s="399">
        <f>IF(H25=0,0,IFERROR(H28/H25,"N/A"))</f>
        <v/>
      </c>
      <c r="I27" s="399">
        <f>IF(I25=0,0,IFERROR(I28/I25,"N/A"))</f>
        <v/>
      </c>
      <c r="J27" s="400">
        <f>IFERROR((H27-I27),"N/A")</f>
        <v/>
      </c>
      <c r="K27" s="385">
        <f>IFERROR((H27-I27)/ABS(I27),"N/A")</f>
        <v/>
      </c>
      <c r="L27" s="400">
        <f>IFERROR((H27-G27),"N/A")</f>
        <v/>
      </c>
      <c r="M27" s="385">
        <f>IFERROR((H27-G27)/ABS(G27),"N/A")</f>
        <v/>
      </c>
      <c r="N27" s="399">
        <f>IF(N25=0,0,IFERROR(N28/N25,"N/A"))</f>
        <v/>
      </c>
      <c r="O27" s="399">
        <f>IF(O25=0,0,IFERROR(O28/O25,"N/A"))</f>
        <v/>
      </c>
      <c r="P27" s="399">
        <f>IF(P25=0,0,IFERROR(P28/P25,"N/A"))</f>
        <v/>
      </c>
      <c r="Q27" s="184">
        <f>IFERROR((O27-P27),"N/A")</f>
        <v/>
      </c>
      <c r="R27" s="385">
        <f>IFERROR((O27-P27)/ABS(P27),"N/A")</f>
        <v/>
      </c>
      <c r="S27" s="400">
        <f>IFERROR((O27-N27),"N/A")</f>
        <v/>
      </c>
      <c r="T27" s="385">
        <f>IFERROR((O27-N27)/ABS(N27),"N/A")</f>
        <v/>
      </c>
    </row>
    <row r="28" outlineLevel="1" ht="12.75" customFormat="1" customHeight="1" s="30">
      <c r="A28" s="373" t="n"/>
      <c r="B28" s="397" t="n"/>
      <c r="C28" s="436" t="inlineStr">
        <is>
          <t>Total COGs</t>
        </is>
      </c>
      <c r="D28" s="397" t="n"/>
      <c r="E28" s="396">
        <f>"thsd</f>
        <v/>
      </c>
      <c r="F28" s="375" t="inlineStr">
        <is>
          <t>+</t>
        </is>
      </c>
      <c r="G28" s="158" t="n"/>
      <c r="H28" s="158" t="n"/>
      <c r="I28" s="158" t="n"/>
      <c r="J28" s="400">
        <f>IFERROR((H28-I28),"N/A")</f>
        <v/>
      </c>
      <c r="K28" s="385">
        <f>IFERROR((H28-I28)/ABS(I28),"N/A")</f>
        <v/>
      </c>
      <c r="L28" s="400">
        <f>IFERROR((H28-G28),"N/A")</f>
        <v/>
      </c>
      <c r="M28" s="385">
        <f>IFERROR((H28-G28)/ABS(G28),"N/A")</f>
        <v/>
      </c>
      <c r="N28" s="158" t="n"/>
      <c r="O28" s="158" t="n"/>
      <c r="P28" s="158" t="n"/>
      <c r="Q28" s="184">
        <f>IFERROR((O28-P28),"N/A")</f>
        <v/>
      </c>
      <c r="R28" s="385">
        <f>IFERROR((O28-P28)/ABS(P28),"N/A")</f>
        <v/>
      </c>
      <c r="S28" s="400">
        <f>IFERROR((O28-N28),"N/A")</f>
        <v/>
      </c>
      <c r="T28" s="385">
        <f>IFERROR((O28-N28)/ABS(N28),"N/A")</f>
        <v/>
      </c>
    </row>
    <row r="29" outlineLevel="1" ht="26.85" customFormat="1" customHeight="1" s="30">
      <c r="A29" s="373" t="n"/>
      <c r="B29" s="401" t="n"/>
      <c r="C29" s="401" t="inlineStr">
        <is>
          <t>Overseas revenue (for Entity location)</t>
        </is>
      </c>
      <c r="D29" s="401" t="n"/>
      <c r="E29" s="402">
        <f>"thsd</f>
        <v/>
      </c>
      <c r="F29" s="375" t="inlineStr">
        <is>
          <t>+</t>
        </is>
      </c>
      <c r="G29" s="403">
        <f>SUM(G30,G35)</f>
        <v/>
      </c>
      <c r="H29" s="403">
        <f>SUM(H30,H35)</f>
        <v/>
      </c>
      <c r="I29" s="403">
        <f>SUM(I30,I35)</f>
        <v/>
      </c>
      <c r="J29" s="403">
        <f>IFERROR((H29-I29),"N/A")</f>
        <v/>
      </c>
      <c r="K29" s="404">
        <f>IFERROR((H29-I29)/ABS(I29),"N/A")</f>
        <v/>
      </c>
      <c r="L29" s="403">
        <f>IFERROR((H29-G29),"N/A")</f>
        <v/>
      </c>
      <c r="M29" s="404">
        <f>IFERROR((H29-G29)/ABS(G29),"N/A")</f>
        <v/>
      </c>
      <c r="N29" s="403">
        <f>SUM(N30,N35)</f>
        <v/>
      </c>
      <c r="O29" s="403">
        <f>SUM(O30,O35)</f>
        <v/>
      </c>
      <c r="P29" s="403">
        <f>SUM(P30,P35)</f>
        <v/>
      </c>
      <c r="Q29" s="403">
        <f>IFERROR((O29-P29),"N/A")</f>
        <v/>
      </c>
      <c r="R29" s="405">
        <f>IFERROR((O29-P29)/ABS(P29),"N/A")</f>
        <v/>
      </c>
      <c r="S29" s="403">
        <f>IFERROR((O29-N29),"N/A")</f>
        <v/>
      </c>
      <c r="T29" s="405">
        <f>IFERROR((O29-N29)/ABS(N29),"N/A")</f>
        <v/>
      </c>
    </row>
    <row r="30" outlineLevel="1" ht="12.75" customFormat="1" customHeight="1" s="30">
      <c r="A30" s="373">
        <f>$C$29&amp;" "&amp;C30&amp;" Revenue " &amp;C17</f>
        <v/>
      </c>
      <c r="B30" s="395" t="n"/>
      <c r="C30" s="395">
        <f>C19</f>
        <v/>
      </c>
      <c r="D30" s="395">
        <f>D19</f>
        <v/>
      </c>
      <c r="E30" s="396">
        <f>"thsd</f>
        <v/>
      </c>
      <c r="F30" s="375" t="inlineStr">
        <is>
          <t>+</t>
        </is>
      </c>
      <c r="G30" s="158" t="n"/>
      <c r="H30" s="158" t="n"/>
      <c r="I30" s="158" t="n"/>
      <c r="J30" s="184">
        <f>IFERROR((H30-I30),"N/A")</f>
        <v/>
      </c>
      <c r="K30" s="384">
        <f>IFERROR((H30-I30)/ABS(I30),"N/A")</f>
        <v/>
      </c>
      <c r="L30" s="184">
        <f>IFERROR((H30-G30),"N/A")</f>
        <v/>
      </c>
      <c r="M30" s="384">
        <f>IFERROR((H30-G30)/ABS(G30),"N/A")</f>
        <v/>
      </c>
      <c r="N30" s="158" t="n"/>
      <c r="O30" s="158" t="n"/>
      <c r="P30" s="158" t="n"/>
      <c r="Q30" s="184">
        <f>IFERROR((O30-P30),"N/A")</f>
        <v/>
      </c>
      <c r="R30" s="385">
        <f>IFERROR((O30-P30)/ABS(P30),"N/A")</f>
        <v/>
      </c>
      <c r="S30" s="184">
        <f>IFERROR((O30-N30),"N/A")</f>
        <v/>
      </c>
      <c r="T30" s="385">
        <f>IFERROR((O30-N30)/ABS(N30),"N/A")</f>
        <v/>
      </c>
    </row>
    <row r="31" outlineLevel="1" ht="12.75" customFormat="1" customHeight="1" s="30">
      <c r="A31" s="373">
        <f>$C$29&amp;" "&amp;C30&amp;" "&amp;C31&amp;" "&amp; $C$17</f>
        <v/>
      </c>
      <c r="B31" s="397" t="n"/>
      <c r="C31" s="397" t="inlineStr">
        <is>
          <t>Sales volume</t>
        </is>
      </c>
      <c r="D31" s="397" t="n"/>
      <c r="E31" s="396" t="inlineStr">
        <is>
          <t>thsd</t>
        </is>
      </c>
      <c r="F31" s="375" t="inlineStr">
        <is>
          <t>+</t>
        </is>
      </c>
      <c r="G31" s="158" t="n"/>
      <c r="H31" s="158" t="n"/>
      <c r="I31" s="158" t="n"/>
      <c r="J31" s="184">
        <f>IFERROR((H31-I31),"N/A")</f>
        <v/>
      </c>
      <c r="K31" s="384">
        <f>IFERROR((H31-I31)/ABS(I31),"N/A")</f>
        <v/>
      </c>
      <c r="L31" s="184">
        <f>IFERROR((H31-G31),"N/A")</f>
        <v/>
      </c>
      <c r="M31" s="384">
        <f>IFERROR((H31-G31)/ABS(G31),"N/A")</f>
        <v/>
      </c>
      <c r="N31" s="158" t="n"/>
      <c r="O31" s="158" t="n"/>
      <c r="P31" s="158" t="n"/>
      <c r="Q31" s="184">
        <f>IFERROR((O31-P31),"N/A")</f>
        <v/>
      </c>
      <c r="R31" s="385">
        <f>IFERROR((O31-P31)/ABS(P31),"N/A")</f>
        <v/>
      </c>
      <c r="S31" s="184">
        <f>IFERROR((O31-N31),"N/A")</f>
        <v/>
      </c>
      <c r="T31" s="385">
        <f>IFERROR((O31-N31)/ABS(N31),"N/A")</f>
        <v/>
      </c>
    </row>
    <row r="32" outlineLevel="1" ht="12.75" customFormat="1" customHeight="1" s="30">
      <c r="A32" s="373">
        <f>$C$29&amp;" "&amp;C30&amp;" "&amp;C32&amp;" "&amp; $C$17</f>
        <v/>
      </c>
      <c r="B32" s="397" t="n"/>
      <c r="C32" s="397" t="inlineStr">
        <is>
          <t>Price</t>
        </is>
      </c>
      <c r="D32" s="397" t="inlineStr">
        <is>
          <t>Qiyməti</t>
        </is>
      </c>
      <c r="E32" s="396">
        <f>$D$9&amp;"</f>
        <v/>
      </c>
      <c r="F32" s="375" t="inlineStr">
        <is>
          <t>+</t>
        </is>
      </c>
      <c r="G32" s="184">
        <f>IF(G31=0,0,IFERROR(G30/G31,"N/A"))</f>
        <v/>
      </c>
      <c r="H32" s="184">
        <f>IF(H31=0,0,IFERROR(H30/H31,"N/A"))</f>
        <v/>
      </c>
      <c r="I32" s="184">
        <f>IF(I31=0,0,IFERROR(I30/I31,"N/A"))</f>
        <v/>
      </c>
      <c r="J32" s="184">
        <f>IFERROR((H32-I32),"N/A")</f>
        <v/>
      </c>
      <c r="K32" s="384">
        <f>IFERROR((H32-I32)/ABS(I32),"N/A")</f>
        <v/>
      </c>
      <c r="L32" s="184">
        <f>IFERROR((H32-G32),"N/A")</f>
        <v/>
      </c>
      <c r="M32" s="384">
        <f>IFERROR((H32-G32)/ABS(G32),"N/A")</f>
        <v/>
      </c>
      <c r="N32" s="184">
        <f>IF(N31=0,0,IFERROR(N30/N31,"N/A"))</f>
        <v/>
      </c>
      <c r="O32" s="184">
        <f>IF(O31=0,0,IFERROR(O30/O31,"N/A"))</f>
        <v/>
      </c>
      <c r="P32" s="184">
        <f>IF(P31=0,0,IFERROR(P30/P31,"N/A"))</f>
        <v/>
      </c>
      <c r="Q32" s="184">
        <f>IFERROR((O32-P32),"N/A")</f>
        <v/>
      </c>
      <c r="R32" s="385">
        <f>IFERROR((O32-P32)/ABS(P32),"N/A")</f>
        <v/>
      </c>
      <c r="S32" s="184">
        <f>IFERROR((O32-N32),"N/A")</f>
        <v/>
      </c>
      <c r="T32" s="385">
        <f>IFERROR((O32-N32)/ABS(N32),"N/A")</f>
        <v/>
      </c>
    </row>
    <row r="33" outlineLevel="1" ht="12.75" customFormat="1" customHeight="1" s="30">
      <c r="A33" s="373">
        <f>$C$29&amp;" "&amp;C30&amp;" "&amp;C33&amp;" "&amp; $C$17</f>
        <v/>
      </c>
      <c r="B33" s="397" t="n"/>
      <c r="C33" s="436" t="inlineStr">
        <is>
          <t>COGs</t>
        </is>
      </c>
      <c r="D33" s="397" t="n"/>
      <c r="E33" s="396">
        <f>$D$9&amp;"</f>
        <v/>
      </c>
      <c r="F33" s="375" t="inlineStr">
        <is>
          <t>+</t>
        </is>
      </c>
      <c r="G33" s="399">
        <f>IF(G31=0,0,IFERROR(G34/G31,"N/A"))</f>
        <v/>
      </c>
      <c r="H33" s="399">
        <f>IF(H31=0,0,IFERROR(H34/H31,"N/A"))</f>
        <v/>
      </c>
      <c r="I33" s="399">
        <f>IF(I31=0,0,IFERROR(I34/I31,"N/A"))</f>
        <v/>
      </c>
      <c r="J33" s="400">
        <f>IFERROR((H33-I33),"N/A")</f>
        <v/>
      </c>
      <c r="K33" s="385">
        <f>IFERROR((H33-I33)/ABS(I33),"N/A")</f>
        <v/>
      </c>
      <c r="L33" s="400">
        <f>IFERROR((H33-G33),"N/A")</f>
        <v/>
      </c>
      <c r="M33" s="385">
        <f>IFERROR((H33-G33)/ABS(G33),"N/A")</f>
        <v/>
      </c>
      <c r="N33" s="399">
        <f>IF(N31=0,0,IFERROR(N34/N31,"N/A"))</f>
        <v/>
      </c>
      <c r="O33" s="399">
        <f>IF(O31=0,0,IFERROR(O34/O31,"N/A"))</f>
        <v/>
      </c>
      <c r="P33" s="399">
        <f>IF(P31=0,0,IFERROR(P34/P31,"N/A"))</f>
        <v/>
      </c>
      <c r="Q33" s="184">
        <f>IFERROR((O33-P33),"N/A")</f>
        <v/>
      </c>
      <c r="R33" s="385">
        <f>IFERROR((O33-P33)/ABS(P33),"N/A")</f>
        <v/>
      </c>
      <c r="S33" s="400">
        <f>IFERROR((O33-N33),"N/A")</f>
        <v/>
      </c>
      <c r="T33" s="385">
        <f>IFERROR((O33-N33)/ABS(N33),"N/A")</f>
        <v/>
      </c>
    </row>
    <row r="34" outlineLevel="1" ht="12.75" customFormat="1" customHeight="1" s="30">
      <c r="A34" s="373" t="n"/>
      <c r="B34" s="397" t="n"/>
      <c r="C34" s="436" t="inlineStr">
        <is>
          <t>Total COGs</t>
        </is>
      </c>
      <c r="D34" s="397" t="n"/>
      <c r="E34" s="396">
        <f>"thsd</f>
        <v/>
      </c>
      <c r="F34" s="375" t="inlineStr">
        <is>
          <t>+</t>
        </is>
      </c>
      <c r="G34" s="158" t="n"/>
      <c r="H34" s="158" t="n"/>
      <c r="I34" s="158" t="n"/>
      <c r="J34" s="400">
        <f>IFERROR((H34-I34),"N/A")</f>
        <v/>
      </c>
      <c r="K34" s="385">
        <f>IFERROR((H34-I34)/ABS(I34),"N/A")</f>
        <v/>
      </c>
      <c r="L34" s="400">
        <f>IFERROR((H34-G34),"N/A")</f>
        <v/>
      </c>
      <c r="M34" s="385">
        <f>IFERROR((H34-G34)/ABS(G34),"N/A")</f>
        <v/>
      </c>
      <c r="N34" s="158" t="n"/>
      <c r="O34" s="158" t="n"/>
      <c r="P34" s="158" t="n"/>
      <c r="Q34" s="184">
        <f>IFERROR((O34-P34),"N/A")</f>
        <v/>
      </c>
      <c r="R34" s="385">
        <f>IFERROR((O34-P34)/ABS(P34),"N/A")</f>
        <v/>
      </c>
      <c r="S34" s="400">
        <f>IFERROR((O34-N34),"N/A")</f>
        <v/>
      </c>
      <c r="T34" s="385">
        <f>IFERROR((O34-N34)/ABS(N34),"N/A")</f>
        <v/>
      </c>
    </row>
    <row r="35" outlineLevel="1" ht="12.75" customFormat="1" customHeight="1" s="30">
      <c r="A35" s="373">
        <f>$C$29&amp;" "&amp;C35&amp;" Revenue " &amp;C17</f>
        <v/>
      </c>
      <c r="B35" s="397" t="n"/>
      <c r="C35" s="395" t="inlineStr">
        <is>
          <t>Gas condensate</t>
        </is>
      </c>
      <c r="D35" s="395" t="inlineStr">
        <is>
          <t>Qaz kondensatı</t>
        </is>
      </c>
      <c r="E35" s="396">
        <f>"thsd</f>
        <v/>
      </c>
      <c r="F35" s="375" t="inlineStr">
        <is>
          <t>+</t>
        </is>
      </c>
      <c r="G35" s="158" t="n"/>
      <c r="H35" s="158" t="n"/>
      <c r="I35" s="158" t="n"/>
      <c r="J35" s="184">
        <f>IFERROR((H35-I35),"N/A")</f>
        <v/>
      </c>
      <c r="K35" s="384">
        <f>IFERROR((H35-I35)/ABS(I35),"N/A")</f>
        <v/>
      </c>
      <c r="L35" s="184">
        <f>IFERROR((H35-G35),"N/A")</f>
        <v/>
      </c>
      <c r="M35" s="384">
        <f>IFERROR((H35-G35)/ABS(G35),"N/A")</f>
        <v/>
      </c>
      <c r="N35" s="158" t="n"/>
      <c r="O35" s="158" t="n"/>
      <c r="P35" s="158" t="n"/>
      <c r="Q35" s="184">
        <f>IFERROR((O35-P35),"N/A")</f>
        <v/>
      </c>
      <c r="R35" s="385">
        <f>IFERROR((O35-P35)/ABS(P35),"N/A")</f>
        <v/>
      </c>
      <c r="S35" s="184">
        <f>IFERROR((O35-N35),"N/A")</f>
        <v/>
      </c>
      <c r="T35" s="385">
        <f>IFERROR((O35-N35)/ABS(N35),"N/A")</f>
        <v/>
      </c>
    </row>
    <row r="36" outlineLevel="1" ht="12.75" customFormat="1" customHeight="1" s="30">
      <c r="A36" s="373">
        <f>$C$29&amp;" "&amp;C35&amp;" "&amp;C36&amp;" "&amp; $C$17</f>
        <v/>
      </c>
      <c r="B36" s="397" t="n"/>
      <c r="C36" s="397" t="inlineStr">
        <is>
          <t>Sales volume</t>
        </is>
      </c>
      <c r="D36" s="397" t="n"/>
      <c r="E36" s="396" t="inlineStr">
        <is>
          <t>thsd</t>
        </is>
      </c>
      <c r="F36" s="375" t="inlineStr">
        <is>
          <t>+</t>
        </is>
      </c>
      <c r="G36" s="158" t="n"/>
      <c r="H36" s="158" t="n"/>
      <c r="I36" s="158" t="n"/>
      <c r="J36" s="184">
        <f>IFERROR((H36-I36),"N/A")</f>
        <v/>
      </c>
      <c r="K36" s="384">
        <f>IFERROR((H36-I36)/ABS(I36),"N/A")</f>
        <v/>
      </c>
      <c r="L36" s="184">
        <f>IFERROR((H36-G36),"N/A")</f>
        <v/>
      </c>
      <c r="M36" s="384">
        <f>IFERROR((H36-G36)/ABS(G36),"N/A")</f>
        <v/>
      </c>
      <c r="N36" s="158" t="n"/>
      <c r="O36" s="158" t="n"/>
      <c r="P36" s="158" t="n"/>
      <c r="Q36" s="184">
        <f>IFERROR((O36-P36),"N/A")</f>
        <v/>
      </c>
      <c r="R36" s="385">
        <f>IFERROR((O36-P36)/ABS(P36),"N/A")</f>
        <v/>
      </c>
      <c r="S36" s="184">
        <f>IFERROR((O36-N36),"N/A")</f>
        <v/>
      </c>
      <c r="T36" s="385">
        <f>IFERROR((O36-N36)/ABS(N36),"N/A")</f>
        <v/>
      </c>
    </row>
    <row r="37" outlineLevel="1" ht="12.75" customFormat="1" customHeight="1" s="30">
      <c r="A37" s="373">
        <f>$C$29&amp;" "&amp;C35&amp;" "&amp;C37&amp;" "&amp; $C$17</f>
        <v/>
      </c>
      <c r="B37" s="397" t="n"/>
      <c r="C37" s="397" t="inlineStr">
        <is>
          <t>Price</t>
        </is>
      </c>
      <c r="D37" s="397" t="inlineStr">
        <is>
          <t>Qiyməti</t>
        </is>
      </c>
      <c r="E37" s="396">
        <f>$D$9&amp;"</f>
        <v/>
      </c>
      <c r="F37" s="375" t="inlineStr">
        <is>
          <t>+</t>
        </is>
      </c>
      <c r="G37" s="184">
        <f>IF(G36=0,0,IFERROR(G35/G36,"N/A"))</f>
        <v/>
      </c>
      <c r="H37" s="184">
        <f>IF(H36=0,0,IFERROR(H35/H36,"N/A"))</f>
        <v/>
      </c>
      <c r="I37" s="184">
        <f>IF(I36=0,0,IFERROR(I35/I36,"N/A"))</f>
        <v/>
      </c>
      <c r="J37" s="184">
        <f>IFERROR((H37-I37),"N/A")</f>
        <v/>
      </c>
      <c r="K37" s="384">
        <f>IFERROR((H37-I37)/ABS(I37),"N/A")</f>
        <v/>
      </c>
      <c r="L37" s="184">
        <f>IFERROR((H37-G37),"N/A")</f>
        <v/>
      </c>
      <c r="M37" s="384">
        <f>IFERROR((H37-G37)/ABS(G37),"N/A")</f>
        <v/>
      </c>
      <c r="N37" s="184">
        <f>IF(N36=0,0,IFERROR(N35/N36,"N/A"))</f>
        <v/>
      </c>
      <c r="O37" s="184">
        <f>IF(O36=0,0,IFERROR(O35/O36,"N/A"))</f>
        <v/>
      </c>
      <c r="P37" s="184">
        <f>IF(P36=0,0,IFERROR(P35/P36,"N/A"))</f>
        <v/>
      </c>
      <c r="Q37" s="184">
        <f>IFERROR((O37-P37),"N/A")</f>
        <v/>
      </c>
      <c r="R37" s="385">
        <f>IFERROR((O37-P37)/ABS(P37),"N/A")</f>
        <v/>
      </c>
      <c r="S37" s="184">
        <f>IFERROR((O37-N37),"N/A")</f>
        <v/>
      </c>
      <c r="T37" s="385">
        <f>IFERROR((O37-N37)/ABS(N37),"N/A")</f>
        <v/>
      </c>
    </row>
    <row r="38" outlineLevel="1" ht="12.75" customFormat="1" customHeight="1" s="30">
      <c r="A38" s="373">
        <f>$C$29&amp;" "&amp;C35&amp;" "&amp;C38&amp;" "&amp; $C$17</f>
        <v/>
      </c>
      <c r="B38" s="397" t="n"/>
      <c r="C38" s="436" t="inlineStr">
        <is>
          <t>COGs</t>
        </is>
      </c>
      <c r="D38" s="397" t="n"/>
      <c r="E38" s="396">
        <f>$D$9&amp;"</f>
        <v/>
      </c>
      <c r="F38" s="375" t="inlineStr">
        <is>
          <t>+</t>
        </is>
      </c>
      <c r="G38" s="399">
        <f>IF(G36=0,0,IFERROR(G39/G36,"N/A"))</f>
        <v/>
      </c>
      <c r="H38" s="399">
        <f>IF(H36=0,0,IFERROR(H39/H36,"N/A"))</f>
        <v/>
      </c>
      <c r="I38" s="399">
        <f>IF(I36=0,0,IFERROR(I39/I36,"N/A"))</f>
        <v/>
      </c>
      <c r="J38" s="400">
        <f>IFERROR((H38-I38),"N/A")</f>
        <v/>
      </c>
      <c r="K38" s="385">
        <f>IFERROR((H38-I38)/ABS(I38),"N/A")</f>
        <v/>
      </c>
      <c r="L38" s="400">
        <f>IFERROR((H38-G38),"N/A")</f>
        <v/>
      </c>
      <c r="M38" s="385">
        <f>IFERROR((H38-G38)/ABS(G38),"N/A")</f>
        <v/>
      </c>
      <c r="N38" s="399">
        <f>IF(N36=0,0,IFERROR(N39/N36,"N/A"))</f>
        <v/>
      </c>
      <c r="O38" s="399">
        <f>IF(O36=0,0,IFERROR(O39/O36,"N/A"))</f>
        <v/>
      </c>
      <c r="P38" s="399">
        <f>IF(P36=0,0,IFERROR(P39/P36,"N/A"))</f>
        <v/>
      </c>
      <c r="Q38" s="184">
        <f>IFERROR((O38-P38),"N/A")</f>
        <v/>
      </c>
      <c r="R38" s="385">
        <f>IFERROR((O38-P38)/ABS(P38),"N/A")</f>
        <v/>
      </c>
      <c r="S38" s="400">
        <f>IFERROR((O38-N38),"N/A")</f>
        <v/>
      </c>
      <c r="T38" s="385">
        <f>IFERROR((O38-N38)/ABS(N38),"N/A")</f>
        <v/>
      </c>
    </row>
    <row r="39" outlineLevel="1" ht="12.75" customFormat="1" customHeight="1" s="30">
      <c r="A39" s="373" t="n"/>
      <c r="B39" s="397" t="n"/>
      <c r="C39" s="436" t="inlineStr">
        <is>
          <t>Total COGs</t>
        </is>
      </c>
      <c r="D39" s="397" t="n"/>
      <c r="E39" s="396">
        <f>"thsd</f>
        <v/>
      </c>
      <c r="F39" s="375" t="inlineStr">
        <is>
          <t>+</t>
        </is>
      </c>
      <c r="G39" s="158" t="n"/>
      <c r="H39" s="158" t="n"/>
      <c r="I39" s="158" t="n"/>
      <c r="J39" s="400">
        <f>IFERROR((H39-I39),"N/A")</f>
        <v/>
      </c>
      <c r="K39" s="385">
        <f>IFERROR((H39-I39)/ABS(I39),"N/A")</f>
        <v/>
      </c>
      <c r="L39" s="400">
        <f>IFERROR((H39-G39),"N/A")</f>
        <v/>
      </c>
      <c r="M39" s="385">
        <f>IFERROR((H39-G39)/ABS(G39),"N/A")</f>
        <v/>
      </c>
      <c r="N39" s="158" t="n"/>
      <c r="O39" s="158" t="n"/>
      <c r="P39" s="158" t="n"/>
      <c r="Q39" s="184">
        <f>IFERROR((O39-P39),"N/A")</f>
        <v/>
      </c>
      <c r="R39" s="385">
        <f>IFERROR((O39-P39)/ABS(P39),"N/A")</f>
        <v/>
      </c>
      <c r="S39" s="400">
        <f>IFERROR((O39-N39),"N/A")</f>
        <v/>
      </c>
      <c r="T39" s="385">
        <f>IFERROR((O39-N39)/ABS(N39),"N/A")</f>
        <v/>
      </c>
    </row>
    <row r="40" ht="15" customFormat="1" customHeight="1" s="30">
      <c r="A40" s="373" t="n"/>
      <c r="B40" s="386" t="n"/>
      <c r="C40" s="387" t="inlineStr">
        <is>
          <t>Oil products, net</t>
        </is>
      </c>
      <c r="D40" s="387" t="n"/>
      <c r="E40" s="375">
        <f>"thsd</f>
        <v/>
      </c>
      <c r="F40" s="375" t="inlineStr">
        <is>
          <t>+</t>
        </is>
      </c>
      <c r="G40" s="376">
        <f>SUM(G41,G92)</f>
        <v/>
      </c>
      <c r="H40" s="376">
        <f>SUM(H41,H92)</f>
        <v/>
      </c>
      <c r="I40" s="376">
        <f>SUM(I41,I92)</f>
        <v/>
      </c>
      <c r="J40" s="376">
        <f>IFERROR((H40-I40),"N/A")</f>
        <v/>
      </c>
      <c r="K40" s="388">
        <f>IFERROR((H40-I40)/ABS(I40),"N/A")</f>
        <v/>
      </c>
      <c r="L40" s="376">
        <f>IFERROR((H40-G40),"N/A")</f>
        <v/>
      </c>
      <c r="M40" s="388">
        <f>IFERROR((H40-G40)/ABS(G40),"N/A")</f>
        <v/>
      </c>
      <c r="N40" s="376">
        <f>SUM(N41,N92)</f>
        <v/>
      </c>
      <c r="O40" s="376">
        <f>SUM(O41,O92)</f>
        <v/>
      </c>
      <c r="P40" s="376">
        <f>SUM(P41,P92)</f>
        <v/>
      </c>
      <c r="Q40" s="376">
        <f>IFERROR((O40-P40),"N/A")</f>
        <v/>
      </c>
      <c r="R40" s="389">
        <f>IFERROR((O40-P40)/ABS(P40),"N/A")</f>
        <v/>
      </c>
      <c r="S40" s="376">
        <f>IFERROR((O40-N40),"N/A")</f>
        <v/>
      </c>
      <c r="T40" s="389">
        <f>IFERROR((O40-N40)/ABS(N40),"N/A")</f>
        <v/>
      </c>
    </row>
    <row r="41" outlineLevel="1" ht="25.5" customFormat="1" customHeight="1" s="30">
      <c r="A41" s="373" t="n"/>
      <c r="B41" s="390" t="n"/>
      <c r="C41" s="390" t="inlineStr">
        <is>
          <t>Local revenue (for Entity location)</t>
        </is>
      </c>
      <c r="D41" s="390" t="n"/>
      <c r="E41" s="391">
        <f>"thsd</f>
        <v/>
      </c>
      <c r="F41" s="375" t="inlineStr">
        <is>
          <t>+</t>
        </is>
      </c>
      <c r="G41" s="392">
        <f>SUM(G42,G47,G52,G57,G62,G67,G72,G77,G82,G87)</f>
        <v/>
      </c>
      <c r="H41" s="392">
        <f>SUM(H42,H47,H52,H57,H62,H67,H72,H77,H82,H87)</f>
        <v/>
      </c>
      <c r="I41" s="392">
        <f>SUM(I42,I47,I52,I57,I62,I67,I72,I77,I82,I87)</f>
        <v/>
      </c>
      <c r="J41" s="392">
        <f>IFERROR((H41-I41),"N/A")</f>
        <v/>
      </c>
      <c r="K41" s="393">
        <f>IFERROR((H41-I41)/ABS(I41),"N/A")</f>
        <v/>
      </c>
      <c r="L41" s="392">
        <f>IFERROR((H41-G41),"N/A")</f>
        <v/>
      </c>
      <c r="M41" s="393">
        <f>IFERROR((H41-G41)/ABS(G41),"N/A")</f>
        <v/>
      </c>
      <c r="N41" s="392">
        <f>SUM(N42,N47,N52,N57,N62,N67,N72,N77,N82,N87)</f>
        <v/>
      </c>
      <c r="O41" s="392">
        <f>SUM(O42,O47,O52,O57,O62,O67,O72,O77,O82,O87)</f>
        <v/>
      </c>
      <c r="P41" s="392">
        <f>SUM(P42,P47,P52,P57,P62,P67,P72,P77,P82,P87)</f>
        <v/>
      </c>
      <c r="Q41" s="392">
        <f>IFERROR((O41-P41),"N/A")</f>
        <v/>
      </c>
      <c r="R41" s="394">
        <f>IFERROR((O41-P41)/ABS(P41),"N/A")</f>
        <v/>
      </c>
      <c r="S41" s="392">
        <f>IFERROR((O41-N41),"N/A")</f>
        <v/>
      </c>
      <c r="T41" s="394">
        <f>IFERROR((O41-N41)/ABS(N41),"N/A")</f>
        <v/>
      </c>
    </row>
    <row r="42" outlineLevel="1" ht="12.75" customFormat="1" customHeight="1" s="30">
      <c r="A42" s="373">
        <f>$C$41&amp;" "&amp;C42&amp;" Revenue"&amp;" "&amp; $C$40</f>
        <v/>
      </c>
      <c r="B42" s="395" t="n"/>
      <c r="C42" s="406" t="inlineStr">
        <is>
          <t>Diesel fuel</t>
        </is>
      </c>
      <c r="D42" s="406" t="n"/>
      <c r="E42" s="396">
        <f>"thsd</f>
        <v/>
      </c>
      <c r="F42" s="375" t="inlineStr">
        <is>
          <t>+</t>
        </is>
      </c>
      <c r="G42" s="158" t="n">
        <v>413.2662083955367</v>
      </c>
      <c r="H42" s="158" t="n">
        <v>2320.407700035153</v>
      </c>
      <c r="I42" s="158" t="n">
        <v>13523.5294117647</v>
      </c>
      <c r="J42" s="184">
        <f>IFERROR((H42-I42),"N/A")</f>
        <v/>
      </c>
      <c r="K42" s="384">
        <f>IFERROR((H42-I42)/ABS(I42),"N/A")</f>
        <v/>
      </c>
      <c r="L42" s="184">
        <f>IFERROR((H42-G42),"N/A")</f>
        <v/>
      </c>
      <c r="M42" s="384">
        <f>IFERROR((H42-G42)/ABS(G42),"N/A")</f>
        <v/>
      </c>
      <c r="N42" s="158" t="n">
        <v>52888.69396423856</v>
      </c>
      <c r="O42" s="158" t="n">
        <v>49093.42741769107</v>
      </c>
      <c r="P42" s="158" t="n">
        <v>121711.7647058823</v>
      </c>
      <c r="Q42" s="184">
        <f>IFERROR((O42-P42),"N/A")</f>
        <v/>
      </c>
      <c r="R42" s="385">
        <f>IFERROR((O42-P42)/ABS(P42),"N/A")</f>
        <v/>
      </c>
      <c r="S42" s="184">
        <f>IFERROR((O42-N42),"N/A")</f>
        <v/>
      </c>
      <c r="T42" s="385">
        <f>IFERROR((O42-N42)/ABS(N42),"N/A")</f>
        <v/>
      </c>
    </row>
    <row r="43" outlineLevel="1" ht="12.75" customFormat="1" customHeight="1" s="30">
      <c r="A43" s="373">
        <f>$C$41&amp;" "&amp;C42&amp;" "&amp;C43&amp;" "&amp; $C$40</f>
        <v/>
      </c>
      <c r="B43" s="397" t="n"/>
      <c r="C43" s="397" t="inlineStr">
        <is>
          <t>Sales volume</t>
        </is>
      </c>
      <c r="D43" s="397" t="n"/>
      <c r="E43" s="396" t="inlineStr">
        <is>
          <t>thsd</t>
        </is>
      </c>
      <c r="F43" s="375" t="inlineStr">
        <is>
          <t>+</t>
        </is>
      </c>
      <c r="G43" s="158" t="n">
        <v>0.391037</v>
      </c>
      <c r="H43" s="158" t="n">
        <v>2.715268</v>
      </c>
      <c r="I43" s="158" t="n">
        <v>18.47897781037929</v>
      </c>
      <c r="J43" s="184">
        <f>IFERROR((H43-I43),"N/A")</f>
        <v/>
      </c>
      <c r="K43" s="384">
        <f>IFERROR((H43-I43)/ABS(I43),"N/A")</f>
        <v/>
      </c>
      <c r="L43" s="184">
        <f>IFERROR((H43-G43),"N/A")</f>
        <v/>
      </c>
      <c r="M43" s="384">
        <f>IFERROR((H43-G43)/ABS(G43),"N/A")</f>
        <v/>
      </c>
      <c r="N43" s="158" t="n">
        <v>54.59827911658677</v>
      </c>
      <c r="O43" s="158" t="n">
        <v>57.68330214637874</v>
      </c>
      <c r="P43" s="158" t="n">
        <v>166.3108002934136</v>
      </c>
      <c r="Q43" s="184">
        <f>IFERROR((O43-P43),"N/A")</f>
        <v/>
      </c>
      <c r="R43" s="385">
        <f>IFERROR((O43-P43)/ABS(P43),"N/A")</f>
        <v/>
      </c>
      <c r="S43" s="184">
        <f>IFERROR((O43-N43),"N/A")</f>
        <v/>
      </c>
      <c r="T43" s="385">
        <f>IFERROR((O43-N43)/ABS(N43),"N/A")</f>
        <v/>
      </c>
    </row>
    <row r="44" outlineLevel="1" ht="12.75" customFormat="1" customHeight="1" s="30">
      <c r="A44" s="373">
        <f>$C$41&amp;" "&amp;C42&amp;" "&amp;C44&amp;" "&amp; $C$40</f>
        <v/>
      </c>
      <c r="B44" s="397" t="n"/>
      <c r="C44" s="397" t="inlineStr">
        <is>
          <t>Price</t>
        </is>
      </c>
      <c r="D44" s="397" t="inlineStr">
        <is>
          <t>Qiyməti</t>
        </is>
      </c>
      <c r="E44" s="396">
        <f>$D$9&amp;"</f>
        <v/>
      </c>
      <c r="F44" s="375" t="inlineStr">
        <is>
          <t>+</t>
        </is>
      </c>
      <c r="G44" s="184">
        <f>IF(G43=0,0,IFERROR(G42/G43,"N/A"))</f>
        <v/>
      </c>
      <c r="H44" s="184">
        <f>IF(H43=0,0,IFERROR(H42/H43,"N/A"))</f>
        <v/>
      </c>
      <c r="I44" s="184">
        <f>IF(I43=0,0,IFERROR(I42/I43,"N/A"))</f>
        <v/>
      </c>
      <c r="J44" s="184">
        <f>IFERROR((H44-I44),"N/A")</f>
        <v/>
      </c>
      <c r="K44" s="384">
        <f>IFERROR((H44-I44)/ABS(I44),"N/A")</f>
        <v/>
      </c>
      <c r="L44" s="184">
        <f>IFERROR((H44-G44),"N/A")</f>
        <v/>
      </c>
      <c r="M44" s="384">
        <f>IFERROR((H44-G44)/ABS(G44),"N/A")</f>
        <v/>
      </c>
      <c r="N44" s="184">
        <f>IF(N43=0,0,IFERROR(N42/N43,"N/A"))</f>
        <v/>
      </c>
      <c r="O44" s="184">
        <f>IF(O43=0,0,IFERROR(O42/O43,"N/A"))</f>
        <v/>
      </c>
      <c r="P44" s="184">
        <f>IF(P43=0,0,IFERROR(P42/P43,"N/A"))</f>
        <v/>
      </c>
      <c r="Q44" s="184">
        <f>IFERROR((O44-P44),"N/A")</f>
        <v/>
      </c>
      <c r="R44" s="385">
        <f>IFERROR((O44-P44)/ABS(P44),"N/A")</f>
        <v/>
      </c>
      <c r="S44" s="184">
        <f>IFERROR((O44-N44),"N/A")</f>
        <v/>
      </c>
      <c r="T44" s="385">
        <f>IFERROR((O44-N44)/ABS(N44),"N/A")</f>
        <v/>
      </c>
    </row>
    <row r="45" outlineLevel="1" ht="12.75" customFormat="1" customHeight="1" s="30">
      <c r="A45" s="373">
        <f>$C$41&amp;" "&amp;C42&amp;" "&amp;C45&amp;" "&amp; $C$40</f>
        <v/>
      </c>
      <c r="B45" s="397" t="n"/>
      <c r="C45" s="436" t="inlineStr">
        <is>
          <t>COGs</t>
        </is>
      </c>
      <c r="D45" s="397" t="n"/>
      <c r="E45" s="396">
        <f>$D$9&amp;"</f>
        <v/>
      </c>
      <c r="F45" s="375" t="inlineStr">
        <is>
          <t>+</t>
        </is>
      </c>
      <c r="G45" s="399">
        <f>IF(G43=0,0,IFERROR(G46/G43,"N/A"))</f>
        <v/>
      </c>
      <c r="H45" s="399">
        <f>IF(H43=0,0,IFERROR(H46/H43,"N/A"))</f>
        <v/>
      </c>
      <c r="I45" s="399">
        <f>IF(I43=0,0,IFERROR(I46/I43,"N/A"))</f>
        <v/>
      </c>
      <c r="J45" s="400">
        <f>IFERROR((H45-I45),"N/A")</f>
        <v/>
      </c>
      <c r="K45" s="385">
        <f>IFERROR((H45-I45)/ABS(I45),"N/A")</f>
        <v/>
      </c>
      <c r="L45" s="400">
        <f>IFERROR((H45-G45),"N/A")</f>
        <v/>
      </c>
      <c r="M45" s="385">
        <f>IFERROR((H45-G45)/ABS(G45),"N/A")</f>
        <v/>
      </c>
      <c r="N45" s="399">
        <f>IF(N43=0,0,IFERROR(N46/N43,"N/A"))</f>
        <v/>
      </c>
      <c r="O45" s="399">
        <f>IF(O43=0,0,IFERROR(O46/O43,"N/A"))</f>
        <v/>
      </c>
      <c r="P45" s="399">
        <f>IF(P43=0,0,IFERROR(P46/P43,"N/A"))</f>
        <v/>
      </c>
      <c r="Q45" s="184">
        <f>IFERROR((O45-P45),"N/A")</f>
        <v/>
      </c>
      <c r="R45" s="385">
        <f>IFERROR((O45-P45)/ABS(P45),"N/A")</f>
        <v/>
      </c>
      <c r="S45" s="400">
        <f>IFERROR((O45-N45),"N/A")</f>
        <v/>
      </c>
      <c r="T45" s="385">
        <f>IFERROR((O45-N45)/ABS(N45),"N/A")</f>
        <v/>
      </c>
    </row>
    <row r="46" outlineLevel="1" ht="12.75" customFormat="1" customHeight="1" s="30">
      <c r="A46" s="373" t="n"/>
      <c r="B46" s="397" t="n"/>
      <c r="C46" s="436" t="inlineStr">
        <is>
          <t>Total COGs</t>
        </is>
      </c>
      <c r="D46" s="397" t="n"/>
      <c r="E46" s="396">
        <f>"thsd</f>
        <v/>
      </c>
      <c r="F46" s="375" t="inlineStr">
        <is>
          <t>+</t>
        </is>
      </c>
      <c r="G46" s="158" t="n">
        <v>417.7496373056995</v>
      </c>
      <c r="H46" s="158" t="n">
        <v>2216.699464564587</v>
      </c>
      <c r="I46" s="158" t="n">
        <v>13152.9566369617</v>
      </c>
      <c r="J46" s="400">
        <f>IFERROR((H46-I46),"N/A")</f>
        <v/>
      </c>
      <c r="K46" s="385">
        <f>IFERROR((H46-I46)/ABS(I46),"N/A")</f>
        <v/>
      </c>
      <c r="L46" s="400">
        <f>IFERROR((H46-G46),"N/A")</f>
        <v/>
      </c>
      <c r="M46" s="385">
        <f>IFERROR((H46-G46)/ABS(G46),"N/A")</f>
        <v/>
      </c>
      <c r="N46" s="158" t="n">
        <v>51284.03769800146</v>
      </c>
      <c r="O46" s="158" t="n">
        <v>47325.71388413772</v>
      </c>
      <c r="P46" s="158" t="n">
        <v>118376.6097326553</v>
      </c>
      <c r="Q46" s="184">
        <f>IFERROR((O46-P46),"N/A")</f>
        <v/>
      </c>
      <c r="R46" s="385">
        <f>IFERROR((O46-P46)/ABS(P46),"N/A")</f>
        <v/>
      </c>
      <c r="S46" s="400">
        <f>IFERROR((O46-N46),"N/A")</f>
        <v/>
      </c>
      <c r="T46" s="385">
        <f>IFERROR((O46-N46)/ABS(N46),"N/A")</f>
        <v/>
      </c>
    </row>
    <row r="47" outlineLevel="1" ht="12.75" customFormat="1" customHeight="1" s="30">
      <c r="A47" s="373">
        <f>$C$41&amp;" "&amp;C47&amp;" Revenue"&amp;" "&amp; $C$40</f>
        <v/>
      </c>
      <c r="B47" s="395" t="n"/>
      <c r="C47" s="407" t="inlineStr">
        <is>
          <t>Gasoline (Petrol)</t>
        </is>
      </c>
      <c r="D47" s="407" t="inlineStr">
        <is>
          <t>Benzinlər</t>
        </is>
      </c>
      <c r="E47" s="396">
        <f>"thsd</f>
        <v/>
      </c>
      <c r="F47" s="375" t="inlineStr">
        <is>
          <t>+</t>
        </is>
      </c>
      <c r="G47" s="158" t="n">
        <v>2.723657303441895</v>
      </c>
      <c r="H47" s="158" t="n">
        <v>814.0368058289657</v>
      </c>
      <c r="I47" s="158" t="n">
        <v>0</v>
      </c>
      <c r="J47" s="184">
        <f>IFERROR((H47-I47),"N/A")</f>
        <v/>
      </c>
      <c r="K47" s="384">
        <f>IFERROR((H47-I47)/ABS(I47),"N/A")</f>
        <v/>
      </c>
      <c r="L47" s="184">
        <f>IFERROR((H47-G47),"N/A")</f>
        <v/>
      </c>
      <c r="M47" s="384">
        <f>IFERROR((H47-G47)/ABS(G47),"N/A")</f>
        <v/>
      </c>
      <c r="N47" s="158" t="n">
        <v>7378.748825491785</v>
      </c>
      <c r="O47" s="158" t="n">
        <v>10285.43810796552</v>
      </c>
      <c r="P47" s="158" t="n">
        <v>0</v>
      </c>
      <c r="Q47" s="184">
        <f>IFERROR((O47-P47),"N/A")</f>
        <v/>
      </c>
      <c r="R47" s="385">
        <f>IFERROR((O47-P47)/ABS(P47),"N/A")</f>
        <v/>
      </c>
      <c r="S47" s="184">
        <f>IFERROR((O47-N47),"N/A")</f>
        <v/>
      </c>
      <c r="T47" s="385">
        <f>IFERROR((O47-N47)/ABS(N47),"N/A")</f>
        <v/>
      </c>
    </row>
    <row r="48" outlineLevel="1" ht="12.75" customFormat="1" customHeight="1" s="30">
      <c r="A48" s="373">
        <f>$C$41&amp;" "&amp;C47&amp;" "&amp;C48&amp;" "&amp; $C$40</f>
        <v/>
      </c>
      <c r="B48" s="397" t="n"/>
      <c r="C48" s="397" t="inlineStr">
        <is>
          <t>Sales volume</t>
        </is>
      </c>
      <c r="D48" s="397" t="n"/>
      <c r="E48" s="396" t="inlineStr">
        <is>
          <t>thsd</t>
        </is>
      </c>
      <c r="F48" s="375" t="inlineStr">
        <is>
          <t>+</t>
        </is>
      </c>
      <c r="G48" s="158" t="n">
        <v>0.00334</v>
      </c>
      <c r="H48" s="158" t="n">
        <v>1.190470073872828</v>
      </c>
      <c r="I48" s="158" t="n">
        <v>0</v>
      </c>
      <c r="J48" s="184">
        <f>IFERROR((H48-I48),"N/A")</f>
        <v/>
      </c>
      <c r="K48" s="384">
        <f>IFERROR((H48-I48)/ABS(I48),"N/A")</f>
        <v/>
      </c>
      <c r="L48" s="184">
        <f>IFERROR((H48-G48),"N/A")</f>
        <v/>
      </c>
      <c r="M48" s="384">
        <f>IFERROR((H48-G48)/ABS(G48),"N/A")</f>
        <v/>
      </c>
      <c r="N48" s="158" t="n">
        <v>7.331418363477065</v>
      </c>
      <c r="O48" s="158" t="n">
        <v>14.11220994280176</v>
      </c>
      <c r="P48" s="158" t="n">
        <v>0</v>
      </c>
      <c r="Q48" s="184">
        <f>IFERROR((O48-P48),"N/A")</f>
        <v/>
      </c>
      <c r="R48" s="385">
        <f>IFERROR((O48-P48)/ABS(P48),"N/A")</f>
        <v/>
      </c>
      <c r="S48" s="184">
        <f>IFERROR((O48-N48),"N/A")</f>
        <v/>
      </c>
      <c r="T48" s="385">
        <f>IFERROR((O48-N48)/ABS(N48),"N/A")</f>
        <v/>
      </c>
    </row>
    <row r="49" outlineLevel="1" ht="12.75" customFormat="1" customHeight="1" s="30">
      <c r="A49" s="373">
        <f>$C$41&amp;" "&amp;C47&amp;" "&amp;C49&amp;" "&amp; $C$40</f>
        <v/>
      </c>
      <c r="B49" s="397" t="n"/>
      <c r="C49" s="397" t="inlineStr">
        <is>
          <t>Price</t>
        </is>
      </c>
      <c r="D49" s="397" t="inlineStr">
        <is>
          <t>Qiyməti</t>
        </is>
      </c>
      <c r="E49" s="396">
        <f>$D$9&amp;"</f>
        <v/>
      </c>
      <c r="F49" s="375" t="inlineStr">
        <is>
          <t>+</t>
        </is>
      </c>
      <c r="G49" s="184">
        <f>IF(G48=0,0,IFERROR(G47/G48,"N/A"))</f>
        <v/>
      </c>
      <c r="H49" s="184">
        <f>IF(H48=0,0,IFERROR(H47/H48,"N/A"))</f>
        <v/>
      </c>
      <c r="I49" s="184">
        <f>IF(I48=0,0,IFERROR(I47/I48,"N/A"))</f>
        <v/>
      </c>
      <c r="J49" s="184">
        <f>IFERROR((H49-I49),"N/A")</f>
        <v/>
      </c>
      <c r="K49" s="384">
        <f>IFERROR((H49-I49)/ABS(I49),"N/A")</f>
        <v/>
      </c>
      <c r="L49" s="184">
        <f>IFERROR((H49-G49),"N/A")</f>
        <v/>
      </c>
      <c r="M49" s="384">
        <f>IFERROR((H49-G49)/ABS(G49),"N/A")</f>
        <v/>
      </c>
      <c r="N49" s="184">
        <f>IF(N48=0,0,IFERROR(N47/N48,"N/A"))</f>
        <v/>
      </c>
      <c r="O49" s="184">
        <f>IF(O48=0,0,IFERROR(O47/O48,"N/A"))</f>
        <v/>
      </c>
      <c r="P49" s="184">
        <f>IF(P48=0,0,IFERROR(P47/P48,"N/A"))</f>
        <v/>
      </c>
      <c r="Q49" s="184">
        <f>IFERROR((O49-P49),"N/A")</f>
        <v/>
      </c>
      <c r="R49" s="385">
        <f>IFERROR((O49-P49)/ABS(P49),"N/A")</f>
        <v/>
      </c>
      <c r="S49" s="184">
        <f>IFERROR((O49-N49),"N/A")</f>
        <v/>
      </c>
      <c r="T49" s="385">
        <f>IFERROR((O49-N49)/ABS(N49),"N/A")</f>
        <v/>
      </c>
    </row>
    <row r="50" outlineLevel="1" ht="12.75" customFormat="1" customHeight="1" s="30">
      <c r="A50" s="373">
        <f>$C$41&amp;" "&amp;C47&amp;" "&amp;C50&amp;" "&amp; $C$40</f>
        <v/>
      </c>
      <c r="B50" s="397" t="n"/>
      <c r="C50" s="436" t="inlineStr">
        <is>
          <t>COGs</t>
        </is>
      </c>
      <c r="D50" s="397" t="n"/>
      <c r="E50" s="396">
        <f>$D$9&amp;"</f>
        <v/>
      </c>
      <c r="F50" s="375" t="inlineStr">
        <is>
          <t>+</t>
        </is>
      </c>
      <c r="G50" s="399">
        <f>IF(G48=0,0,IFERROR(G51/G48,"N/A"))</f>
        <v/>
      </c>
      <c r="H50" s="399">
        <f>IF(H48=0,0,IFERROR(H51/H48,"N/A"))</f>
        <v/>
      </c>
      <c r="I50" s="399">
        <f>IF(I48=0,0,IFERROR(I51/I48,"N/A"))</f>
        <v/>
      </c>
      <c r="J50" s="400">
        <f>IFERROR((H50-I50),"N/A")</f>
        <v/>
      </c>
      <c r="K50" s="385">
        <f>IFERROR((H50-I50)/ABS(I50),"N/A")</f>
        <v/>
      </c>
      <c r="L50" s="400">
        <f>IFERROR((H50-G50),"N/A")</f>
        <v/>
      </c>
      <c r="M50" s="385">
        <f>IFERROR((H50-G50)/ABS(G50),"N/A")</f>
        <v/>
      </c>
      <c r="N50" s="399">
        <f>IF(N48=0,0,IFERROR(N51/N48,"N/A"))</f>
        <v/>
      </c>
      <c r="O50" s="399">
        <f>IF(O48=0,0,IFERROR(O51/O48,"N/A"))</f>
        <v/>
      </c>
      <c r="P50" s="399">
        <f>IF(P48=0,0,IFERROR(P51/P48,"N/A"))</f>
        <v/>
      </c>
      <c r="Q50" s="184">
        <f>IFERROR((O50-P50),"N/A")</f>
        <v/>
      </c>
      <c r="R50" s="385">
        <f>IFERROR((O50-P50)/ABS(P50),"N/A")</f>
        <v/>
      </c>
      <c r="S50" s="400">
        <f>IFERROR((O50-N50),"N/A")</f>
        <v/>
      </c>
      <c r="T50" s="385">
        <f>IFERROR((O50-N50)/ABS(N50),"N/A")</f>
        <v/>
      </c>
    </row>
    <row r="51" outlineLevel="1" ht="12.75" customFormat="1" customHeight="1" s="30">
      <c r="A51" s="373" t="n"/>
      <c r="B51" s="397" t="n"/>
      <c r="C51" s="436" t="inlineStr">
        <is>
          <t>Total COGs</t>
        </is>
      </c>
      <c r="D51" s="397" t="n"/>
      <c r="E51" s="396">
        <f>"thsd</f>
        <v/>
      </c>
      <c r="F51" s="375" t="inlineStr">
        <is>
          <t>+</t>
        </is>
      </c>
      <c r="G51" s="158" t="n">
        <v>3.038364174685418</v>
      </c>
      <c r="H51" s="158" t="n">
        <v>724.4480107087082</v>
      </c>
      <c r="I51" s="158" t="n">
        <v>0</v>
      </c>
      <c r="J51" s="400">
        <f>IFERROR((H51-I51),"N/A")</f>
        <v/>
      </c>
      <c r="K51" s="385">
        <f>IFERROR((H51-I51)/ABS(I51),"N/A")</f>
        <v/>
      </c>
      <c r="L51" s="400">
        <f>IFERROR((H51-G51),"N/A")</f>
        <v/>
      </c>
      <c r="M51" s="385">
        <f>IFERROR((H51-G51)/ABS(G51),"N/A")</f>
        <v/>
      </c>
      <c r="N51" s="158" t="n">
        <v>6901.380658771282</v>
      </c>
      <c r="O51" s="158" t="n">
        <v>10019.20360675244</v>
      </c>
      <c r="P51" s="158" t="n">
        <v>0</v>
      </c>
      <c r="Q51" s="184">
        <f>IFERROR((O51-P51),"N/A")</f>
        <v/>
      </c>
      <c r="R51" s="385">
        <f>IFERROR((O51-P51)/ABS(P51),"N/A")</f>
        <v/>
      </c>
      <c r="S51" s="400">
        <f>IFERROR((O51-N51),"N/A")</f>
        <v/>
      </c>
      <c r="T51" s="385">
        <f>IFERROR((O51-N51)/ABS(N51),"N/A")</f>
        <v/>
      </c>
    </row>
    <row r="52" outlineLevel="1" ht="12.75" customFormat="1" customHeight="1" s="30">
      <c r="A52" s="373">
        <f>$C$41&amp;" "&amp;C52&amp;" Revenue"&amp;" "&amp; $C$40</f>
        <v/>
      </c>
      <c r="B52" s="395" t="n"/>
      <c r="C52" s="407" t="inlineStr">
        <is>
          <t>Gasoil</t>
        </is>
      </c>
      <c r="D52" s="407" t="inlineStr">
        <is>
          <t xml:space="preserve">Qazoyl </t>
        </is>
      </c>
      <c r="E52" s="396">
        <f>"thsd</f>
        <v/>
      </c>
      <c r="F52" s="375" t="inlineStr">
        <is>
          <t>+</t>
        </is>
      </c>
      <c r="G52" s="158" t="n">
        <v>0</v>
      </c>
      <c r="H52" s="158" t="n">
        <v>0</v>
      </c>
      <c r="I52" s="158" t="n">
        <v>0</v>
      </c>
      <c r="J52" s="184">
        <f>IFERROR((H52-I52),"N/A")</f>
        <v/>
      </c>
      <c r="K52" s="384">
        <f>IFERROR((H52-I52)/ABS(I52),"N/A")</f>
        <v/>
      </c>
      <c r="L52" s="184">
        <f>IFERROR((H52-G52),"N/A")</f>
        <v/>
      </c>
      <c r="M52" s="384">
        <f>IFERROR((H52-G52)/ABS(G52),"N/A")</f>
        <v/>
      </c>
      <c r="N52" s="158" t="n">
        <v>22.73783387070318</v>
      </c>
      <c r="O52" s="158" t="n">
        <v>0</v>
      </c>
      <c r="P52" s="158" t="n">
        <v>0</v>
      </c>
      <c r="Q52" s="184">
        <f>IFERROR((O52-P52),"N/A")</f>
        <v/>
      </c>
      <c r="R52" s="385">
        <f>IFERROR((O52-P52)/ABS(P52),"N/A")</f>
        <v/>
      </c>
      <c r="S52" s="184">
        <f>IFERROR((O52-N52),"N/A")</f>
        <v/>
      </c>
      <c r="T52" s="385">
        <f>IFERROR((O52-N52)/ABS(N52),"N/A")</f>
        <v/>
      </c>
    </row>
    <row r="53" outlineLevel="1" ht="12.75" customFormat="1" customHeight="1" s="30">
      <c r="A53" s="373">
        <f>$C$41&amp;" "&amp;C52&amp;" "&amp;C53&amp;" "&amp; $C$40</f>
        <v/>
      </c>
      <c r="B53" s="397" t="n"/>
      <c r="C53" s="397" t="inlineStr">
        <is>
          <t>Sales volume</t>
        </is>
      </c>
      <c r="D53" s="397" t="n"/>
      <c r="E53" s="396" t="inlineStr">
        <is>
          <t>thsd</t>
        </is>
      </c>
      <c r="F53" s="375" t="inlineStr">
        <is>
          <t>+</t>
        </is>
      </c>
      <c r="G53" s="158" t="n">
        <v>0</v>
      </c>
      <c r="H53" s="158" t="n">
        <v>0</v>
      </c>
      <c r="I53" s="158" t="n">
        <v>0</v>
      </c>
      <c r="J53" s="184">
        <f>IFERROR((H53-I53),"N/A")</f>
        <v/>
      </c>
      <c r="K53" s="384">
        <f>IFERROR((H53-I53)/ABS(I53),"N/A")</f>
        <v/>
      </c>
      <c r="L53" s="184">
        <f>IFERROR((H53-G53),"N/A")</f>
        <v/>
      </c>
      <c r="M53" s="384">
        <f>IFERROR((H53-G53)/ABS(G53),"N/A")</f>
        <v/>
      </c>
      <c r="N53" s="158" t="n">
        <v>0.036892</v>
      </c>
      <c r="O53" s="158" t="n">
        <v>0</v>
      </c>
      <c r="P53" s="158" t="n">
        <v>0</v>
      </c>
      <c r="Q53" s="184">
        <f>IFERROR((O53-P53),"N/A")</f>
        <v/>
      </c>
      <c r="R53" s="385">
        <f>IFERROR((O53-P53)/ABS(P53),"N/A")</f>
        <v/>
      </c>
      <c r="S53" s="184">
        <f>IFERROR((O53-N53),"N/A")</f>
        <v/>
      </c>
      <c r="T53" s="385">
        <f>IFERROR((O53-N53)/ABS(N53),"N/A")</f>
        <v/>
      </c>
    </row>
    <row r="54" outlineLevel="1" ht="12.75" customFormat="1" customHeight="1" s="30">
      <c r="A54" s="373">
        <f>$C$41&amp;" "&amp;C52&amp;" "&amp;C54&amp;" "&amp; $C$40</f>
        <v/>
      </c>
      <c r="B54" s="397" t="n"/>
      <c r="C54" s="397" t="inlineStr">
        <is>
          <t>Price</t>
        </is>
      </c>
      <c r="D54" s="397" t="inlineStr">
        <is>
          <t>Qiyməti</t>
        </is>
      </c>
      <c r="E54" s="396">
        <f>$D$9&amp;"</f>
        <v/>
      </c>
      <c r="F54" s="375" t="inlineStr">
        <is>
          <t>+</t>
        </is>
      </c>
      <c r="G54" s="184">
        <f>IF(G53=0,0,IFERROR(G52/G53,"N/A"))</f>
        <v/>
      </c>
      <c r="H54" s="184">
        <f>IF(H53=0,0,IFERROR(H52/H53,"N/A"))</f>
        <v/>
      </c>
      <c r="I54" s="184">
        <f>IF(I53=0,0,IFERROR(I52/I53,"N/A"))</f>
        <v/>
      </c>
      <c r="J54" s="184">
        <f>IFERROR((H54-I54),"N/A")</f>
        <v/>
      </c>
      <c r="K54" s="384">
        <f>IFERROR((H54-I54)/ABS(I54),"N/A")</f>
        <v/>
      </c>
      <c r="L54" s="184">
        <f>IFERROR((H54-G54),"N/A")</f>
        <v/>
      </c>
      <c r="M54" s="384">
        <f>IFERROR((H54-G54)/ABS(G54),"N/A")</f>
        <v/>
      </c>
      <c r="N54" s="184">
        <f>IF(N53=0,0,IFERROR(N52/N53,"N/A"))</f>
        <v/>
      </c>
      <c r="O54" s="184">
        <f>IF(O53=0,0,IFERROR(O52/O53,"N/A"))</f>
        <v/>
      </c>
      <c r="P54" s="184">
        <f>IF(P53=0,0,IFERROR(P52/P53,"N/A"))</f>
        <v/>
      </c>
      <c r="Q54" s="184">
        <f>IFERROR((O54-P54),"N/A")</f>
        <v/>
      </c>
      <c r="R54" s="385">
        <f>IFERROR((O54-P54)/ABS(P54),"N/A")</f>
        <v/>
      </c>
      <c r="S54" s="184">
        <f>IFERROR((O54-N54),"N/A")</f>
        <v/>
      </c>
      <c r="T54" s="385">
        <f>IFERROR((O54-N54)/ABS(N54),"N/A")</f>
        <v/>
      </c>
    </row>
    <row r="55" outlineLevel="1" ht="12.75" customFormat="1" customHeight="1" s="30">
      <c r="A55" s="373">
        <f>$C$41&amp;" "&amp;C52&amp;" "&amp;C55&amp;" "&amp; $C$40</f>
        <v/>
      </c>
      <c r="B55" s="397" t="n"/>
      <c r="C55" s="436" t="inlineStr">
        <is>
          <t>COGs</t>
        </is>
      </c>
      <c r="D55" s="397" t="n"/>
      <c r="E55" s="396">
        <f>$D$9&amp;"</f>
        <v/>
      </c>
      <c r="F55" s="375" t="inlineStr">
        <is>
          <t>+</t>
        </is>
      </c>
      <c r="G55" s="399">
        <f>IF(G53=0,0,IFERROR(G56/G53,"N/A"))</f>
        <v/>
      </c>
      <c r="H55" s="399">
        <f>IF(H53=0,0,IFERROR(H56/H53,"N/A"))</f>
        <v/>
      </c>
      <c r="I55" s="399">
        <f>IF(I53=0,0,IFERROR(I56/I53,"N/A"))</f>
        <v/>
      </c>
      <c r="J55" s="400">
        <f>IFERROR((H55-I55),"N/A")</f>
        <v/>
      </c>
      <c r="K55" s="385">
        <f>IFERROR((H55-I55)/ABS(I55),"N/A")</f>
        <v/>
      </c>
      <c r="L55" s="400">
        <f>IFERROR((H55-G55),"N/A")</f>
        <v/>
      </c>
      <c r="M55" s="385">
        <f>IFERROR((H55-G55)/ABS(G55),"N/A")</f>
        <v/>
      </c>
      <c r="N55" s="399">
        <f>IF(N53=0,0,IFERROR(N56/N53,"N/A"))</f>
        <v/>
      </c>
      <c r="O55" s="399">
        <f>IF(O53=0,0,IFERROR(O56/O53,"N/A"))</f>
        <v/>
      </c>
      <c r="P55" s="399">
        <f>IF(P53=0,0,IFERROR(P56/P53,"N/A"))</f>
        <v/>
      </c>
      <c r="Q55" s="184">
        <f>IFERROR((O55-P55),"N/A")</f>
        <v/>
      </c>
      <c r="R55" s="385">
        <f>IFERROR((O55-P55)/ABS(P55),"N/A")</f>
        <v/>
      </c>
      <c r="S55" s="400">
        <f>IFERROR((O55-N55),"N/A")</f>
        <v/>
      </c>
      <c r="T55" s="385">
        <f>IFERROR((O55-N55)/ABS(N55),"N/A")</f>
        <v/>
      </c>
    </row>
    <row r="56" outlineLevel="1" ht="12.75" customFormat="1" customHeight="1" s="30">
      <c r="A56" s="373" t="n"/>
      <c r="B56" s="397" t="n"/>
      <c r="C56" s="436" t="inlineStr">
        <is>
          <t>Total COGs</t>
        </is>
      </c>
      <c r="D56" s="397" t="n"/>
      <c r="E56" s="396">
        <f>"thsd</f>
        <v/>
      </c>
      <c r="F56" s="375" t="inlineStr">
        <is>
          <t>+</t>
        </is>
      </c>
      <c r="G56" s="158" t="n"/>
      <c r="H56" s="158" t="n"/>
      <c r="I56" s="158" t="n"/>
      <c r="J56" s="400">
        <f>IFERROR((H56-I56),"N/A")</f>
        <v/>
      </c>
      <c r="K56" s="385">
        <f>IFERROR((H56-I56)/ABS(I56),"N/A")</f>
        <v/>
      </c>
      <c r="L56" s="400">
        <f>IFERROR((H56-G56),"N/A")</f>
        <v/>
      </c>
      <c r="M56" s="385">
        <f>IFERROR((H56-G56)/ABS(G56),"N/A")</f>
        <v/>
      </c>
      <c r="N56" s="158" t="n">
        <v>19.50618430792006</v>
      </c>
      <c r="O56" s="158" t="n">
        <v>0</v>
      </c>
      <c r="P56" s="158" t="n">
        <v>0</v>
      </c>
      <c r="Q56" s="184">
        <f>IFERROR((O56-P56),"N/A")</f>
        <v/>
      </c>
      <c r="R56" s="385">
        <f>IFERROR((O56-P56)/ABS(P56),"N/A")</f>
        <v/>
      </c>
      <c r="S56" s="400">
        <f>IFERROR((O56-N56),"N/A")</f>
        <v/>
      </c>
      <c r="T56" s="385">
        <f>IFERROR((O56-N56)/ABS(N56),"N/A")</f>
        <v/>
      </c>
    </row>
    <row r="57" outlineLevel="1" ht="12.75" customFormat="1" customHeight="1" s="30">
      <c r="A57" s="373">
        <f>$C$41&amp;" "&amp;C57&amp;" Revenue"&amp;" "&amp; $C$40</f>
        <v/>
      </c>
      <c r="B57" s="395" t="n"/>
      <c r="C57" s="407" t="inlineStr">
        <is>
          <t>Jet fuel</t>
        </is>
      </c>
      <c r="D57" s="407" t="n"/>
      <c r="E57" s="396">
        <f>"thsd</f>
        <v/>
      </c>
      <c r="F57" s="375" t="inlineStr">
        <is>
          <t>+</t>
        </is>
      </c>
      <c r="G57" s="158" t="n"/>
      <c r="H57" s="158" t="n"/>
      <c r="I57" s="158" t="n"/>
      <c r="J57" s="184">
        <f>IFERROR((H57-I57),"N/A")</f>
        <v/>
      </c>
      <c r="K57" s="384">
        <f>IFERROR((H57-I57)/ABS(I57),"N/A")</f>
        <v/>
      </c>
      <c r="L57" s="184">
        <f>IFERROR((H57-G57),"N/A")</f>
        <v/>
      </c>
      <c r="M57" s="384">
        <f>IFERROR((H57-G57)/ABS(G57),"N/A")</f>
        <v/>
      </c>
      <c r="N57" s="158" t="n">
        <v>2478.28073815174</v>
      </c>
      <c r="O57" s="158" t="n">
        <v>0</v>
      </c>
      <c r="P57" s="158" t="n">
        <v>0</v>
      </c>
      <c r="Q57" s="184">
        <f>IFERROR((O57-P57),"N/A")</f>
        <v/>
      </c>
      <c r="R57" s="385">
        <f>IFERROR((O57-P57)/ABS(P57),"N/A")</f>
        <v/>
      </c>
      <c r="S57" s="184">
        <f>IFERROR((O57-N57),"N/A")</f>
        <v/>
      </c>
      <c r="T57" s="385">
        <f>IFERROR((O57-N57)/ABS(N57),"N/A")</f>
        <v/>
      </c>
    </row>
    <row r="58" outlineLevel="1" ht="12.75" customFormat="1" customHeight="1" s="30">
      <c r="A58" s="373">
        <f>$C$41&amp;" "&amp;C57&amp;" "&amp;C58&amp;" "&amp; $C$40</f>
        <v/>
      </c>
      <c r="B58" s="397" t="n"/>
      <c r="C58" s="397" t="inlineStr">
        <is>
          <t>Sales volume</t>
        </is>
      </c>
      <c r="D58" s="397" t="n"/>
      <c r="E58" s="396" t="inlineStr">
        <is>
          <t>thsd</t>
        </is>
      </c>
      <c r="F58" s="375" t="inlineStr">
        <is>
          <t>+</t>
        </is>
      </c>
      <c r="G58" s="158" t="n"/>
      <c r="H58" s="158" t="n"/>
      <c r="I58" s="158" t="n"/>
      <c r="J58" s="184">
        <f>IFERROR((H58-I58),"N/A")</f>
        <v/>
      </c>
      <c r="K58" s="384">
        <f>IFERROR((H58-I58)/ABS(I58),"N/A")</f>
        <v/>
      </c>
      <c r="L58" s="184">
        <f>IFERROR((H58-G58),"N/A")</f>
        <v/>
      </c>
      <c r="M58" s="384">
        <f>IFERROR((H58-G58)/ABS(G58),"N/A")</f>
        <v/>
      </c>
      <c r="N58" s="158" t="n">
        <v>2.599694</v>
      </c>
      <c r="O58" s="158" t="n">
        <v>0</v>
      </c>
      <c r="P58" s="158" t="n">
        <v>0</v>
      </c>
      <c r="Q58" s="184">
        <f>IFERROR((O58-P58),"N/A")</f>
        <v/>
      </c>
      <c r="R58" s="385">
        <f>IFERROR((O58-P58)/ABS(P58),"N/A")</f>
        <v/>
      </c>
      <c r="S58" s="184">
        <f>IFERROR((O58-N58),"N/A")</f>
        <v/>
      </c>
      <c r="T58" s="385">
        <f>IFERROR((O58-N58)/ABS(N58),"N/A")</f>
        <v/>
      </c>
    </row>
    <row r="59" outlineLevel="1" ht="12.75" customFormat="1" customHeight="1" s="30">
      <c r="A59" s="373">
        <f>$C$41&amp;" "&amp;C57&amp;" "&amp;C59&amp;" "&amp; $C$40</f>
        <v/>
      </c>
      <c r="B59" s="397" t="n"/>
      <c r="C59" s="397" t="inlineStr">
        <is>
          <t>Price</t>
        </is>
      </c>
      <c r="D59" s="397" t="inlineStr">
        <is>
          <t>Qiyməti</t>
        </is>
      </c>
      <c r="E59" s="396">
        <f>$D$9&amp;"</f>
        <v/>
      </c>
      <c r="F59" s="375" t="inlineStr">
        <is>
          <t>+</t>
        </is>
      </c>
      <c r="G59" s="184">
        <f>IF(G58=0,0,IFERROR(G57/G58,"N/A"))</f>
        <v/>
      </c>
      <c r="H59" s="184">
        <f>IF(H58=0,0,IFERROR(H57/H58,"N/A"))</f>
        <v/>
      </c>
      <c r="I59" s="184">
        <f>IF(I58=0,0,IFERROR(I57/I58,"N/A"))</f>
        <v/>
      </c>
      <c r="J59" s="184">
        <f>IFERROR((H59-I59),"N/A")</f>
        <v/>
      </c>
      <c r="K59" s="384">
        <f>IFERROR((H59-I59)/ABS(I59),"N/A")</f>
        <v/>
      </c>
      <c r="L59" s="184">
        <f>IFERROR((H59-G59),"N/A")</f>
        <v/>
      </c>
      <c r="M59" s="384">
        <f>IFERROR((H59-G59)/ABS(G59),"N/A")</f>
        <v/>
      </c>
      <c r="N59" s="184">
        <f>IF(N58=0,0,IFERROR(N57/N58,"N/A"))</f>
        <v/>
      </c>
      <c r="O59" s="184">
        <f>IF(O58=0,0,IFERROR(O57/O58,"N/A"))</f>
        <v/>
      </c>
      <c r="P59" s="184">
        <f>IF(P58=0,0,IFERROR(P57/P58,"N/A"))</f>
        <v/>
      </c>
      <c r="Q59" s="184">
        <f>IFERROR((O59-P59),"N/A")</f>
        <v/>
      </c>
      <c r="R59" s="385">
        <f>IFERROR((O59-P59)/ABS(P59),"N/A")</f>
        <v/>
      </c>
      <c r="S59" s="184">
        <f>IFERROR((O59-N59),"N/A")</f>
        <v/>
      </c>
      <c r="T59" s="385">
        <f>IFERROR((O59-N59)/ABS(N59),"N/A")</f>
        <v/>
      </c>
    </row>
    <row r="60" outlineLevel="1" ht="12.75" customFormat="1" customHeight="1" s="30">
      <c r="A60" s="373">
        <f>$C$41&amp;" "&amp;C57&amp;" "&amp;C60&amp;" "&amp; $C$40</f>
        <v/>
      </c>
      <c r="B60" s="397" t="n"/>
      <c r="C60" s="436" t="inlineStr">
        <is>
          <t>COGs</t>
        </is>
      </c>
      <c r="D60" s="397" t="n"/>
      <c r="E60" s="396">
        <f>$D$9&amp;"</f>
        <v/>
      </c>
      <c r="F60" s="375" t="inlineStr">
        <is>
          <t>+</t>
        </is>
      </c>
      <c r="G60" s="399">
        <f>IF(G58=0,0,IFERROR(G61/G58,"N/A"))</f>
        <v/>
      </c>
      <c r="H60" s="399">
        <f>IF(H58=0,0,IFERROR(H61/H58,"N/A"))</f>
        <v/>
      </c>
      <c r="I60" s="399">
        <f>IF(I58=0,0,IFERROR(I61/I58,"N/A"))</f>
        <v/>
      </c>
      <c r="J60" s="400">
        <f>IFERROR((H60-I60),"N/A")</f>
        <v/>
      </c>
      <c r="K60" s="385">
        <f>IFERROR((H60-I60)/ABS(I60),"N/A")</f>
        <v/>
      </c>
      <c r="L60" s="400">
        <f>IFERROR((H60-G60),"N/A")</f>
        <v/>
      </c>
      <c r="M60" s="385">
        <f>IFERROR((H60-G60)/ABS(G60),"N/A")</f>
        <v/>
      </c>
      <c r="N60" s="399">
        <f>IF(N58=0,0,IFERROR(N61/N58,"N/A"))</f>
        <v/>
      </c>
      <c r="O60" s="399">
        <f>IF(O58=0,0,IFERROR(O61/O58,"N/A"))</f>
        <v/>
      </c>
      <c r="P60" s="399">
        <f>IF(P58=0,0,IFERROR(P61/P58,"N/A"))</f>
        <v/>
      </c>
      <c r="Q60" s="184">
        <f>IFERROR((O60-P60),"N/A")</f>
        <v/>
      </c>
      <c r="R60" s="385">
        <f>IFERROR((O60-P60)/ABS(P60),"N/A")</f>
        <v/>
      </c>
      <c r="S60" s="400">
        <f>IFERROR((O60-N60),"N/A")</f>
        <v/>
      </c>
      <c r="T60" s="385">
        <f>IFERROR((O60-N60)/ABS(N60),"N/A")</f>
        <v/>
      </c>
    </row>
    <row r="61" outlineLevel="1" ht="12.75" customFormat="1" customHeight="1" s="30">
      <c r="A61" s="373" t="n"/>
      <c r="B61" s="397" t="n"/>
      <c r="C61" s="436" t="inlineStr">
        <is>
          <t>Total COGs</t>
        </is>
      </c>
      <c r="D61" s="397" t="n"/>
      <c r="E61" s="396">
        <f>"thsd</f>
        <v/>
      </c>
      <c r="F61" s="375" t="inlineStr">
        <is>
          <t>+</t>
        </is>
      </c>
      <c r="G61" s="158" t="n"/>
      <c r="H61" s="158" t="n"/>
      <c r="I61" s="158" t="n"/>
      <c r="J61" s="400">
        <f>IFERROR((H61-I61),"N/A")</f>
        <v/>
      </c>
      <c r="K61" s="385">
        <f>IFERROR((H61-I61)/ABS(I61),"N/A")</f>
        <v/>
      </c>
      <c r="L61" s="400">
        <f>IFERROR((H61-G61),"N/A")</f>
        <v/>
      </c>
      <c r="M61" s="385">
        <f>IFERROR((H61-G61)/ABS(G61),"N/A")</f>
        <v/>
      </c>
      <c r="N61" s="158" t="n">
        <v>2455.163164322724</v>
      </c>
      <c r="O61" s="158" t="n">
        <v>0</v>
      </c>
      <c r="P61" s="158" t="n">
        <v>0</v>
      </c>
      <c r="Q61" s="184">
        <f>IFERROR((O61-P61),"N/A")</f>
        <v/>
      </c>
      <c r="R61" s="385">
        <f>IFERROR((O61-P61)/ABS(P61),"N/A")</f>
        <v/>
      </c>
      <c r="S61" s="400">
        <f>IFERROR((O61-N61),"N/A")</f>
        <v/>
      </c>
      <c r="T61" s="385">
        <f>IFERROR((O61-N61)/ABS(N61),"N/A")</f>
        <v/>
      </c>
    </row>
    <row r="62" outlineLevel="1" ht="12.75" customFormat="1" customHeight="1" s="30">
      <c r="A62" s="373">
        <f>$C$41&amp;" "&amp;C62&amp;" Revenue"&amp;" "&amp; $C$40</f>
        <v/>
      </c>
      <c r="B62" s="395" t="n"/>
      <c r="C62" s="407" t="inlineStr">
        <is>
          <t>Naphtha (all types)</t>
        </is>
      </c>
      <c r="D62" s="407" t="n"/>
      <c r="E62" s="396">
        <f>"thsd</f>
        <v/>
      </c>
      <c r="F62" s="375" t="inlineStr">
        <is>
          <t>+</t>
        </is>
      </c>
      <c r="G62" s="158" t="n"/>
      <c r="H62" s="158" t="n"/>
      <c r="I62" s="158" t="n"/>
      <c r="J62" s="184">
        <f>IFERROR((H62-I62),"N/A")</f>
        <v/>
      </c>
      <c r="K62" s="384">
        <f>IFERROR((H62-I62)/ABS(I62),"N/A")</f>
        <v/>
      </c>
      <c r="L62" s="184">
        <f>IFERROR((H62-G62),"N/A")</f>
        <v/>
      </c>
      <c r="M62" s="384">
        <f>IFERROR((H62-G62)/ABS(G62),"N/A")</f>
        <v/>
      </c>
      <c r="N62" s="158" t="n"/>
      <c r="O62" s="158" t="n"/>
      <c r="P62" s="158" t="n"/>
      <c r="Q62" s="184">
        <f>IFERROR((O62-P62),"N/A")</f>
        <v/>
      </c>
      <c r="R62" s="385">
        <f>IFERROR((O62-P62)/ABS(P62),"N/A")</f>
        <v/>
      </c>
      <c r="S62" s="184">
        <f>IFERROR((O62-N62),"N/A")</f>
        <v/>
      </c>
      <c r="T62" s="385">
        <f>IFERROR((O62-N62)/ABS(N62),"N/A")</f>
        <v/>
      </c>
    </row>
    <row r="63" outlineLevel="1" ht="12.75" customFormat="1" customHeight="1" s="30">
      <c r="A63" s="373">
        <f>$C$41&amp;" "&amp;C62&amp;" "&amp;C63&amp;" "&amp; $C$40</f>
        <v/>
      </c>
      <c r="B63" s="397" t="n"/>
      <c r="C63" s="397" t="inlineStr">
        <is>
          <t>Sales volume</t>
        </is>
      </c>
      <c r="D63" s="397" t="n"/>
      <c r="E63" s="396" t="inlineStr">
        <is>
          <t>thsd</t>
        </is>
      </c>
      <c r="F63" s="375" t="inlineStr">
        <is>
          <t>+</t>
        </is>
      </c>
      <c r="G63" s="158" t="n"/>
      <c r="H63" s="158" t="n"/>
      <c r="I63" s="158" t="n"/>
      <c r="J63" s="184">
        <f>IFERROR((H63-I63),"N/A")</f>
        <v/>
      </c>
      <c r="K63" s="384">
        <f>IFERROR((H63-I63)/ABS(I63),"N/A")</f>
        <v/>
      </c>
      <c r="L63" s="184">
        <f>IFERROR((H63-G63),"N/A")</f>
        <v/>
      </c>
      <c r="M63" s="384">
        <f>IFERROR((H63-G63)/ABS(G63),"N/A")</f>
        <v/>
      </c>
      <c r="N63" s="158" t="n"/>
      <c r="O63" s="158" t="n"/>
      <c r="P63" s="158" t="n"/>
      <c r="Q63" s="184">
        <f>IFERROR((O63-P63),"N/A")</f>
        <v/>
      </c>
      <c r="R63" s="385">
        <f>IFERROR((O63-P63)/ABS(P63),"N/A")</f>
        <v/>
      </c>
      <c r="S63" s="184">
        <f>IFERROR((O63-N63),"N/A")</f>
        <v/>
      </c>
      <c r="T63" s="385">
        <f>IFERROR((O63-N63)/ABS(N63),"N/A")</f>
        <v/>
      </c>
    </row>
    <row r="64" outlineLevel="1" ht="12.75" customFormat="1" customHeight="1" s="30">
      <c r="A64" s="373">
        <f>$C$41&amp;" "&amp;C62&amp;" "&amp;C64&amp;" "&amp; $C$40</f>
        <v/>
      </c>
      <c r="B64" s="397" t="n"/>
      <c r="C64" s="397" t="inlineStr">
        <is>
          <t>Price</t>
        </is>
      </c>
      <c r="D64" s="397" t="inlineStr">
        <is>
          <t>Qiyməti</t>
        </is>
      </c>
      <c r="E64" s="396">
        <f>$D$9&amp;"</f>
        <v/>
      </c>
      <c r="F64" s="375" t="inlineStr">
        <is>
          <t>+</t>
        </is>
      </c>
      <c r="G64" s="184">
        <f>IF(G63=0,0,IFERROR(G62/G63,"N/A"))</f>
        <v/>
      </c>
      <c r="H64" s="184">
        <f>IF(H63=0,0,IFERROR(H62/H63,"N/A"))</f>
        <v/>
      </c>
      <c r="I64" s="184">
        <f>IF(I63=0,0,IFERROR(I62/I63,"N/A"))</f>
        <v/>
      </c>
      <c r="J64" s="184">
        <f>IFERROR((H64-I64),"N/A")</f>
        <v/>
      </c>
      <c r="K64" s="384">
        <f>IFERROR((H64-I64)/ABS(I64),"N/A")</f>
        <v/>
      </c>
      <c r="L64" s="184">
        <f>IFERROR((H64-G64),"N/A")</f>
        <v/>
      </c>
      <c r="M64" s="384">
        <f>IFERROR((H64-G64)/ABS(G64),"N/A")</f>
        <v/>
      </c>
      <c r="N64" s="184">
        <f>IF(N63=0,0,IFERROR(N62/N63,"N/A"))</f>
        <v/>
      </c>
      <c r="O64" s="184">
        <f>IF(O63=0,0,IFERROR(O62/O63,"N/A"))</f>
        <v/>
      </c>
      <c r="P64" s="184">
        <f>IF(P63=0,0,IFERROR(P62/P63,"N/A"))</f>
        <v/>
      </c>
      <c r="Q64" s="184">
        <f>IFERROR((O64-P64),"N/A")</f>
        <v/>
      </c>
      <c r="R64" s="385">
        <f>IFERROR((O64-P64)/ABS(P64),"N/A")</f>
        <v/>
      </c>
      <c r="S64" s="184">
        <f>IFERROR((O64-N64),"N/A")</f>
        <v/>
      </c>
      <c r="T64" s="385">
        <f>IFERROR((O64-N64)/ABS(N64),"N/A")</f>
        <v/>
      </c>
    </row>
    <row r="65" outlineLevel="1" ht="12.75" customFormat="1" customHeight="1" s="30">
      <c r="A65" s="373">
        <f>$C$41&amp;" "&amp;C62&amp;" "&amp;C65&amp;" "&amp; $C$40</f>
        <v/>
      </c>
      <c r="B65" s="397" t="n"/>
      <c r="C65" s="436" t="inlineStr">
        <is>
          <t>COGs</t>
        </is>
      </c>
      <c r="D65" s="397" t="n"/>
      <c r="E65" s="396">
        <f>$D$9&amp;"</f>
        <v/>
      </c>
      <c r="F65" s="375" t="inlineStr">
        <is>
          <t>+</t>
        </is>
      </c>
      <c r="G65" s="399">
        <f>IF(G63=0,0,IFERROR(G66/G63,"N/A"))</f>
        <v/>
      </c>
      <c r="H65" s="399">
        <f>IF(H63=0,0,IFERROR(H66/H63,"N/A"))</f>
        <v/>
      </c>
      <c r="I65" s="399">
        <f>IF(I63=0,0,IFERROR(I66/I63,"N/A"))</f>
        <v/>
      </c>
      <c r="J65" s="400">
        <f>IFERROR((H65-I65),"N/A")</f>
        <v/>
      </c>
      <c r="K65" s="385">
        <f>IFERROR((H65-I65)/ABS(I65),"N/A")</f>
        <v/>
      </c>
      <c r="L65" s="400">
        <f>IFERROR((H65-G65),"N/A")</f>
        <v/>
      </c>
      <c r="M65" s="385">
        <f>IFERROR((H65-G65)/ABS(G65),"N/A")</f>
        <v/>
      </c>
      <c r="N65" s="399">
        <f>IF(N63=0,0,IFERROR(N66/N63,"N/A"))</f>
        <v/>
      </c>
      <c r="O65" s="399">
        <f>IF(O63=0,0,IFERROR(O66/O63,"N/A"))</f>
        <v/>
      </c>
      <c r="P65" s="399">
        <f>IF(P63=0,0,IFERROR(P66/P63,"N/A"))</f>
        <v/>
      </c>
      <c r="Q65" s="184">
        <f>IFERROR((O65-P65),"N/A")</f>
        <v/>
      </c>
      <c r="R65" s="385">
        <f>IFERROR((O65-P65)/ABS(P65),"N/A")</f>
        <v/>
      </c>
      <c r="S65" s="400">
        <f>IFERROR((O65-N65),"N/A")</f>
        <v/>
      </c>
      <c r="T65" s="385">
        <f>IFERROR((O65-N65)/ABS(N65),"N/A")</f>
        <v/>
      </c>
    </row>
    <row r="66" outlineLevel="1" ht="12.75" customFormat="1" customHeight="1" s="30">
      <c r="A66" s="373" t="n"/>
      <c r="B66" s="397" t="n"/>
      <c r="C66" s="436" t="inlineStr">
        <is>
          <t>Total COGs</t>
        </is>
      </c>
      <c r="D66" s="397" t="n"/>
      <c r="E66" s="396">
        <f>"thsd</f>
        <v/>
      </c>
      <c r="F66" s="375" t="inlineStr">
        <is>
          <t>+</t>
        </is>
      </c>
      <c r="G66" s="158" t="n"/>
      <c r="H66" s="158" t="n"/>
      <c r="I66" s="158" t="n"/>
      <c r="J66" s="400">
        <f>IFERROR((H66-I66),"N/A")</f>
        <v/>
      </c>
      <c r="K66" s="385">
        <f>IFERROR((H66-I66)/ABS(I66),"N/A")</f>
        <v/>
      </c>
      <c r="L66" s="400">
        <f>IFERROR((H66-G66),"N/A")</f>
        <v/>
      </c>
      <c r="M66" s="385">
        <f>IFERROR((H66-G66)/ABS(G66),"N/A")</f>
        <v/>
      </c>
      <c r="N66" s="158" t="n"/>
      <c r="O66" s="158" t="n"/>
      <c r="P66" s="158" t="n"/>
      <c r="Q66" s="184">
        <f>IFERROR((O66-P66),"N/A")</f>
        <v/>
      </c>
      <c r="R66" s="385">
        <f>IFERROR((O66-P66)/ABS(P66),"N/A")</f>
        <v/>
      </c>
      <c r="S66" s="400">
        <f>IFERROR((O66-N66),"N/A")</f>
        <v/>
      </c>
      <c r="T66" s="385">
        <f>IFERROR((O66-N66)/ABS(N66),"N/A")</f>
        <v/>
      </c>
    </row>
    <row r="67" outlineLevel="1" ht="12.75" customFormat="1" customHeight="1" s="30">
      <c r="A67" s="373">
        <f>$C$41&amp;" "&amp;C67&amp;" Revenue"&amp;" "&amp; $C$40</f>
        <v/>
      </c>
      <c r="B67" s="395" t="n"/>
      <c r="C67" s="407" t="inlineStr">
        <is>
          <t>Reformate</t>
        </is>
      </c>
      <c r="D67" s="407" t="inlineStr">
        <is>
          <t xml:space="preserve">Reformat </t>
        </is>
      </c>
      <c r="E67" s="396">
        <f>"thsd</f>
        <v/>
      </c>
      <c r="F67" s="375" t="inlineStr">
        <is>
          <t>+</t>
        </is>
      </c>
      <c r="G67" s="158" t="n"/>
      <c r="H67" s="158" t="n"/>
      <c r="I67" s="158" t="n"/>
      <c r="J67" s="184">
        <f>IFERROR((H67-I67),"N/A")</f>
        <v/>
      </c>
      <c r="K67" s="384">
        <f>IFERROR((H67-I67)/ABS(I67),"N/A")</f>
        <v/>
      </c>
      <c r="L67" s="184">
        <f>IFERROR((H67-G67),"N/A")</f>
        <v/>
      </c>
      <c r="M67" s="384">
        <f>IFERROR((H67-G67)/ABS(G67),"N/A")</f>
        <v/>
      </c>
      <c r="N67" s="158" t="n"/>
      <c r="O67" s="158" t="n"/>
      <c r="P67" s="158" t="n"/>
      <c r="Q67" s="184">
        <f>IFERROR((O67-P67),"N/A")</f>
        <v/>
      </c>
      <c r="R67" s="385">
        <f>IFERROR((O67-P67)/ABS(P67),"N/A")</f>
        <v/>
      </c>
      <c r="S67" s="184">
        <f>IFERROR((O67-N67),"N/A")</f>
        <v/>
      </c>
      <c r="T67" s="385">
        <f>IFERROR((O67-N67)/ABS(N67),"N/A")</f>
        <v/>
      </c>
    </row>
    <row r="68" outlineLevel="1" ht="12.75" customFormat="1" customHeight="1" s="30">
      <c r="A68" s="373">
        <f>$C$41&amp;" "&amp;C67&amp;" "&amp;C68&amp;" "&amp; $C$40</f>
        <v/>
      </c>
      <c r="B68" s="397" t="n"/>
      <c r="C68" s="397" t="inlineStr">
        <is>
          <t>Sales volume</t>
        </is>
      </c>
      <c r="D68" s="397" t="n"/>
      <c r="E68" s="396" t="inlineStr">
        <is>
          <t>thsd</t>
        </is>
      </c>
      <c r="F68" s="375" t="inlineStr">
        <is>
          <t>+</t>
        </is>
      </c>
      <c r="G68" s="158" t="n"/>
      <c r="H68" s="158" t="n"/>
      <c r="I68" s="158" t="n"/>
      <c r="J68" s="184">
        <f>IFERROR((H68-I68),"N/A")</f>
        <v/>
      </c>
      <c r="K68" s="384">
        <f>IFERROR((H68-I68)/ABS(I68),"N/A")</f>
        <v/>
      </c>
      <c r="L68" s="184">
        <f>IFERROR((H68-G68),"N/A")</f>
        <v/>
      </c>
      <c r="M68" s="384">
        <f>IFERROR((H68-G68)/ABS(G68),"N/A")</f>
        <v/>
      </c>
      <c r="N68" s="158" t="n"/>
      <c r="O68" s="158" t="n"/>
      <c r="P68" s="158" t="n"/>
      <c r="Q68" s="184">
        <f>IFERROR((O68-P68),"N/A")</f>
        <v/>
      </c>
      <c r="R68" s="385">
        <f>IFERROR((O68-P68)/ABS(P68),"N/A")</f>
        <v/>
      </c>
      <c r="S68" s="184">
        <f>IFERROR((O68-N68),"N/A")</f>
        <v/>
      </c>
      <c r="T68" s="385">
        <f>IFERROR((O68-N68)/ABS(N68),"N/A")</f>
        <v/>
      </c>
    </row>
    <row r="69" outlineLevel="1" ht="12.75" customFormat="1" customHeight="1" s="30">
      <c r="A69" s="373">
        <f>$C$41&amp;" "&amp;C67&amp;" "&amp;C69&amp;" "&amp; $C$40</f>
        <v/>
      </c>
      <c r="B69" s="397" t="n"/>
      <c r="C69" s="397" t="inlineStr">
        <is>
          <t>Price</t>
        </is>
      </c>
      <c r="D69" s="397" t="inlineStr">
        <is>
          <t>Qiyməti</t>
        </is>
      </c>
      <c r="E69" s="396">
        <f>$D$9&amp;"</f>
        <v/>
      </c>
      <c r="F69" s="375" t="inlineStr">
        <is>
          <t>+</t>
        </is>
      </c>
      <c r="G69" s="184">
        <f>IF(G68=0,0,IFERROR(G67/G68,"N/A"))</f>
        <v/>
      </c>
      <c r="H69" s="184">
        <f>IF(H68=0,0,IFERROR(H67/H68,"N/A"))</f>
        <v/>
      </c>
      <c r="I69" s="184">
        <f>IF(I68=0,0,IFERROR(I67/I68,"N/A"))</f>
        <v/>
      </c>
      <c r="J69" s="184">
        <f>IFERROR((H69-I69),"N/A")</f>
        <v/>
      </c>
      <c r="K69" s="384">
        <f>IFERROR((H69-I69)/ABS(I69),"N/A")</f>
        <v/>
      </c>
      <c r="L69" s="184">
        <f>IFERROR((H69-G69),"N/A")</f>
        <v/>
      </c>
      <c r="M69" s="384">
        <f>IFERROR((H69-G69)/ABS(G69),"N/A")</f>
        <v/>
      </c>
      <c r="N69" s="184">
        <f>IF(N68=0,0,IFERROR(N67/N68,"N/A"))</f>
        <v/>
      </c>
      <c r="O69" s="184">
        <f>IF(O68=0,0,IFERROR(O67/O68,"N/A"))</f>
        <v/>
      </c>
      <c r="P69" s="184">
        <f>IF(P68=0,0,IFERROR(P67/P68,"N/A"))</f>
        <v/>
      </c>
      <c r="Q69" s="184">
        <f>IFERROR((O69-P69),"N/A")</f>
        <v/>
      </c>
      <c r="R69" s="385">
        <f>IFERROR((O69-P69)/ABS(P69),"N/A")</f>
        <v/>
      </c>
      <c r="S69" s="184">
        <f>IFERROR((O69-N69),"N/A")</f>
        <v/>
      </c>
      <c r="T69" s="385">
        <f>IFERROR((O69-N69)/ABS(N69),"N/A")</f>
        <v/>
      </c>
    </row>
    <row r="70" outlineLevel="1" ht="12.75" customFormat="1" customHeight="1" s="30">
      <c r="A70" s="373">
        <f>$C$41&amp;" "&amp;C67&amp;" "&amp;C70&amp;" "&amp; $C$40</f>
        <v/>
      </c>
      <c r="B70" s="397" t="n"/>
      <c r="C70" s="436" t="inlineStr">
        <is>
          <t>COGs</t>
        </is>
      </c>
      <c r="D70" s="397" t="n"/>
      <c r="E70" s="396">
        <f>$D$9&amp;"</f>
        <v/>
      </c>
      <c r="F70" s="375" t="inlineStr">
        <is>
          <t>+</t>
        </is>
      </c>
      <c r="G70" s="399">
        <f>IF(G68=0,0,IFERROR(G71/G68,"N/A"))</f>
        <v/>
      </c>
      <c r="H70" s="399">
        <f>IF(H68=0,0,IFERROR(H71/H68,"N/A"))</f>
        <v/>
      </c>
      <c r="I70" s="399">
        <f>IF(I68=0,0,IFERROR(I71/I68,"N/A"))</f>
        <v/>
      </c>
      <c r="J70" s="400">
        <f>IFERROR((H70-I70),"N/A")</f>
        <v/>
      </c>
      <c r="K70" s="385">
        <f>IFERROR((H70-I70)/ABS(I70),"N/A")</f>
        <v/>
      </c>
      <c r="L70" s="400">
        <f>IFERROR((H70-G70),"N/A")</f>
        <v/>
      </c>
      <c r="M70" s="385">
        <f>IFERROR((H70-G70)/ABS(G70),"N/A")</f>
        <v/>
      </c>
      <c r="N70" s="399">
        <f>IF(N68=0,0,IFERROR(N71/N68,"N/A"))</f>
        <v/>
      </c>
      <c r="O70" s="399">
        <f>IF(O68=0,0,IFERROR(O71/O68,"N/A"))</f>
        <v/>
      </c>
      <c r="P70" s="399">
        <f>IF(P68=0,0,IFERROR(P71/P68,"N/A"))</f>
        <v/>
      </c>
      <c r="Q70" s="184">
        <f>IFERROR((O70-P70),"N/A")</f>
        <v/>
      </c>
      <c r="R70" s="385">
        <f>IFERROR((O70-P70)/ABS(P70),"N/A")</f>
        <v/>
      </c>
      <c r="S70" s="400">
        <f>IFERROR((O70-N70),"N/A")</f>
        <v/>
      </c>
      <c r="T70" s="385">
        <f>IFERROR((O70-N70)/ABS(N70),"N/A")</f>
        <v/>
      </c>
    </row>
    <row r="71" outlineLevel="1" ht="12.75" customFormat="1" customHeight="1" s="30">
      <c r="A71" s="373" t="n"/>
      <c r="B71" s="397" t="n"/>
      <c r="C71" s="436" t="inlineStr">
        <is>
          <t>Total COGs</t>
        </is>
      </c>
      <c r="D71" s="397" t="n"/>
      <c r="E71" s="396">
        <f>"thsd</f>
        <v/>
      </c>
      <c r="F71" s="375" t="inlineStr">
        <is>
          <t>+</t>
        </is>
      </c>
      <c r="G71" s="158" t="n"/>
      <c r="H71" s="158" t="n"/>
      <c r="I71" s="158" t="n"/>
      <c r="J71" s="400">
        <f>IFERROR((H71-I71),"N/A")</f>
        <v/>
      </c>
      <c r="K71" s="385">
        <f>IFERROR((H71-I71)/ABS(I71),"N/A")</f>
        <v/>
      </c>
      <c r="L71" s="400">
        <f>IFERROR((H71-G71),"N/A")</f>
        <v/>
      </c>
      <c r="M71" s="385">
        <f>IFERROR((H71-G71)/ABS(G71),"N/A")</f>
        <v/>
      </c>
      <c r="N71" s="158" t="n"/>
      <c r="O71" s="158" t="n"/>
      <c r="P71" s="158" t="n"/>
      <c r="Q71" s="184">
        <f>IFERROR((O71-P71),"N/A")</f>
        <v/>
      </c>
      <c r="R71" s="385">
        <f>IFERROR((O71-P71)/ABS(P71),"N/A")</f>
        <v/>
      </c>
      <c r="S71" s="400">
        <f>IFERROR((O71-N71),"N/A")</f>
        <v/>
      </c>
      <c r="T71" s="385">
        <f>IFERROR((O71-N71)/ABS(N71),"N/A")</f>
        <v/>
      </c>
    </row>
    <row r="72" outlineLevel="1" ht="12.75" customFormat="1" customHeight="1" s="30">
      <c r="A72" s="373">
        <f>$C$41&amp;" "&amp;C72&amp;" Revenue"&amp;" "&amp; $C$40</f>
        <v/>
      </c>
      <c r="B72" s="395" t="n"/>
      <c r="C72" s="407" t="inlineStr">
        <is>
          <t>Heavy oil products (incl. bitumem, heating oil, etc.)</t>
        </is>
      </c>
      <c r="D72" s="407" t="n"/>
      <c r="E72" s="396">
        <f>"thsd</f>
        <v/>
      </c>
      <c r="F72" s="375" t="inlineStr">
        <is>
          <t>+</t>
        </is>
      </c>
      <c r="G72" s="158" t="n">
        <v>82.88007627746114</v>
      </c>
      <c r="H72" s="158" t="n">
        <v>0</v>
      </c>
      <c r="I72" s="158" t="n">
        <v>0</v>
      </c>
      <c r="J72" s="184">
        <f>IFERROR((H72-I72),"N/A")</f>
        <v/>
      </c>
      <c r="K72" s="384">
        <f>IFERROR((H72-I72)/ABS(I72),"N/A")</f>
        <v/>
      </c>
      <c r="L72" s="184">
        <f>IFERROR((H72-G72),"N/A")</f>
        <v/>
      </c>
      <c r="M72" s="384">
        <f>IFERROR((H72-G72)/ABS(G72),"N/A")</f>
        <v/>
      </c>
      <c r="N72" s="158" t="n">
        <v>17578.63830307747</v>
      </c>
      <c r="O72" s="158" t="n">
        <v>38.57168381076821</v>
      </c>
      <c r="P72" s="158" t="n">
        <v>0</v>
      </c>
      <c r="Q72" s="184">
        <f>IFERROR((O72-P72),"N/A")</f>
        <v/>
      </c>
      <c r="R72" s="385">
        <f>IFERROR((O72-P72)/ABS(P72),"N/A")</f>
        <v/>
      </c>
      <c r="S72" s="184">
        <f>IFERROR((O72-N72),"N/A")</f>
        <v/>
      </c>
      <c r="T72" s="385">
        <f>IFERROR((O72-N72)/ABS(N72),"N/A")</f>
        <v/>
      </c>
    </row>
    <row r="73" outlineLevel="1" ht="12.75" customFormat="1" customHeight="1" s="30">
      <c r="A73" s="373">
        <f>$C$41&amp;" "&amp;C72&amp;" "&amp;C73&amp;" "&amp; $C$40</f>
        <v/>
      </c>
      <c r="B73" s="397" t="n"/>
      <c r="C73" s="397" t="inlineStr">
        <is>
          <t>Sales volume</t>
        </is>
      </c>
      <c r="D73" s="397" t="n"/>
      <c r="E73" s="396" t="inlineStr">
        <is>
          <t>thsd</t>
        </is>
      </c>
      <c r="F73" s="375" t="inlineStr">
        <is>
          <t>+</t>
        </is>
      </c>
      <c r="G73" s="158" t="n">
        <v>0.199948</v>
      </c>
      <c r="H73" s="158" t="n">
        <v>0</v>
      </c>
      <c r="I73" s="158" t="n">
        <v>0</v>
      </c>
      <c r="J73" s="184">
        <f>IFERROR((H73-I73),"N/A")</f>
        <v/>
      </c>
      <c r="K73" s="384">
        <f>IFERROR((H73-I73)/ABS(I73),"N/A")</f>
        <v/>
      </c>
      <c r="L73" s="184">
        <f>IFERROR((H73-G73),"N/A")</f>
        <v/>
      </c>
      <c r="M73" s="384">
        <f>IFERROR((H73-G73)/ABS(G73),"N/A")</f>
        <v/>
      </c>
      <c r="N73" s="158" t="n">
        <v>39.47852899999999</v>
      </c>
      <c r="O73" s="158" t="n">
        <v>0.09224</v>
      </c>
      <c r="P73" s="158" t="n">
        <v>0</v>
      </c>
      <c r="Q73" s="184">
        <f>IFERROR((O73-P73),"N/A")</f>
        <v/>
      </c>
      <c r="R73" s="385">
        <f>IFERROR((O73-P73)/ABS(P73),"N/A")</f>
        <v/>
      </c>
      <c r="S73" s="184">
        <f>IFERROR((O73-N73),"N/A")</f>
        <v/>
      </c>
      <c r="T73" s="385">
        <f>IFERROR((O73-N73)/ABS(N73),"N/A")</f>
        <v/>
      </c>
    </row>
    <row r="74" outlineLevel="1" ht="12.75" customFormat="1" customHeight="1" s="30">
      <c r="A74" s="373">
        <f>$C$41&amp;" "&amp;C72&amp;" "&amp;C74&amp;" "&amp; $C$40</f>
        <v/>
      </c>
      <c r="B74" s="397" t="n"/>
      <c r="C74" s="397" t="inlineStr">
        <is>
          <t>Price</t>
        </is>
      </c>
      <c r="D74" s="397" t="inlineStr">
        <is>
          <t>Qiyməti</t>
        </is>
      </c>
      <c r="E74" s="396">
        <f>$D$9&amp;"</f>
        <v/>
      </c>
      <c r="F74" s="375" t="inlineStr">
        <is>
          <t>+</t>
        </is>
      </c>
      <c r="G74" s="184">
        <f>IF(G73=0,0,IFERROR(G72/G73,"N/A"))</f>
        <v/>
      </c>
      <c r="H74" s="184">
        <f>IF(H73=0,0,IFERROR(H72/H73,"N/A"))</f>
        <v/>
      </c>
      <c r="I74" s="184">
        <f>IF(I73=0,0,IFERROR(I72/I73,"N/A"))</f>
        <v/>
      </c>
      <c r="J74" s="184">
        <f>IFERROR((H74-I74),"N/A")</f>
        <v/>
      </c>
      <c r="K74" s="384">
        <f>IFERROR((H74-I74)/ABS(I74),"N/A")</f>
        <v/>
      </c>
      <c r="L74" s="184">
        <f>IFERROR((H74-G74),"N/A")</f>
        <v/>
      </c>
      <c r="M74" s="384">
        <f>IFERROR((H74-G74)/ABS(G74),"N/A")</f>
        <v/>
      </c>
      <c r="N74" s="184">
        <f>IF(N73=0,0,IFERROR(N72/N73,"N/A"))</f>
        <v/>
      </c>
      <c r="O74" s="184">
        <f>IF(O73=0,0,IFERROR(O72/O73,"N/A"))</f>
        <v/>
      </c>
      <c r="P74" s="184">
        <f>IF(P73=0,0,IFERROR(P72/P73,"N/A"))</f>
        <v/>
      </c>
      <c r="Q74" s="184">
        <f>IFERROR((O74-P74),"N/A")</f>
        <v/>
      </c>
      <c r="R74" s="385">
        <f>IFERROR((O74-P74)/ABS(P74),"N/A")</f>
        <v/>
      </c>
      <c r="S74" s="184">
        <f>IFERROR((O74-N74),"N/A")</f>
        <v/>
      </c>
      <c r="T74" s="385">
        <f>IFERROR((O74-N74)/ABS(N74),"N/A")</f>
        <v/>
      </c>
    </row>
    <row r="75" outlineLevel="1" ht="12.75" customFormat="1" customHeight="1" s="30">
      <c r="A75" s="373">
        <f>$C$41&amp;" "&amp;C72&amp;" "&amp;C75&amp;" "&amp; $C$40</f>
        <v/>
      </c>
      <c r="B75" s="397" t="n"/>
      <c r="C75" s="436" t="inlineStr">
        <is>
          <t>COGs</t>
        </is>
      </c>
      <c r="D75" s="397" t="n"/>
      <c r="E75" s="396">
        <f>$D$9&amp;"</f>
        <v/>
      </c>
      <c r="F75" s="375" t="inlineStr">
        <is>
          <t>+</t>
        </is>
      </c>
      <c r="G75" s="399">
        <f>IF(G73=0,0,IFERROR(G76/G73,"N/A"))</f>
        <v/>
      </c>
      <c r="H75" s="399">
        <f>IF(H73=0,0,IFERROR(H76/H73,"N/A"))</f>
        <v/>
      </c>
      <c r="I75" s="399">
        <f>IF(I73=0,0,IFERROR(I76/I73,"N/A"))</f>
        <v/>
      </c>
      <c r="J75" s="400">
        <f>IFERROR((H75-I75),"N/A")</f>
        <v/>
      </c>
      <c r="K75" s="385">
        <f>IFERROR((H75-I75)/ABS(I75),"N/A")</f>
        <v/>
      </c>
      <c r="L75" s="400">
        <f>IFERROR((H75-G75),"N/A")</f>
        <v/>
      </c>
      <c r="M75" s="385">
        <f>IFERROR((H75-G75)/ABS(G75),"N/A")</f>
        <v/>
      </c>
      <c r="N75" s="399">
        <f>IF(N73=0,0,IFERROR(N76/N73,"N/A"))</f>
        <v/>
      </c>
      <c r="O75" s="399">
        <f>IF(O73=0,0,IFERROR(O76/O73,"N/A"))</f>
        <v/>
      </c>
      <c r="P75" s="399">
        <f>IF(P73=0,0,IFERROR(P76/P73,"N/A"))</f>
        <v/>
      </c>
      <c r="Q75" s="184">
        <f>IFERROR((O75-P75),"N/A")</f>
        <v/>
      </c>
      <c r="R75" s="385">
        <f>IFERROR((O75-P75)/ABS(P75),"N/A")</f>
        <v/>
      </c>
      <c r="S75" s="400">
        <f>IFERROR((O75-N75),"N/A")</f>
        <v/>
      </c>
      <c r="T75" s="385">
        <f>IFERROR((O75-N75)/ABS(N75),"N/A")</f>
        <v/>
      </c>
    </row>
    <row r="76" outlineLevel="1" ht="12.75" customFormat="1" customHeight="1" s="30">
      <c r="A76" s="373" t="n"/>
      <c r="B76" s="397" t="n"/>
      <c r="C76" s="436" t="inlineStr">
        <is>
          <t>Total COGs</t>
        </is>
      </c>
      <c r="D76" s="397" t="n"/>
      <c r="E76" s="396">
        <f>"thsd</f>
        <v/>
      </c>
      <c r="F76" s="375" t="inlineStr">
        <is>
          <t>+</t>
        </is>
      </c>
      <c r="G76" s="158" t="n">
        <v>85.78809400444116</v>
      </c>
      <c r="H76" s="158" t="n">
        <v>0</v>
      </c>
      <c r="I76" s="158" t="n">
        <v>0</v>
      </c>
      <c r="J76" s="400">
        <f>IFERROR((H76-I76),"N/A")</f>
        <v/>
      </c>
      <c r="K76" s="385">
        <f>IFERROR((H76-I76)/ABS(I76),"N/A")</f>
        <v/>
      </c>
      <c r="L76" s="400">
        <f>IFERROR((H76-G76),"N/A")</f>
        <v/>
      </c>
      <c r="M76" s="385">
        <f>IFERROR((H76-G76)/ABS(G76),"N/A")</f>
        <v/>
      </c>
      <c r="N76" s="158" t="n">
        <v>17296.99017394523</v>
      </c>
      <c r="O76" s="158" t="n">
        <v>38.86591061203242</v>
      </c>
      <c r="P76" s="158" t="n">
        <v>0</v>
      </c>
      <c r="Q76" s="184">
        <f>IFERROR((O76-P76),"N/A")</f>
        <v/>
      </c>
      <c r="R76" s="385">
        <f>IFERROR((O76-P76)/ABS(P76),"N/A")</f>
        <v/>
      </c>
      <c r="S76" s="400">
        <f>IFERROR((O76-N76),"N/A")</f>
        <v/>
      </c>
      <c r="T76" s="385">
        <f>IFERROR((O76-N76)/ABS(N76),"N/A")</f>
        <v/>
      </c>
    </row>
    <row r="77" outlineLevel="1" ht="12.75" customFormat="1" customHeight="1" s="30">
      <c r="A77" s="373">
        <f>$C$41&amp;" "&amp;C77&amp;" Revenue"&amp;" "&amp; $C$40</f>
        <v/>
      </c>
      <c r="B77" s="395" t="n"/>
      <c r="C77" s="407" t="inlineStr">
        <is>
          <t>Gases</t>
        </is>
      </c>
      <c r="D77" s="407" t="inlineStr">
        <is>
          <t>Qazlar</t>
        </is>
      </c>
      <c r="E77" s="396">
        <f>"thsd</f>
        <v/>
      </c>
      <c r="F77" s="375" t="inlineStr">
        <is>
          <t>+</t>
        </is>
      </c>
      <c r="G77" s="158" t="n"/>
      <c r="H77" s="158" t="n"/>
      <c r="I77" s="158" t="n"/>
      <c r="J77" s="184">
        <f>IFERROR((H77-I77),"N/A")</f>
        <v/>
      </c>
      <c r="K77" s="384">
        <f>IFERROR((H77-I77)/ABS(I77),"N/A")</f>
        <v/>
      </c>
      <c r="L77" s="184">
        <f>IFERROR((H77-G77),"N/A")</f>
        <v/>
      </c>
      <c r="M77" s="384">
        <f>IFERROR((H77-G77)/ABS(G77),"N/A")</f>
        <v/>
      </c>
      <c r="N77" s="158" t="n"/>
      <c r="O77" s="158" t="n"/>
      <c r="P77" s="158" t="n"/>
      <c r="Q77" s="184">
        <f>IFERROR((O77-P77),"N/A")</f>
        <v/>
      </c>
      <c r="R77" s="385">
        <f>IFERROR((O77-P77)/ABS(P77),"N/A")</f>
        <v/>
      </c>
      <c r="S77" s="184">
        <f>IFERROR((O77-N77),"N/A")</f>
        <v/>
      </c>
      <c r="T77" s="385">
        <f>IFERROR((O77-N77)/ABS(N77),"N/A")</f>
        <v/>
      </c>
    </row>
    <row r="78" outlineLevel="1" ht="12.75" customFormat="1" customHeight="1" s="30">
      <c r="A78" s="373">
        <f>$C$41&amp;" "&amp;C77&amp;" "&amp;C78&amp;" "&amp; $C$40</f>
        <v/>
      </c>
      <c r="B78" s="397" t="n"/>
      <c r="C78" s="397" t="inlineStr">
        <is>
          <t>Sales volume</t>
        </is>
      </c>
      <c r="D78" s="397" t="n"/>
      <c r="E78" s="396" t="inlineStr">
        <is>
          <t>thsd</t>
        </is>
      </c>
      <c r="F78" s="375" t="inlineStr">
        <is>
          <t>+</t>
        </is>
      </c>
      <c r="G78" s="158" t="n"/>
      <c r="H78" s="158" t="n"/>
      <c r="I78" s="158" t="n"/>
      <c r="J78" s="184">
        <f>IFERROR((H78-I78),"N/A")</f>
        <v/>
      </c>
      <c r="K78" s="384">
        <f>IFERROR((H78-I78)/ABS(I78),"N/A")</f>
        <v/>
      </c>
      <c r="L78" s="184">
        <f>IFERROR((H78-G78),"N/A")</f>
        <v/>
      </c>
      <c r="M78" s="384">
        <f>IFERROR((H78-G78)/ABS(G78),"N/A")</f>
        <v/>
      </c>
      <c r="N78" s="158" t="n"/>
      <c r="O78" s="158" t="n"/>
      <c r="P78" s="158" t="n"/>
      <c r="Q78" s="184">
        <f>IFERROR((O78-P78),"N/A")</f>
        <v/>
      </c>
      <c r="R78" s="385">
        <f>IFERROR((O78-P78)/ABS(P78),"N/A")</f>
        <v/>
      </c>
      <c r="S78" s="184">
        <f>IFERROR((O78-N78),"N/A")</f>
        <v/>
      </c>
      <c r="T78" s="385">
        <f>IFERROR((O78-N78)/ABS(N78),"N/A")</f>
        <v/>
      </c>
    </row>
    <row r="79" outlineLevel="1" ht="12.75" customFormat="1" customHeight="1" s="30">
      <c r="A79" s="373">
        <f>$C$41&amp;" "&amp;C77&amp;" "&amp;C79&amp;" "&amp; $C$40</f>
        <v/>
      </c>
      <c r="B79" s="397" t="n"/>
      <c r="C79" s="397" t="inlineStr">
        <is>
          <t>Price</t>
        </is>
      </c>
      <c r="D79" s="397" t="inlineStr">
        <is>
          <t>Qiyməti</t>
        </is>
      </c>
      <c r="E79" s="396">
        <f>$D$9&amp;"</f>
        <v/>
      </c>
      <c r="F79" s="375" t="inlineStr">
        <is>
          <t>+</t>
        </is>
      </c>
      <c r="G79" s="184">
        <f>IF(G78=0,0,IFERROR(G77/G78,"N/A"))</f>
        <v/>
      </c>
      <c r="H79" s="184">
        <f>IF(H78=0,0,IFERROR(H77/H78,"N/A"))</f>
        <v/>
      </c>
      <c r="I79" s="184">
        <f>IF(I78=0,0,IFERROR(I77/I78,"N/A"))</f>
        <v/>
      </c>
      <c r="J79" s="184">
        <f>IFERROR((H79-I79),"N/A")</f>
        <v/>
      </c>
      <c r="K79" s="384">
        <f>IFERROR((H79-I79)/ABS(I79),"N/A")</f>
        <v/>
      </c>
      <c r="L79" s="184">
        <f>IFERROR((H79-G79),"N/A")</f>
        <v/>
      </c>
      <c r="M79" s="384">
        <f>IFERROR((H79-G79)/ABS(G79),"N/A")</f>
        <v/>
      </c>
      <c r="N79" s="184">
        <f>IF(N78=0,0,IFERROR(N77/N78,"N/A"))</f>
        <v/>
      </c>
      <c r="O79" s="184">
        <f>IF(O78=0,0,IFERROR(O77/O78,"N/A"))</f>
        <v/>
      </c>
      <c r="P79" s="184">
        <f>IF(P78=0,0,IFERROR(P77/P78,"N/A"))</f>
        <v/>
      </c>
      <c r="Q79" s="184">
        <f>IFERROR((O79-P79),"N/A")</f>
        <v/>
      </c>
      <c r="R79" s="385">
        <f>IFERROR((O79-P79)/ABS(P79),"N/A")</f>
        <v/>
      </c>
      <c r="S79" s="184">
        <f>IFERROR((O79-N79),"N/A")</f>
        <v/>
      </c>
      <c r="T79" s="385">
        <f>IFERROR((O79-N79)/ABS(N79),"N/A")</f>
        <v/>
      </c>
    </row>
    <row r="80" outlineLevel="1" ht="12.75" customFormat="1" customHeight="1" s="30">
      <c r="A80" s="373">
        <f>$C$41&amp;" "&amp;C77&amp;" "&amp;C80&amp;" "&amp; $C$40</f>
        <v/>
      </c>
      <c r="B80" s="397" t="n"/>
      <c r="C80" s="436" t="inlineStr">
        <is>
          <t>COGs</t>
        </is>
      </c>
      <c r="D80" s="397" t="n"/>
      <c r="E80" s="396">
        <f>$D$9&amp;"</f>
        <v/>
      </c>
      <c r="F80" s="375" t="inlineStr">
        <is>
          <t>+</t>
        </is>
      </c>
      <c r="G80" s="399">
        <f>IF(G78=0,0,IFERROR(G81/G78,"N/A"))</f>
        <v/>
      </c>
      <c r="H80" s="399">
        <f>IF(H78=0,0,IFERROR(H81/H78,"N/A"))</f>
        <v/>
      </c>
      <c r="I80" s="399">
        <f>IF(I78=0,0,IFERROR(I81/I78,"N/A"))</f>
        <v/>
      </c>
      <c r="J80" s="400">
        <f>IFERROR((H80-I80),"N/A")</f>
        <v/>
      </c>
      <c r="K80" s="385">
        <f>IFERROR((H80-I80)/ABS(I80),"N/A")</f>
        <v/>
      </c>
      <c r="L80" s="400">
        <f>IFERROR((H80-G80),"N/A")</f>
        <v/>
      </c>
      <c r="M80" s="385">
        <f>IFERROR((H80-G80)/ABS(G80),"N/A")</f>
        <v/>
      </c>
      <c r="N80" s="399">
        <f>IF(N78=0,0,IFERROR(N81/N78,"N/A"))</f>
        <v/>
      </c>
      <c r="O80" s="399">
        <f>IF(O78=0,0,IFERROR(O81/O78,"N/A"))</f>
        <v/>
      </c>
      <c r="P80" s="399">
        <f>IF(P78=0,0,IFERROR(P81/P78,"N/A"))</f>
        <v/>
      </c>
      <c r="Q80" s="184">
        <f>IFERROR((O80-P80),"N/A")</f>
        <v/>
      </c>
      <c r="R80" s="385">
        <f>IFERROR((O80-P80)/ABS(P80),"N/A")</f>
        <v/>
      </c>
      <c r="S80" s="400">
        <f>IFERROR((O80-N80),"N/A")</f>
        <v/>
      </c>
      <c r="T80" s="385">
        <f>IFERROR((O80-N80)/ABS(N80),"N/A")</f>
        <v/>
      </c>
    </row>
    <row r="81" outlineLevel="1" ht="12.75" customFormat="1" customHeight="1" s="30">
      <c r="A81" s="373" t="n"/>
      <c r="B81" s="397" t="n"/>
      <c r="C81" s="436" t="inlineStr">
        <is>
          <t>Total COGs</t>
        </is>
      </c>
      <c r="D81" s="397" t="n"/>
      <c r="E81" s="396">
        <f>"thsd</f>
        <v/>
      </c>
      <c r="F81" s="375" t="inlineStr">
        <is>
          <t>+</t>
        </is>
      </c>
      <c r="G81" s="158" t="n"/>
      <c r="H81" s="158" t="n"/>
      <c r="I81" s="158" t="n"/>
      <c r="J81" s="400">
        <f>IFERROR((H81-I81),"N/A")</f>
        <v/>
      </c>
      <c r="K81" s="385">
        <f>IFERROR((H81-I81)/ABS(I81),"N/A")</f>
        <v/>
      </c>
      <c r="L81" s="400">
        <f>IFERROR((H81-G81),"N/A")</f>
        <v/>
      </c>
      <c r="M81" s="385">
        <f>IFERROR((H81-G81)/ABS(G81),"N/A")</f>
        <v/>
      </c>
      <c r="N81" s="158" t="n"/>
      <c r="O81" s="158" t="n"/>
      <c r="P81" s="158" t="n"/>
      <c r="Q81" s="184">
        <f>IFERROR((O81-P81),"N/A")</f>
        <v/>
      </c>
      <c r="R81" s="385">
        <f>IFERROR((O81-P81)/ABS(P81),"N/A")</f>
        <v/>
      </c>
      <c r="S81" s="400">
        <f>IFERROR((O81-N81),"N/A")</f>
        <v/>
      </c>
      <c r="T81" s="385">
        <f>IFERROR((O81-N81)/ABS(N81),"N/A")</f>
        <v/>
      </c>
    </row>
    <row r="82" outlineLevel="1" ht="12.75" customFormat="1" customHeight="1" s="30">
      <c r="A82" s="373">
        <f>$C$41&amp;" "&amp;C82&amp;" Revenue"&amp;" "&amp; $C$40</f>
        <v/>
      </c>
      <c r="B82" s="395" t="n"/>
      <c r="C82" s="407" t="inlineStr">
        <is>
          <t>Oils (Lubes)</t>
        </is>
      </c>
      <c r="D82" s="407" t="n"/>
      <c r="E82" s="396">
        <f>"thsd</f>
        <v/>
      </c>
      <c r="F82" s="375" t="inlineStr">
        <is>
          <t>+</t>
        </is>
      </c>
      <c r="G82" s="158" t="n"/>
      <c r="H82" s="158" t="n"/>
      <c r="I82" s="158" t="n"/>
      <c r="J82" s="184">
        <f>IFERROR((H82-I82),"N/A")</f>
        <v/>
      </c>
      <c r="K82" s="384">
        <f>IFERROR((H82-I82)/ABS(I82),"N/A")</f>
        <v/>
      </c>
      <c r="L82" s="184">
        <f>IFERROR((H82-G82),"N/A")</f>
        <v/>
      </c>
      <c r="M82" s="384">
        <f>IFERROR((H82-G82)/ABS(G82),"N/A")</f>
        <v/>
      </c>
      <c r="N82" s="158" t="n"/>
      <c r="O82" s="158" t="n"/>
      <c r="P82" s="158" t="n"/>
      <c r="Q82" s="184">
        <f>IFERROR((O82-P82),"N/A")</f>
        <v/>
      </c>
      <c r="R82" s="385">
        <f>IFERROR((O82-P82)/ABS(P82),"N/A")</f>
        <v/>
      </c>
      <c r="S82" s="184">
        <f>IFERROR((O82-N82),"N/A")</f>
        <v/>
      </c>
      <c r="T82" s="385">
        <f>IFERROR((O82-N82)/ABS(N82),"N/A")</f>
        <v/>
      </c>
    </row>
    <row r="83" outlineLevel="1" ht="12.75" customFormat="1" customHeight="1" s="30">
      <c r="A83" s="373">
        <f>$C$41&amp;" "&amp;C82&amp;" "&amp;C83&amp;" "&amp; $C$40</f>
        <v/>
      </c>
      <c r="B83" s="397" t="n"/>
      <c r="C83" s="397" t="inlineStr">
        <is>
          <t>Sales volume</t>
        </is>
      </c>
      <c r="D83" s="397" t="n"/>
      <c r="E83" s="396" t="inlineStr">
        <is>
          <t>thsd</t>
        </is>
      </c>
      <c r="F83" s="375" t="inlineStr">
        <is>
          <t>+</t>
        </is>
      </c>
      <c r="G83" s="158" t="n"/>
      <c r="H83" s="158" t="n"/>
      <c r="I83" s="158" t="n"/>
      <c r="J83" s="184">
        <f>IFERROR((H83-I83),"N/A")</f>
        <v/>
      </c>
      <c r="K83" s="384">
        <f>IFERROR((H83-I83)/ABS(I83),"N/A")</f>
        <v/>
      </c>
      <c r="L83" s="184">
        <f>IFERROR((H83-G83),"N/A")</f>
        <v/>
      </c>
      <c r="M83" s="384">
        <f>IFERROR((H83-G83)/ABS(G83),"N/A")</f>
        <v/>
      </c>
      <c r="N83" s="158" t="n"/>
      <c r="O83" s="158" t="n"/>
      <c r="P83" s="158" t="n"/>
      <c r="Q83" s="184">
        <f>IFERROR((O83-P83),"N/A")</f>
        <v/>
      </c>
      <c r="R83" s="385">
        <f>IFERROR((O83-P83)/ABS(P83),"N/A")</f>
        <v/>
      </c>
      <c r="S83" s="184">
        <f>IFERROR((O83-N83),"N/A")</f>
        <v/>
      </c>
      <c r="T83" s="385">
        <f>IFERROR((O83-N83)/ABS(N83),"N/A")</f>
        <v/>
      </c>
    </row>
    <row r="84" outlineLevel="1" ht="12.75" customFormat="1" customHeight="1" s="30">
      <c r="A84" s="373">
        <f>$C$41&amp;" "&amp;C82&amp;" "&amp;C84&amp;" "&amp; $C$40</f>
        <v/>
      </c>
      <c r="B84" s="397" t="n"/>
      <c r="C84" s="397" t="inlineStr">
        <is>
          <t>Price</t>
        </is>
      </c>
      <c r="D84" s="397" t="inlineStr">
        <is>
          <t>Qiyməti</t>
        </is>
      </c>
      <c r="E84" s="396">
        <f>$D$9&amp;"</f>
        <v/>
      </c>
      <c r="F84" s="375" t="inlineStr">
        <is>
          <t>+</t>
        </is>
      </c>
      <c r="G84" s="184">
        <f>IF(G83=0,0,IFERROR(G82/G83,"N/A"))</f>
        <v/>
      </c>
      <c r="H84" s="184">
        <f>IF(H83=0,0,IFERROR(H82/H83,"N/A"))</f>
        <v/>
      </c>
      <c r="I84" s="184">
        <f>IF(I83=0,0,IFERROR(I82/I83,"N/A"))</f>
        <v/>
      </c>
      <c r="J84" s="184">
        <f>IFERROR((H84-I84),"N/A")</f>
        <v/>
      </c>
      <c r="K84" s="384">
        <f>IFERROR((H84-I84)/ABS(I84),"N/A")</f>
        <v/>
      </c>
      <c r="L84" s="184">
        <f>IFERROR((H84-G84),"N/A")</f>
        <v/>
      </c>
      <c r="M84" s="384">
        <f>IFERROR((H84-G84)/ABS(G84),"N/A")</f>
        <v/>
      </c>
      <c r="N84" s="184">
        <f>IF(N83=0,0,IFERROR(N82/N83,"N/A"))</f>
        <v/>
      </c>
      <c r="O84" s="184">
        <f>IF(O83=0,0,IFERROR(O82/O83,"N/A"))</f>
        <v/>
      </c>
      <c r="P84" s="184">
        <f>IF(P83=0,0,IFERROR(P82/P83,"N/A"))</f>
        <v/>
      </c>
      <c r="Q84" s="184">
        <f>IFERROR((O84-P84),"N/A")</f>
        <v/>
      </c>
      <c r="R84" s="385">
        <f>IFERROR((O84-P84)/ABS(P84),"N/A")</f>
        <v/>
      </c>
      <c r="S84" s="184">
        <f>IFERROR((O84-N84),"N/A")</f>
        <v/>
      </c>
      <c r="T84" s="385">
        <f>IFERROR((O84-N84)/ABS(N84),"N/A")</f>
        <v/>
      </c>
    </row>
    <row r="85" outlineLevel="1" ht="12.75" customFormat="1" customHeight="1" s="30">
      <c r="A85" s="373">
        <f>$C$41&amp;" "&amp;C82&amp;" "&amp;C85&amp;" "&amp; $C$40</f>
        <v/>
      </c>
      <c r="B85" s="397" t="n"/>
      <c r="C85" s="436" t="inlineStr">
        <is>
          <t>COGs</t>
        </is>
      </c>
      <c r="D85" s="397" t="n"/>
      <c r="E85" s="396">
        <f>$D$9&amp;"</f>
        <v/>
      </c>
      <c r="F85" s="375" t="inlineStr">
        <is>
          <t>+</t>
        </is>
      </c>
      <c r="G85" s="399">
        <f>IF(G83=0,0,IFERROR(G86/G83,"N/A"))</f>
        <v/>
      </c>
      <c r="H85" s="399">
        <f>IF(H83=0,0,IFERROR(H86/H83,"N/A"))</f>
        <v/>
      </c>
      <c r="I85" s="399">
        <f>IF(I83=0,0,IFERROR(I86/I83,"N/A"))</f>
        <v/>
      </c>
      <c r="J85" s="400">
        <f>IFERROR((H85-I85),"N/A")</f>
        <v/>
      </c>
      <c r="K85" s="385">
        <f>IFERROR((H85-I85)/ABS(I85),"N/A")</f>
        <v/>
      </c>
      <c r="L85" s="400">
        <f>IFERROR((H85-G85),"N/A")</f>
        <v/>
      </c>
      <c r="M85" s="385">
        <f>IFERROR((H85-G85)/ABS(G85),"N/A")</f>
        <v/>
      </c>
      <c r="N85" s="399">
        <f>IF(N83=0,0,IFERROR(N86/N83,"N/A"))</f>
        <v/>
      </c>
      <c r="O85" s="399">
        <f>IF(O83=0,0,IFERROR(O86/O83,"N/A"))</f>
        <v/>
      </c>
      <c r="P85" s="399">
        <f>IF(P83=0,0,IFERROR(P86/P83,"N/A"))</f>
        <v/>
      </c>
      <c r="Q85" s="184">
        <f>IFERROR((O85-P85),"N/A")</f>
        <v/>
      </c>
      <c r="R85" s="385">
        <f>IFERROR((O85-P85)/ABS(P85),"N/A")</f>
        <v/>
      </c>
      <c r="S85" s="400">
        <f>IFERROR((O85-N85),"N/A")</f>
        <v/>
      </c>
      <c r="T85" s="385">
        <f>IFERROR((O85-N85)/ABS(N85),"N/A")</f>
        <v/>
      </c>
    </row>
    <row r="86" outlineLevel="1" ht="12.75" customFormat="1" customHeight="1" s="30">
      <c r="A86" s="373" t="n"/>
      <c r="B86" s="397" t="n"/>
      <c r="C86" s="436" t="inlineStr">
        <is>
          <t>Total COGs</t>
        </is>
      </c>
      <c r="D86" s="397" t="n"/>
      <c r="E86" s="396">
        <f>"thsd</f>
        <v/>
      </c>
      <c r="F86" s="375" t="inlineStr">
        <is>
          <t>+</t>
        </is>
      </c>
      <c r="G86" s="158" t="n"/>
      <c r="H86" s="158" t="n"/>
      <c r="I86" s="158" t="n"/>
      <c r="J86" s="400">
        <f>IFERROR((H86-I86),"N/A")</f>
        <v/>
      </c>
      <c r="K86" s="385">
        <f>IFERROR((H86-I86)/ABS(I86),"N/A")</f>
        <v/>
      </c>
      <c r="L86" s="400">
        <f>IFERROR((H86-G86),"N/A")</f>
        <v/>
      </c>
      <c r="M86" s="385">
        <f>IFERROR((H86-G86)/ABS(G86),"N/A")</f>
        <v/>
      </c>
      <c r="N86" s="158" t="n"/>
      <c r="O86" s="158" t="n"/>
      <c r="P86" s="158" t="n"/>
      <c r="Q86" s="184">
        <f>IFERROR((O86-P86),"N/A")</f>
        <v/>
      </c>
      <c r="R86" s="385">
        <f>IFERROR((O86-P86)/ABS(P86),"N/A")</f>
        <v/>
      </c>
      <c r="S86" s="400">
        <f>IFERROR((O86-N86),"N/A")</f>
        <v/>
      </c>
      <c r="T86" s="385">
        <f>IFERROR((O86-N86)/ABS(N86),"N/A")</f>
        <v/>
      </c>
    </row>
    <row r="87" outlineLevel="1" ht="12.75" customFormat="1" customHeight="1" s="30">
      <c r="A87" s="373">
        <f>$C$41&amp;" "&amp;C87&amp;" Revenue"&amp;" "&amp; $C$40</f>
        <v/>
      </c>
      <c r="B87" s="395" t="n"/>
      <c r="C87" s="407" t="inlineStr">
        <is>
          <t>Other (incl. sulphur, etc.)</t>
        </is>
      </c>
      <c r="D87" s="407" t="n"/>
      <c r="E87" s="396">
        <f>"thsd</f>
        <v/>
      </c>
      <c r="F87" s="375" t="inlineStr">
        <is>
          <t>+</t>
        </is>
      </c>
      <c r="G87" s="158" t="n"/>
      <c r="H87" s="158" t="n"/>
      <c r="I87" s="158" t="n"/>
      <c r="J87" s="184">
        <f>IFERROR((H87-I87),"N/A")</f>
        <v/>
      </c>
      <c r="K87" s="384">
        <f>IFERROR((H87-I87)/ABS(I87),"N/A")</f>
        <v/>
      </c>
      <c r="L87" s="184">
        <f>IFERROR((H87-G87),"N/A")</f>
        <v/>
      </c>
      <c r="M87" s="384">
        <f>IFERROR((H87-G87)/ABS(G87),"N/A")</f>
        <v/>
      </c>
      <c r="N87" s="158" t="n"/>
      <c r="O87" s="158" t="n"/>
      <c r="P87" s="158" t="n"/>
      <c r="Q87" s="184">
        <f>IFERROR((O87-P87),"N/A")</f>
        <v/>
      </c>
      <c r="R87" s="385">
        <f>IFERROR((O87-P87)/ABS(P87),"N/A")</f>
        <v/>
      </c>
      <c r="S87" s="184">
        <f>IFERROR((O87-N87),"N/A")</f>
        <v/>
      </c>
      <c r="T87" s="385">
        <f>IFERROR((O87-N87)/ABS(N87),"N/A")</f>
        <v/>
      </c>
    </row>
    <row r="88" outlineLevel="1" ht="12.75" customFormat="1" customHeight="1" s="30">
      <c r="A88" s="373">
        <f>$C$41&amp;" "&amp;C87&amp;" "&amp;C88&amp;" "&amp; $C$40</f>
        <v/>
      </c>
      <c r="B88" s="397" t="n"/>
      <c r="C88" s="397" t="inlineStr">
        <is>
          <t>Sales volume</t>
        </is>
      </c>
      <c r="D88" s="397" t="n"/>
      <c r="E88" s="396" t="inlineStr">
        <is>
          <t>thsd</t>
        </is>
      </c>
      <c r="F88" s="375" t="inlineStr">
        <is>
          <t>+</t>
        </is>
      </c>
      <c r="G88" s="158" t="n"/>
      <c r="H88" s="158" t="n"/>
      <c r="I88" s="158" t="n"/>
      <c r="J88" s="184">
        <f>IFERROR((H88-I88),"N/A")</f>
        <v/>
      </c>
      <c r="K88" s="384">
        <f>IFERROR((H88-I88)/ABS(I88),"N/A")</f>
        <v/>
      </c>
      <c r="L88" s="184">
        <f>IFERROR((H88-G88),"N/A")</f>
        <v/>
      </c>
      <c r="M88" s="384">
        <f>IFERROR((H88-G88)/ABS(G88),"N/A")</f>
        <v/>
      </c>
      <c r="N88" s="158" t="n"/>
      <c r="O88" s="158" t="n"/>
      <c r="P88" s="158" t="n"/>
      <c r="Q88" s="184">
        <f>IFERROR((O88-P88),"N/A")</f>
        <v/>
      </c>
      <c r="R88" s="385">
        <f>IFERROR((O88-P88)/ABS(P88),"N/A")</f>
        <v/>
      </c>
      <c r="S88" s="184">
        <f>IFERROR((O88-N88),"N/A")</f>
        <v/>
      </c>
      <c r="T88" s="385">
        <f>IFERROR((O88-N88)/ABS(N88),"N/A")</f>
        <v/>
      </c>
    </row>
    <row r="89" outlineLevel="1" ht="12.75" customFormat="1" customHeight="1" s="30">
      <c r="A89" s="373">
        <f>$C$41&amp;" "&amp;C87&amp;" "&amp;C89&amp;" "&amp; $C$40</f>
        <v/>
      </c>
      <c r="B89" s="397" t="n"/>
      <c r="C89" s="397" t="inlineStr">
        <is>
          <t>Price</t>
        </is>
      </c>
      <c r="D89" s="397" t="inlineStr">
        <is>
          <t>Qiyməti</t>
        </is>
      </c>
      <c r="E89" s="396">
        <f>$D$9&amp;"</f>
        <v/>
      </c>
      <c r="F89" s="375" t="inlineStr">
        <is>
          <t>+</t>
        </is>
      </c>
      <c r="G89" s="184">
        <f>IF(G88=0,0,IFERROR(G87/G88,"N/A"))</f>
        <v/>
      </c>
      <c r="H89" s="184">
        <f>IF(H88=0,0,IFERROR(H87/H88,"N/A"))</f>
        <v/>
      </c>
      <c r="I89" s="184">
        <f>IF(I88=0,0,IFERROR(I87/I88,"N/A"))</f>
        <v/>
      </c>
      <c r="J89" s="184">
        <f>IFERROR((H89-I89),"N/A")</f>
        <v/>
      </c>
      <c r="K89" s="384">
        <f>IFERROR((H89-I89)/ABS(I89),"N/A")</f>
        <v/>
      </c>
      <c r="L89" s="184">
        <f>IFERROR((H89-G89),"N/A")</f>
        <v/>
      </c>
      <c r="M89" s="384">
        <f>IFERROR((H89-G89)/ABS(G89),"N/A")</f>
        <v/>
      </c>
      <c r="N89" s="184">
        <f>IF(N88=0,0,IFERROR(N87/N88,"N/A"))</f>
        <v/>
      </c>
      <c r="O89" s="184">
        <f>IF(O88=0,0,IFERROR(O87/O88,"N/A"))</f>
        <v/>
      </c>
      <c r="P89" s="184">
        <f>IF(P88=0,0,IFERROR(P87/P88,"N/A"))</f>
        <v/>
      </c>
      <c r="Q89" s="184">
        <f>IFERROR((O89-P89),"N/A")</f>
        <v/>
      </c>
      <c r="R89" s="385">
        <f>IFERROR((O89-P89)/ABS(P89),"N/A")</f>
        <v/>
      </c>
      <c r="S89" s="184">
        <f>IFERROR((O89-N89),"N/A")</f>
        <v/>
      </c>
      <c r="T89" s="385">
        <f>IFERROR((O89-N89)/ABS(N89),"N/A")</f>
        <v/>
      </c>
    </row>
    <row r="90" outlineLevel="1" ht="12.75" customFormat="1" customHeight="1" s="30">
      <c r="A90" s="373">
        <f>$C$41&amp;" "&amp;C87&amp;" "&amp;C90&amp;" "&amp; $C$40</f>
        <v/>
      </c>
      <c r="B90" s="397" t="n"/>
      <c r="C90" s="436" t="inlineStr">
        <is>
          <t>COGs</t>
        </is>
      </c>
      <c r="D90" s="397" t="n"/>
      <c r="E90" s="396">
        <f>$D$9&amp;"</f>
        <v/>
      </c>
      <c r="F90" s="375" t="inlineStr">
        <is>
          <t>+</t>
        </is>
      </c>
      <c r="G90" s="399">
        <f>IF(G88=0,0,IFERROR(G91/G88,"N/A"))</f>
        <v/>
      </c>
      <c r="H90" s="399">
        <f>IF(H88=0,0,IFERROR(H91/H88,"N/A"))</f>
        <v/>
      </c>
      <c r="I90" s="399">
        <f>IF(I88=0,0,IFERROR(I91/I88,"N/A"))</f>
        <v/>
      </c>
      <c r="J90" s="400">
        <f>IFERROR((H90-I90),"N/A")</f>
        <v/>
      </c>
      <c r="K90" s="385">
        <f>IFERROR((H90-I90)/ABS(I90),"N/A")</f>
        <v/>
      </c>
      <c r="L90" s="400">
        <f>IFERROR((H90-G90),"N/A")</f>
        <v/>
      </c>
      <c r="M90" s="385">
        <f>IFERROR((H90-G90)/ABS(G90),"N/A")</f>
        <v/>
      </c>
      <c r="N90" s="399">
        <f>IF(N88=0,0,IFERROR(N91/N88,"N/A"))</f>
        <v/>
      </c>
      <c r="O90" s="399">
        <f>IF(O88=0,0,IFERROR(O91/O88,"N/A"))</f>
        <v/>
      </c>
      <c r="P90" s="399">
        <f>IF(P88=0,0,IFERROR(P91/P88,"N/A"))</f>
        <v/>
      </c>
      <c r="Q90" s="184">
        <f>IFERROR((O90-P90),"N/A")</f>
        <v/>
      </c>
      <c r="R90" s="385">
        <f>IFERROR((O90-P90)/ABS(P90),"N/A")</f>
        <v/>
      </c>
      <c r="S90" s="400">
        <f>IFERROR((O90-N90),"N/A")</f>
        <v/>
      </c>
      <c r="T90" s="385">
        <f>IFERROR((O90-N90)/ABS(N90),"N/A")</f>
        <v/>
      </c>
    </row>
    <row r="91" outlineLevel="1" ht="12.75" customFormat="1" customHeight="1" s="30">
      <c r="A91" s="373" t="n"/>
      <c r="B91" s="397" t="n"/>
      <c r="C91" s="436" t="inlineStr">
        <is>
          <t>Total COGs</t>
        </is>
      </c>
      <c r="D91" s="397" t="n"/>
      <c r="E91" s="396">
        <f>"thsd</f>
        <v/>
      </c>
      <c r="F91" s="375" t="inlineStr">
        <is>
          <t>+</t>
        </is>
      </c>
      <c r="G91" s="158" t="n"/>
      <c r="H91" s="158" t="n"/>
      <c r="I91" s="158" t="n"/>
      <c r="J91" s="400">
        <f>IFERROR((H91-I91),"N/A")</f>
        <v/>
      </c>
      <c r="K91" s="385">
        <f>IFERROR((H91-I91)/ABS(I91),"N/A")</f>
        <v/>
      </c>
      <c r="L91" s="400">
        <f>IFERROR((H91-G91),"N/A")</f>
        <v/>
      </c>
      <c r="M91" s="385">
        <f>IFERROR((H91-G91)/ABS(G91),"N/A")</f>
        <v/>
      </c>
      <c r="N91" s="158" t="n"/>
      <c r="O91" s="158" t="n"/>
      <c r="P91" s="158" t="n"/>
      <c r="Q91" s="184">
        <f>IFERROR((O91-P91),"N/A")</f>
        <v/>
      </c>
      <c r="R91" s="385">
        <f>IFERROR((O91-P91)/ABS(P91),"N/A")</f>
        <v/>
      </c>
      <c r="S91" s="400">
        <f>IFERROR((O91-N91),"N/A")</f>
        <v/>
      </c>
      <c r="T91" s="385">
        <f>IFERROR((O91-N91)/ABS(N91),"N/A")</f>
        <v/>
      </c>
    </row>
    <row r="92" outlineLevel="1" ht="25.35" customFormat="1" customHeight="1" s="30">
      <c r="A92" s="373" t="n"/>
      <c r="B92" s="401" t="n"/>
      <c r="C92" s="401" t="inlineStr">
        <is>
          <t>Overseas revenue (for Entity location)</t>
        </is>
      </c>
      <c r="D92" s="401" t="n"/>
      <c r="E92" s="402">
        <f>"thsd</f>
        <v/>
      </c>
      <c r="F92" s="375" t="inlineStr">
        <is>
          <t>+</t>
        </is>
      </c>
      <c r="G92" s="403">
        <f>SUM(G93,G98,G103,G108,G113,G118,G123,G128,G133,G138)</f>
        <v/>
      </c>
      <c r="H92" s="403">
        <f>SUM(H93,H98,H103,H108,H113,H118,H123,H128,H133,H138)</f>
        <v/>
      </c>
      <c r="I92" s="403">
        <f>SUM(I93,I98,I103,I108,I113,I118,I123,I128,I133,I138)</f>
        <v/>
      </c>
      <c r="J92" s="403">
        <f>IFERROR((H92-I92),"N/A")</f>
        <v/>
      </c>
      <c r="K92" s="404">
        <f>IFERROR((H92-I92)/ABS(I92),"N/A")</f>
        <v/>
      </c>
      <c r="L92" s="403">
        <f>IFERROR((H92-G92),"N/A")</f>
        <v/>
      </c>
      <c r="M92" s="404">
        <f>IFERROR((H92-G92)/ABS(G92),"N/A")</f>
        <v/>
      </c>
      <c r="N92" s="403">
        <f>SUM(N93,N98,N103,N108,N113,N118,N123,N128,N133,N138)</f>
        <v/>
      </c>
      <c r="O92" s="403">
        <f>SUM(O93,O98,O103,O108,O113,O118,O123,O128,O133,O138)</f>
        <v/>
      </c>
      <c r="P92" s="403">
        <f>SUM(P93,P98,P103,P108,P113,P118,P123,P128,P133,P138)</f>
        <v/>
      </c>
      <c r="Q92" s="403">
        <f>IFERROR((O92-P92),"N/A")</f>
        <v/>
      </c>
      <c r="R92" s="405">
        <f>IFERROR((O92-P92)/ABS(P92),"N/A")</f>
        <v/>
      </c>
      <c r="S92" s="403">
        <f>IFERROR((O92-N92),"N/A")</f>
        <v/>
      </c>
      <c r="T92" s="405">
        <f>IFERROR((O92-N92)/ABS(N92),"N/A")</f>
        <v/>
      </c>
    </row>
    <row r="93" outlineLevel="1" ht="12.75" customFormat="1" customHeight="1" s="30">
      <c r="A93" s="373">
        <f>$C$92&amp;" "&amp;C93&amp;" Revenue"&amp;" "&amp; $C$40</f>
        <v/>
      </c>
      <c r="B93" s="395" t="n"/>
      <c r="C93" s="395">
        <f>C42</f>
        <v/>
      </c>
      <c r="D93" s="395">
        <f>D42</f>
        <v/>
      </c>
      <c r="E93" s="396">
        <f>"thsd</f>
        <v/>
      </c>
      <c r="F93" s="375" t="inlineStr">
        <is>
          <t>+</t>
        </is>
      </c>
      <c r="G93" s="158" t="n"/>
      <c r="H93" s="158" t="n"/>
      <c r="I93" s="158" t="n"/>
      <c r="J93" s="184">
        <f>IFERROR((H93-I93),"N/A")</f>
        <v/>
      </c>
      <c r="K93" s="384">
        <f>IFERROR((H93-I93)/ABS(I93),"N/A")</f>
        <v/>
      </c>
      <c r="L93" s="184">
        <f>IFERROR((H93-G93),"N/A")</f>
        <v/>
      </c>
      <c r="M93" s="384">
        <f>IFERROR((H93-G93)/ABS(G93),"N/A")</f>
        <v/>
      </c>
      <c r="N93" s="158" t="n"/>
      <c r="O93" s="158" t="n"/>
      <c r="P93" s="158" t="n"/>
      <c r="Q93" s="184">
        <f>IFERROR((O93-P93),"N/A")</f>
        <v/>
      </c>
      <c r="R93" s="385">
        <f>IFERROR((O93-P93)/ABS(P93),"N/A")</f>
        <v/>
      </c>
      <c r="S93" s="184">
        <f>IFERROR((O93-N93),"N/A")</f>
        <v/>
      </c>
      <c r="T93" s="385">
        <f>IFERROR((O93-N93)/ABS(N93),"N/A")</f>
        <v/>
      </c>
    </row>
    <row r="94" outlineLevel="1" ht="12.75" customFormat="1" customHeight="1" s="30">
      <c r="A94" s="373">
        <f>$C$92&amp;" "&amp;C93&amp;" "&amp;C94&amp;" "&amp; $C$40</f>
        <v/>
      </c>
      <c r="B94" s="397" t="n"/>
      <c r="C94" s="397" t="inlineStr">
        <is>
          <t>Sales volume</t>
        </is>
      </c>
      <c r="D94" s="397" t="n"/>
      <c r="E94" s="396" t="inlineStr">
        <is>
          <t>thsd</t>
        </is>
      </c>
      <c r="F94" s="375" t="inlineStr">
        <is>
          <t>+</t>
        </is>
      </c>
      <c r="G94" s="158" t="n"/>
      <c r="H94" s="158" t="n"/>
      <c r="I94" s="158" t="n"/>
      <c r="J94" s="184">
        <f>IFERROR((H94-I94),"N/A")</f>
        <v/>
      </c>
      <c r="K94" s="384">
        <f>IFERROR((H94-I94)/ABS(I94),"N/A")</f>
        <v/>
      </c>
      <c r="L94" s="184">
        <f>IFERROR((H94-G94),"N/A")</f>
        <v/>
      </c>
      <c r="M94" s="384">
        <f>IFERROR((H94-G94)/ABS(G94),"N/A")</f>
        <v/>
      </c>
      <c r="N94" s="158" t="n"/>
      <c r="O94" s="158" t="n"/>
      <c r="P94" s="158" t="n"/>
      <c r="Q94" s="184">
        <f>IFERROR((O94-P94),"N/A")</f>
        <v/>
      </c>
      <c r="R94" s="385">
        <f>IFERROR((O94-P94)/ABS(P94),"N/A")</f>
        <v/>
      </c>
      <c r="S94" s="184">
        <f>IFERROR((O94-N94),"N/A")</f>
        <v/>
      </c>
      <c r="T94" s="385">
        <f>IFERROR((O94-N94)/ABS(N94),"N/A")</f>
        <v/>
      </c>
    </row>
    <row r="95" outlineLevel="1" ht="12.75" customFormat="1" customHeight="1" s="30">
      <c r="A95" s="373">
        <f>$C$92&amp;" "&amp;C93&amp;" "&amp;C95&amp;" "&amp; $C$40</f>
        <v/>
      </c>
      <c r="B95" s="397" t="n"/>
      <c r="C95" s="397" t="inlineStr">
        <is>
          <t>Price</t>
        </is>
      </c>
      <c r="D95" s="397" t="inlineStr">
        <is>
          <t>Qiyməti</t>
        </is>
      </c>
      <c r="E95" s="396">
        <f>$D$9&amp;"</f>
        <v/>
      </c>
      <c r="F95" s="375" t="inlineStr">
        <is>
          <t>+</t>
        </is>
      </c>
      <c r="G95" s="184">
        <f>IF(G94=0,0,IFERROR(G93/G94,"N/A"))</f>
        <v/>
      </c>
      <c r="H95" s="184">
        <f>IF(H94=0,0,IFERROR(H93/H94,"N/A"))</f>
        <v/>
      </c>
      <c r="I95" s="184">
        <f>IF(I94=0,0,IFERROR(I93/I94,"N/A"))</f>
        <v/>
      </c>
      <c r="J95" s="184">
        <f>IFERROR((H95-I95),"N/A")</f>
        <v/>
      </c>
      <c r="K95" s="384">
        <f>IFERROR((H95-I95)/ABS(I95),"N/A")</f>
        <v/>
      </c>
      <c r="L95" s="184">
        <f>IFERROR((H95-G95),"N/A")</f>
        <v/>
      </c>
      <c r="M95" s="384">
        <f>IFERROR((H95-G95)/ABS(G95),"N/A")</f>
        <v/>
      </c>
      <c r="N95" s="184">
        <f>IF(N94=0,0,IFERROR(N93/N94,"N/A"))</f>
        <v/>
      </c>
      <c r="O95" s="184">
        <f>IF(O94=0,0,IFERROR(O93/O94,"N/A"))</f>
        <v/>
      </c>
      <c r="P95" s="184">
        <f>IF(P94=0,0,IFERROR(P93/P94,"N/A"))</f>
        <v/>
      </c>
      <c r="Q95" s="184">
        <f>IFERROR((O95-P95),"N/A")</f>
        <v/>
      </c>
      <c r="R95" s="385">
        <f>IFERROR((O95-P95)/ABS(P95),"N/A")</f>
        <v/>
      </c>
      <c r="S95" s="184">
        <f>IFERROR((O95-N95),"N/A")</f>
        <v/>
      </c>
      <c r="T95" s="385">
        <f>IFERROR((O95-N95)/ABS(N95),"N/A")</f>
        <v/>
      </c>
    </row>
    <row r="96" outlineLevel="1" ht="12.75" customFormat="1" customHeight="1" s="30">
      <c r="A96" s="373">
        <f>$C$92&amp;" "&amp;C93&amp;" "&amp;C96&amp;" "&amp; $C$40</f>
        <v/>
      </c>
      <c r="B96" s="397" t="n"/>
      <c r="C96" s="436" t="inlineStr">
        <is>
          <t>COGs</t>
        </is>
      </c>
      <c r="D96" s="397" t="n"/>
      <c r="E96" s="396">
        <f>$D$9&amp;"</f>
        <v/>
      </c>
      <c r="F96" s="375" t="inlineStr">
        <is>
          <t>+</t>
        </is>
      </c>
      <c r="G96" s="399">
        <f>IF(G94=0,0,IFERROR(G97/G94,"N/A"))</f>
        <v/>
      </c>
      <c r="H96" s="399">
        <f>IF(H94=0,0,IFERROR(H97/H94,"N/A"))</f>
        <v/>
      </c>
      <c r="I96" s="399">
        <f>IF(I94=0,0,IFERROR(I97/I94,"N/A"))</f>
        <v/>
      </c>
      <c r="J96" s="400">
        <f>IFERROR((H96-I96),"N/A")</f>
        <v/>
      </c>
      <c r="K96" s="385">
        <f>IFERROR((H96-I96)/ABS(I96),"N/A")</f>
        <v/>
      </c>
      <c r="L96" s="400">
        <f>IFERROR((H96-G96),"N/A")</f>
        <v/>
      </c>
      <c r="M96" s="385">
        <f>IFERROR((H96-G96)/ABS(G96),"N/A")</f>
        <v/>
      </c>
      <c r="N96" s="399">
        <f>IF(N94=0,0,IFERROR(N97/N94,"N/A"))</f>
        <v/>
      </c>
      <c r="O96" s="399">
        <f>IF(O94=0,0,IFERROR(O97/O94,"N/A"))</f>
        <v/>
      </c>
      <c r="P96" s="399">
        <f>IF(P94=0,0,IFERROR(P97/P94,"N/A"))</f>
        <v/>
      </c>
      <c r="Q96" s="184">
        <f>IFERROR((O96-P96),"N/A")</f>
        <v/>
      </c>
      <c r="R96" s="385">
        <f>IFERROR((O96-P96)/ABS(P96),"N/A")</f>
        <v/>
      </c>
      <c r="S96" s="400">
        <f>IFERROR((O96-N96),"N/A")</f>
        <v/>
      </c>
      <c r="T96" s="385">
        <f>IFERROR((O96-N96)/ABS(N96),"N/A")</f>
        <v/>
      </c>
    </row>
    <row r="97" outlineLevel="1" ht="12.75" customFormat="1" customHeight="1" s="30">
      <c r="A97" s="373" t="n"/>
      <c r="B97" s="397" t="n"/>
      <c r="C97" s="436" t="inlineStr">
        <is>
          <t>Total COGs</t>
        </is>
      </c>
      <c r="D97" s="397" t="n"/>
      <c r="E97" s="396">
        <f>"thsd</f>
        <v/>
      </c>
      <c r="F97" s="375" t="inlineStr">
        <is>
          <t>+</t>
        </is>
      </c>
      <c r="G97" s="158" t="n"/>
      <c r="H97" s="158" t="n"/>
      <c r="I97" s="158" t="n"/>
      <c r="J97" s="400">
        <f>IFERROR((H97-I97),"N/A")</f>
        <v/>
      </c>
      <c r="K97" s="385">
        <f>IFERROR((H97-I97)/ABS(I97),"N/A")</f>
        <v/>
      </c>
      <c r="L97" s="400">
        <f>IFERROR((H97-G97),"N/A")</f>
        <v/>
      </c>
      <c r="M97" s="385">
        <f>IFERROR((H97-G97)/ABS(G97),"N/A")</f>
        <v/>
      </c>
      <c r="N97" s="158" t="n"/>
      <c r="O97" s="158" t="n"/>
      <c r="P97" s="158" t="n"/>
      <c r="Q97" s="184">
        <f>IFERROR((O97-P97),"N/A")</f>
        <v/>
      </c>
      <c r="R97" s="385">
        <f>IFERROR((O97-P97)/ABS(P97),"N/A")</f>
        <v/>
      </c>
      <c r="S97" s="400">
        <f>IFERROR((O97-N97),"N/A")</f>
        <v/>
      </c>
      <c r="T97" s="385">
        <f>IFERROR((O97-N97)/ABS(N97),"N/A")</f>
        <v/>
      </c>
    </row>
    <row r="98" outlineLevel="1" ht="12.75" customFormat="1" customHeight="1" s="30">
      <c r="A98" s="373">
        <f>$C$92&amp;" "&amp;C98&amp;" Revenue"&amp;" "&amp; $C$40</f>
        <v/>
      </c>
      <c r="B98" s="395" t="n"/>
      <c r="C98" s="395">
        <f>C47</f>
        <v/>
      </c>
      <c r="D98" s="395">
        <f>D47</f>
        <v/>
      </c>
      <c r="E98" s="396">
        <f>"thsd</f>
        <v/>
      </c>
      <c r="F98" s="375" t="inlineStr">
        <is>
          <t>+</t>
        </is>
      </c>
      <c r="G98" s="158" t="n"/>
      <c r="H98" s="158" t="n"/>
      <c r="I98" s="158" t="n"/>
      <c r="J98" s="184">
        <f>IFERROR((H98-I98),"N/A")</f>
        <v/>
      </c>
      <c r="K98" s="384">
        <f>IFERROR((H98-I98)/ABS(I98),"N/A")</f>
        <v/>
      </c>
      <c r="L98" s="184">
        <f>IFERROR((H98-G98),"N/A")</f>
        <v/>
      </c>
      <c r="M98" s="384">
        <f>IFERROR((H98-G98)/ABS(G98),"N/A")</f>
        <v/>
      </c>
      <c r="N98" s="158" t="n"/>
      <c r="O98" s="158" t="n"/>
      <c r="P98" s="158" t="n"/>
      <c r="Q98" s="184">
        <f>IFERROR((O98-P98),"N/A")</f>
        <v/>
      </c>
      <c r="R98" s="385">
        <f>IFERROR((O98-P98)/ABS(P98),"N/A")</f>
        <v/>
      </c>
      <c r="S98" s="184">
        <f>IFERROR((O98-N98),"N/A")</f>
        <v/>
      </c>
      <c r="T98" s="385">
        <f>IFERROR((O98-N98)/ABS(N98),"N/A")</f>
        <v/>
      </c>
    </row>
    <row r="99" outlineLevel="1" ht="12.75" customFormat="1" customHeight="1" s="30">
      <c r="A99" s="373">
        <f>$C$92&amp;" "&amp;C98&amp;" "&amp;C99&amp;" "&amp; $C$40</f>
        <v/>
      </c>
      <c r="B99" s="397" t="n"/>
      <c r="C99" s="397" t="inlineStr">
        <is>
          <t>Sales volume</t>
        </is>
      </c>
      <c r="D99" s="397" t="n"/>
      <c r="E99" s="396" t="inlineStr">
        <is>
          <t>thsd</t>
        </is>
      </c>
      <c r="F99" s="375" t="inlineStr">
        <is>
          <t>+</t>
        </is>
      </c>
      <c r="G99" s="158" t="n"/>
      <c r="H99" s="158" t="n"/>
      <c r="I99" s="158" t="n"/>
      <c r="J99" s="184">
        <f>IFERROR((H99-I99),"N/A")</f>
        <v/>
      </c>
      <c r="K99" s="384">
        <f>IFERROR((H99-I99)/ABS(I99),"N/A")</f>
        <v/>
      </c>
      <c r="L99" s="184">
        <f>IFERROR((H99-G99),"N/A")</f>
        <v/>
      </c>
      <c r="M99" s="384">
        <f>IFERROR((H99-G99)/ABS(G99),"N/A")</f>
        <v/>
      </c>
      <c r="N99" s="158" t="n"/>
      <c r="O99" s="158" t="n"/>
      <c r="P99" s="158" t="n"/>
      <c r="Q99" s="184">
        <f>IFERROR((O99-P99),"N/A")</f>
        <v/>
      </c>
      <c r="R99" s="385">
        <f>IFERROR((O99-P99)/ABS(P99),"N/A")</f>
        <v/>
      </c>
      <c r="S99" s="184">
        <f>IFERROR((O99-N99),"N/A")</f>
        <v/>
      </c>
      <c r="T99" s="385">
        <f>IFERROR((O99-N99)/ABS(N99),"N/A")</f>
        <v/>
      </c>
    </row>
    <row r="100" outlineLevel="1" ht="12.75" customFormat="1" customHeight="1" s="30">
      <c r="A100" s="373">
        <f>$C$92&amp;" "&amp;C98&amp;" "&amp;C100&amp;" "&amp; $C$40</f>
        <v/>
      </c>
      <c r="B100" s="397" t="n"/>
      <c r="C100" s="397" t="inlineStr">
        <is>
          <t>Price</t>
        </is>
      </c>
      <c r="D100" s="397" t="inlineStr">
        <is>
          <t>Qiyməti</t>
        </is>
      </c>
      <c r="E100" s="396">
        <f>$D$9&amp;"</f>
        <v/>
      </c>
      <c r="F100" s="375" t="inlineStr">
        <is>
          <t>+</t>
        </is>
      </c>
      <c r="G100" s="184">
        <f>IF(G99=0,0,IFERROR(G98/G99,"N/A"))</f>
        <v/>
      </c>
      <c r="H100" s="184">
        <f>IF(H99=0,0,IFERROR(H98/H99,"N/A"))</f>
        <v/>
      </c>
      <c r="I100" s="184">
        <f>IF(I99=0,0,IFERROR(I98/I99,"N/A"))</f>
        <v/>
      </c>
      <c r="J100" s="184">
        <f>IFERROR((H100-I100),"N/A")</f>
        <v/>
      </c>
      <c r="K100" s="384">
        <f>IFERROR((H100-I100)/ABS(I100),"N/A")</f>
        <v/>
      </c>
      <c r="L100" s="184">
        <f>IFERROR((H100-G100),"N/A")</f>
        <v/>
      </c>
      <c r="M100" s="384">
        <f>IFERROR((H100-G100)/ABS(G100),"N/A")</f>
        <v/>
      </c>
      <c r="N100" s="184">
        <f>IF(N99=0,0,IFERROR(N98/N99,"N/A"))</f>
        <v/>
      </c>
      <c r="O100" s="184">
        <f>IF(O99=0,0,IFERROR(O98/O99,"N/A"))</f>
        <v/>
      </c>
      <c r="P100" s="184">
        <f>IF(P99=0,0,IFERROR(P98/P99,"N/A"))</f>
        <v/>
      </c>
      <c r="Q100" s="184">
        <f>IFERROR((O100-P100),"N/A")</f>
        <v/>
      </c>
      <c r="R100" s="385">
        <f>IFERROR((O100-P100)/ABS(P100),"N/A")</f>
        <v/>
      </c>
      <c r="S100" s="184">
        <f>IFERROR((O100-N100),"N/A")</f>
        <v/>
      </c>
      <c r="T100" s="385">
        <f>IFERROR((O100-N100)/ABS(N100),"N/A")</f>
        <v/>
      </c>
    </row>
    <row r="101" outlineLevel="1" ht="12.75" customFormat="1" customHeight="1" s="30">
      <c r="A101" s="373">
        <f>$C$92&amp;" "&amp;C98&amp;" "&amp;C101&amp;" "&amp; $C$40</f>
        <v/>
      </c>
      <c r="B101" s="397" t="n"/>
      <c r="C101" s="436" t="inlineStr">
        <is>
          <t>COGs</t>
        </is>
      </c>
      <c r="D101" s="397" t="n"/>
      <c r="E101" s="396">
        <f>$D$9&amp;"</f>
        <v/>
      </c>
      <c r="F101" s="375" t="inlineStr">
        <is>
          <t>+</t>
        </is>
      </c>
      <c r="G101" s="399">
        <f>IF(G99=0,0,IFERROR(G102/G99,"N/A"))</f>
        <v/>
      </c>
      <c r="H101" s="399">
        <f>IF(H99=0,0,IFERROR(H102/H99,"N/A"))</f>
        <v/>
      </c>
      <c r="I101" s="399">
        <f>IF(I99=0,0,IFERROR(I102/I99,"N/A"))</f>
        <v/>
      </c>
      <c r="J101" s="400">
        <f>IFERROR((H101-I101),"N/A")</f>
        <v/>
      </c>
      <c r="K101" s="385">
        <f>IFERROR((H101-I101)/ABS(I101),"N/A")</f>
        <v/>
      </c>
      <c r="L101" s="400">
        <f>IFERROR((H101-G101),"N/A")</f>
        <v/>
      </c>
      <c r="M101" s="385">
        <f>IFERROR((H101-G101)/ABS(G101),"N/A")</f>
        <v/>
      </c>
      <c r="N101" s="399">
        <f>IF(N99=0,0,IFERROR(N102/N99,"N/A"))</f>
        <v/>
      </c>
      <c r="O101" s="399">
        <f>IF(O99=0,0,IFERROR(O102/O99,"N/A"))</f>
        <v/>
      </c>
      <c r="P101" s="399">
        <f>IF(P99=0,0,IFERROR(P102/P99,"N/A"))</f>
        <v/>
      </c>
      <c r="Q101" s="184">
        <f>IFERROR((O101-P101),"N/A")</f>
        <v/>
      </c>
      <c r="R101" s="385">
        <f>IFERROR((O101-P101)/ABS(P101),"N/A")</f>
        <v/>
      </c>
      <c r="S101" s="400">
        <f>IFERROR((O101-N101),"N/A")</f>
        <v/>
      </c>
      <c r="T101" s="385">
        <f>IFERROR((O101-N101)/ABS(N101),"N/A")</f>
        <v/>
      </c>
    </row>
    <row r="102" outlineLevel="1" ht="12.75" customFormat="1" customHeight="1" s="30">
      <c r="A102" s="373" t="n"/>
      <c r="B102" s="397" t="n"/>
      <c r="C102" s="436" t="inlineStr">
        <is>
          <t>Total COGs</t>
        </is>
      </c>
      <c r="D102" s="397" t="n"/>
      <c r="E102" s="396">
        <f>"thsd</f>
        <v/>
      </c>
      <c r="F102" s="375" t="inlineStr">
        <is>
          <t>+</t>
        </is>
      </c>
      <c r="G102" s="158" t="n"/>
      <c r="H102" s="158" t="n"/>
      <c r="I102" s="158" t="n"/>
      <c r="J102" s="400">
        <f>IFERROR((H102-I102),"N/A")</f>
        <v/>
      </c>
      <c r="K102" s="385">
        <f>IFERROR((H102-I102)/ABS(I102),"N/A")</f>
        <v/>
      </c>
      <c r="L102" s="400">
        <f>IFERROR((H102-G102),"N/A")</f>
        <v/>
      </c>
      <c r="M102" s="385">
        <f>IFERROR((H102-G102)/ABS(G102),"N/A")</f>
        <v/>
      </c>
      <c r="N102" s="158" t="n"/>
      <c r="O102" s="158" t="n"/>
      <c r="P102" s="158" t="n"/>
      <c r="Q102" s="184">
        <f>IFERROR((O102-P102),"N/A")</f>
        <v/>
      </c>
      <c r="R102" s="385">
        <f>IFERROR((O102-P102)/ABS(P102),"N/A")</f>
        <v/>
      </c>
      <c r="S102" s="400">
        <f>IFERROR((O102-N102),"N/A")</f>
        <v/>
      </c>
      <c r="T102" s="385">
        <f>IFERROR((O102-N102)/ABS(N102),"N/A")</f>
        <v/>
      </c>
    </row>
    <row r="103" outlineLevel="1" ht="12.75" customFormat="1" customHeight="1" s="30">
      <c r="A103" s="373">
        <f>$C$92&amp;" "&amp;C103&amp;" Revenue"&amp;" "&amp; $C$40</f>
        <v/>
      </c>
      <c r="B103" s="395" t="n"/>
      <c r="C103" s="395">
        <f>C52</f>
        <v/>
      </c>
      <c r="D103" s="395">
        <f>D52</f>
        <v/>
      </c>
      <c r="E103" s="396">
        <f>"thsd</f>
        <v/>
      </c>
      <c r="F103" s="375" t="inlineStr">
        <is>
          <t>+</t>
        </is>
      </c>
      <c r="G103" s="158" t="n"/>
      <c r="H103" s="158" t="n"/>
      <c r="I103" s="158" t="n"/>
      <c r="J103" s="184">
        <f>IFERROR((H103-I103),"N/A")</f>
        <v/>
      </c>
      <c r="K103" s="384">
        <f>IFERROR((H103-I103)/ABS(I103),"N/A")</f>
        <v/>
      </c>
      <c r="L103" s="184">
        <f>IFERROR((H103-G103),"N/A")</f>
        <v/>
      </c>
      <c r="M103" s="384">
        <f>IFERROR((H103-G103)/ABS(G103),"N/A")</f>
        <v/>
      </c>
      <c r="N103" s="158" t="n"/>
      <c r="O103" s="158" t="n"/>
      <c r="P103" s="158" t="n"/>
      <c r="Q103" s="184">
        <f>IFERROR((O103-P103),"N/A")</f>
        <v/>
      </c>
      <c r="R103" s="385">
        <f>IFERROR((O103-P103)/ABS(P103),"N/A")</f>
        <v/>
      </c>
      <c r="S103" s="184">
        <f>IFERROR((O103-N103),"N/A")</f>
        <v/>
      </c>
      <c r="T103" s="385">
        <f>IFERROR((O103-N103)/ABS(N103),"N/A")</f>
        <v/>
      </c>
    </row>
    <row r="104" outlineLevel="1" ht="12.75" customFormat="1" customHeight="1" s="30">
      <c r="A104" s="373">
        <f>$C$92&amp;" "&amp;C103&amp;" "&amp;C104&amp;" "&amp; $C$40</f>
        <v/>
      </c>
      <c r="B104" s="397" t="n"/>
      <c r="C104" s="397" t="inlineStr">
        <is>
          <t>Sales volume</t>
        </is>
      </c>
      <c r="D104" s="397" t="n"/>
      <c r="E104" s="396" t="inlineStr">
        <is>
          <t>thsd</t>
        </is>
      </c>
      <c r="F104" s="375" t="inlineStr">
        <is>
          <t>+</t>
        </is>
      </c>
      <c r="G104" s="158" t="n"/>
      <c r="H104" s="158" t="n"/>
      <c r="I104" s="158" t="n"/>
      <c r="J104" s="184">
        <f>IFERROR((H104-I104),"N/A")</f>
        <v/>
      </c>
      <c r="K104" s="384">
        <f>IFERROR((H104-I104)/ABS(I104),"N/A")</f>
        <v/>
      </c>
      <c r="L104" s="184">
        <f>IFERROR((H104-G104),"N/A")</f>
        <v/>
      </c>
      <c r="M104" s="384">
        <f>IFERROR((H104-G104)/ABS(G104),"N/A")</f>
        <v/>
      </c>
      <c r="N104" s="158" t="n"/>
      <c r="O104" s="158" t="n"/>
      <c r="P104" s="158" t="n"/>
      <c r="Q104" s="184">
        <f>IFERROR((O104-P104),"N/A")</f>
        <v/>
      </c>
      <c r="R104" s="385">
        <f>IFERROR((O104-P104)/ABS(P104),"N/A")</f>
        <v/>
      </c>
      <c r="S104" s="184">
        <f>IFERROR((O104-N104),"N/A")</f>
        <v/>
      </c>
      <c r="T104" s="385">
        <f>IFERROR((O104-N104)/ABS(N104),"N/A")</f>
        <v/>
      </c>
    </row>
    <row r="105" outlineLevel="1" ht="12.75" customFormat="1" customHeight="1" s="30">
      <c r="A105" s="373">
        <f>$C$92&amp;" "&amp;C103&amp;" "&amp;C105&amp;" "&amp; $C$40</f>
        <v/>
      </c>
      <c r="B105" s="397" t="n"/>
      <c r="C105" s="397" t="inlineStr">
        <is>
          <t>Price</t>
        </is>
      </c>
      <c r="D105" s="397" t="inlineStr">
        <is>
          <t>Qiyməti</t>
        </is>
      </c>
      <c r="E105" s="396">
        <f>$D$9&amp;"</f>
        <v/>
      </c>
      <c r="F105" s="375" t="inlineStr">
        <is>
          <t>+</t>
        </is>
      </c>
      <c r="G105" s="184">
        <f>IF(G104=0,0,IFERROR(G103/G104,"N/A"))</f>
        <v/>
      </c>
      <c r="H105" s="184">
        <f>IF(H104=0,0,IFERROR(H103/H104,"N/A"))</f>
        <v/>
      </c>
      <c r="I105" s="184">
        <f>IF(I104=0,0,IFERROR(I103/I104,"N/A"))</f>
        <v/>
      </c>
      <c r="J105" s="184">
        <f>IFERROR((H105-I105),"N/A")</f>
        <v/>
      </c>
      <c r="K105" s="384">
        <f>IFERROR((H105-I105)/ABS(I105),"N/A")</f>
        <v/>
      </c>
      <c r="L105" s="184">
        <f>IFERROR((H105-G105),"N/A")</f>
        <v/>
      </c>
      <c r="M105" s="384">
        <f>IFERROR((H105-G105)/ABS(G105),"N/A")</f>
        <v/>
      </c>
      <c r="N105" s="184">
        <f>IF(N104=0,0,IFERROR(N103/N104,"N/A"))</f>
        <v/>
      </c>
      <c r="O105" s="184">
        <f>IF(O104=0,0,IFERROR(O103/O104,"N/A"))</f>
        <v/>
      </c>
      <c r="P105" s="184">
        <f>IF(P104=0,0,IFERROR(P103/P104,"N/A"))</f>
        <v/>
      </c>
      <c r="Q105" s="184">
        <f>IFERROR((O105-P105),"N/A")</f>
        <v/>
      </c>
      <c r="R105" s="385">
        <f>IFERROR((O105-P105)/ABS(P105),"N/A")</f>
        <v/>
      </c>
      <c r="S105" s="184">
        <f>IFERROR((O105-N105),"N/A")</f>
        <v/>
      </c>
      <c r="T105" s="385">
        <f>IFERROR((O105-N105)/ABS(N105),"N/A")</f>
        <v/>
      </c>
    </row>
    <row r="106" outlineLevel="1" ht="12.75" customFormat="1" customHeight="1" s="30">
      <c r="A106" s="373">
        <f>$C$92&amp;" "&amp;C103&amp;" "&amp;C106&amp;" "&amp; $C$40</f>
        <v/>
      </c>
      <c r="B106" s="397" t="n"/>
      <c r="C106" s="436" t="inlineStr">
        <is>
          <t>COGs</t>
        </is>
      </c>
      <c r="D106" s="397" t="n"/>
      <c r="E106" s="396">
        <f>$D$9&amp;"</f>
        <v/>
      </c>
      <c r="F106" s="375" t="inlineStr">
        <is>
          <t>+</t>
        </is>
      </c>
      <c r="G106" s="399">
        <f>IF(G104=0,0,IFERROR(G107/G104,"N/A"))</f>
        <v/>
      </c>
      <c r="H106" s="399">
        <f>IF(H104=0,0,IFERROR(H107/H104,"N/A"))</f>
        <v/>
      </c>
      <c r="I106" s="399">
        <f>IF(I104=0,0,IFERROR(I107/I104,"N/A"))</f>
        <v/>
      </c>
      <c r="J106" s="400">
        <f>IFERROR((H106-I106),"N/A")</f>
        <v/>
      </c>
      <c r="K106" s="385">
        <f>IFERROR((H106-I106)/ABS(I106),"N/A")</f>
        <v/>
      </c>
      <c r="L106" s="400">
        <f>IFERROR((H106-G106),"N/A")</f>
        <v/>
      </c>
      <c r="M106" s="385">
        <f>IFERROR((H106-G106)/ABS(G106),"N/A")</f>
        <v/>
      </c>
      <c r="N106" s="399">
        <f>IF(N104=0,0,IFERROR(N107/N104,"N/A"))</f>
        <v/>
      </c>
      <c r="O106" s="399">
        <f>IF(O104=0,0,IFERROR(O107/O104,"N/A"))</f>
        <v/>
      </c>
      <c r="P106" s="399">
        <f>IF(P104=0,0,IFERROR(P107/P104,"N/A"))</f>
        <v/>
      </c>
      <c r="Q106" s="184">
        <f>IFERROR((O106-P106),"N/A")</f>
        <v/>
      </c>
      <c r="R106" s="385">
        <f>IFERROR((O106-P106)/ABS(P106),"N/A")</f>
        <v/>
      </c>
      <c r="S106" s="400">
        <f>IFERROR((O106-N106),"N/A")</f>
        <v/>
      </c>
      <c r="T106" s="385">
        <f>IFERROR((O106-N106)/ABS(N106),"N/A")</f>
        <v/>
      </c>
    </row>
    <row r="107" outlineLevel="1" ht="12.75" customFormat="1" customHeight="1" s="30">
      <c r="A107" s="373" t="n"/>
      <c r="B107" s="397" t="n"/>
      <c r="C107" s="436" t="inlineStr">
        <is>
          <t>Total COGs</t>
        </is>
      </c>
      <c r="D107" s="397" t="n"/>
      <c r="E107" s="396">
        <f>"thsd</f>
        <v/>
      </c>
      <c r="F107" s="375" t="inlineStr">
        <is>
          <t>+</t>
        </is>
      </c>
      <c r="G107" s="158" t="n"/>
      <c r="H107" s="158" t="n"/>
      <c r="I107" s="158" t="n"/>
      <c r="J107" s="400">
        <f>IFERROR((H107-I107),"N/A")</f>
        <v/>
      </c>
      <c r="K107" s="385">
        <f>IFERROR((H107-I107)/ABS(I107),"N/A")</f>
        <v/>
      </c>
      <c r="L107" s="400">
        <f>IFERROR((H107-G107),"N/A")</f>
        <v/>
      </c>
      <c r="M107" s="385">
        <f>IFERROR((H107-G107)/ABS(G107),"N/A")</f>
        <v/>
      </c>
      <c r="N107" s="158" t="n"/>
      <c r="O107" s="158" t="n"/>
      <c r="P107" s="158" t="n"/>
      <c r="Q107" s="184">
        <f>IFERROR((O107-P107),"N/A")</f>
        <v/>
      </c>
      <c r="R107" s="385">
        <f>IFERROR((O107-P107)/ABS(P107),"N/A")</f>
        <v/>
      </c>
      <c r="S107" s="400">
        <f>IFERROR((O107-N107),"N/A")</f>
        <v/>
      </c>
      <c r="T107" s="385">
        <f>IFERROR((O107-N107)/ABS(N107),"N/A")</f>
        <v/>
      </c>
    </row>
    <row r="108" outlineLevel="1" ht="25.5" customFormat="1" customHeight="1" s="30">
      <c r="A108" s="373">
        <f>$C$92&amp;" "&amp;C108&amp;" Revenue"&amp;" "&amp; $C$40</f>
        <v/>
      </c>
      <c r="B108" s="395" t="n"/>
      <c r="C108" s="395">
        <f>C57</f>
        <v/>
      </c>
      <c r="D108" s="395">
        <f>D57</f>
        <v/>
      </c>
      <c r="E108" s="396">
        <f>"thsd</f>
        <v/>
      </c>
      <c r="F108" s="375" t="inlineStr">
        <is>
          <t>+</t>
        </is>
      </c>
      <c r="G108" s="158" t="n"/>
      <c r="H108" s="158" t="n"/>
      <c r="I108" s="158" t="n"/>
      <c r="J108" s="184">
        <f>IFERROR((H108-I108),"N/A")</f>
        <v/>
      </c>
      <c r="K108" s="384">
        <f>IFERROR((H108-I108)/ABS(I108),"N/A")</f>
        <v/>
      </c>
      <c r="L108" s="184">
        <f>IFERROR((H108-G108),"N/A")</f>
        <v/>
      </c>
      <c r="M108" s="384">
        <f>IFERROR((H108-G108)/ABS(G108),"N/A")</f>
        <v/>
      </c>
      <c r="N108" s="158" t="n"/>
      <c r="O108" s="158" t="n"/>
      <c r="P108" s="158" t="n"/>
      <c r="Q108" s="184">
        <f>IFERROR((O108-P108),"N/A")</f>
        <v/>
      </c>
      <c r="R108" s="385">
        <f>IFERROR((O108-P108)/ABS(P108),"N/A")</f>
        <v/>
      </c>
      <c r="S108" s="184">
        <f>IFERROR((O108-N108),"N/A")</f>
        <v/>
      </c>
      <c r="T108" s="385">
        <f>IFERROR((O108-N108)/ABS(N108),"N/A")</f>
        <v/>
      </c>
    </row>
    <row r="109" outlineLevel="1" ht="12.75" customFormat="1" customHeight="1" s="30">
      <c r="A109" s="373">
        <f>$C$92&amp;" "&amp;C108&amp;" "&amp;C109&amp;" "&amp; $C$40</f>
        <v/>
      </c>
      <c r="B109" s="397" t="n"/>
      <c r="C109" s="397" t="inlineStr">
        <is>
          <t>Sales volume</t>
        </is>
      </c>
      <c r="D109" s="397" t="n"/>
      <c r="E109" s="396" t="inlineStr">
        <is>
          <t>thsd</t>
        </is>
      </c>
      <c r="F109" s="375" t="inlineStr">
        <is>
          <t>+</t>
        </is>
      </c>
      <c r="G109" s="158" t="n"/>
      <c r="H109" s="158" t="n"/>
      <c r="I109" s="158" t="n"/>
      <c r="J109" s="184">
        <f>IFERROR((H109-I109),"N/A")</f>
        <v/>
      </c>
      <c r="K109" s="384">
        <f>IFERROR((H109-I109)/ABS(I109),"N/A")</f>
        <v/>
      </c>
      <c r="L109" s="184">
        <f>IFERROR((H109-G109),"N/A")</f>
        <v/>
      </c>
      <c r="M109" s="384">
        <f>IFERROR((H109-G109)/ABS(G109),"N/A")</f>
        <v/>
      </c>
      <c r="N109" s="158" t="n"/>
      <c r="O109" s="158" t="n"/>
      <c r="P109" s="158" t="n"/>
      <c r="Q109" s="184">
        <f>IFERROR((O109-P109),"N/A")</f>
        <v/>
      </c>
      <c r="R109" s="385">
        <f>IFERROR((O109-P109)/ABS(P109),"N/A")</f>
        <v/>
      </c>
      <c r="S109" s="184">
        <f>IFERROR((O109-N109),"N/A")</f>
        <v/>
      </c>
      <c r="T109" s="385">
        <f>IFERROR((O109-N109)/ABS(N109),"N/A")</f>
        <v/>
      </c>
    </row>
    <row r="110" outlineLevel="1" ht="12.75" customFormat="1" customHeight="1" s="30">
      <c r="A110" s="373">
        <f>$C$92&amp;" "&amp;C108&amp;" "&amp;C110&amp;" "&amp; $C$40</f>
        <v/>
      </c>
      <c r="B110" s="397" t="n"/>
      <c r="C110" s="397" t="inlineStr">
        <is>
          <t>Price</t>
        </is>
      </c>
      <c r="D110" s="397" t="inlineStr">
        <is>
          <t>Qiyməti</t>
        </is>
      </c>
      <c r="E110" s="396">
        <f>$D$9&amp;"</f>
        <v/>
      </c>
      <c r="F110" s="375" t="inlineStr">
        <is>
          <t>+</t>
        </is>
      </c>
      <c r="G110" s="184">
        <f>IF(G109=0,0,IFERROR(G108/G109,"N/A"))</f>
        <v/>
      </c>
      <c r="H110" s="184">
        <f>IF(H109=0,0,IFERROR(H108/H109,"N/A"))</f>
        <v/>
      </c>
      <c r="I110" s="184">
        <f>IF(I109=0,0,IFERROR(I108/I109,"N/A"))</f>
        <v/>
      </c>
      <c r="J110" s="184">
        <f>IFERROR((H110-I110),"N/A")</f>
        <v/>
      </c>
      <c r="K110" s="384">
        <f>IFERROR((H110-I110)/ABS(I110),"N/A")</f>
        <v/>
      </c>
      <c r="L110" s="184">
        <f>IFERROR((H110-G110),"N/A")</f>
        <v/>
      </c>
      <c r="M110" s="384">
        <f>IFERROR((H110-G110)/ABS(G110),"N/A")</f>
        <v/>
      </c>
      <c r="N110" s="184">
        <f>IF(N109=0,0,IFERROR(N108/N109,"N/A"))</f>
        <v/>
      </c>
      <c r="O110" s="184">
        <f>IF(O109=0,0,IFERROR(O108/O109,"N/A"))</f>
        <v/>
      </c>
      <c r="P110" s="184">
        <f>IF(P109=0,0,IFERROR(P108/P109,"N/A"))</f>
        <v/>
      </c>
      <c r="Q110" s="184">
        <f>IFERROR((O110-P110),"N/A")</f>
        <v/>
      </c>
      <c r="R110" s="385">
        <f>IFERROR((O110-P110)/ABS(P110),"N/A")</f>
        <v/>
      </c>
      <c r="S110" s="184">
        <f>IFERROR((O110-N110),"N/A")</f>
        <v/>
      </c>
      <c r="T110" s="385">
        <f>IFERROR((O110-N110)/ABS(N110),"N/A")</f>
        <v/>
      </c>
    </row>
    <row r="111" outlineLevel="1" ht="12.75" customFormat="1" customHeight="1" s="30">
      <c r="A111" s="373">
        <f>$C$92&amp;" "&amp;C108&amp;" "&amp;C111&amp;" "&amp; $C$40</f>
        <v/>
      </c>
      <c r="B111" s="397" t="n"/>
      <c r="C111" s="436" t="inlineStr">
        <is>
          <t>COGs</t>
        </is>
      </c>
      <c r="D111" s="397" t="n"/>
      <c r="E111" s="396">
        <f>$D$9&amp;"</f>
        <v/>
      </c>
      <c r="F111" s="375" t="inlineStr">
        <is>
          <t>+</t>
        </is>
      </c>
      <c r="G111" s="399">
        <f>IF(G109=0,0,IFERROR(G112/G109,"N/A"))</f>
        <v/>
      </c>
      <c r="H111" s="399">
        <f>IF(H109=0,0,IFERROR(H112/H109,"N/A"))</f>
        <v/>
      </c>
      <c r="I111" s="399">
        <f>IF(I109=0,0,IFERROR(I112/I109,"N/A"))</f>
        <v/>
      </c>
      <c r="J111" s="400">
        <f>IFERROR((H111-I111),"N/A")</f>
        <v/>
      </c>
      <c r="K111" s="385">
        <f>IFERROR((H111-I111)/ABS(I111),"N/A")</f>
        <v/>
      </c>
      <c r="L111" s="400">
        <f>IFERROR((H111-G111),"N/A")</f>
        <v/>
      </c>
      <c r="M111" s="385">
        <f>IFERROR((H111-G111)/ABS(G111),"N/A")</f>
        <v/>
      </c>
      <c r="N111" s="399">
        <f>IF(N109=0,0,IFERROR(N112/N109,"N/A"))</f>
        <v/>
      </c>
      <c r="O111" s="399">
        <f>IF(O109=0,0,IFERROR(O112/O109,"N/A"))</f>
        <v/>
      </c>
      <c r="P111" s="399">
        <f>IF(P109=0,0,IFERROR(P112/P109,"N/A"))</f>
        <v/>
      </c>
      <c r="Q111" s="184">
        <f>IFERROR((O111-P111),"N/A")</f>
        <v/>
      </c>
      <c r="R111" s="385">
        <f>IFERROR((O111-P111)/ABS(P111),"N/A")</f>
        <v/>
      </c>
      <c r="S111" s="400">
        <f>IFERROR((O111-N111),"N/A")</f>
        <v/>
      </c>
      <c r="T111" s="385">
        <f>IFERROR((O111-N111)/ABS(N111),"N/A")</f>
        <v/>
      </c>
    </row>
    <row r="112" outlineLevel="1" ht="12.75" customFormat="1" customHeight="1" s="30">
      <c r="A112" s="373" t="n"/>
      <c r="B112" s="397" t="n"/>
      <c r="C112" s="436" t="inlineStr">
        <is>
          <t>Total COGs</t>
        </is>
      </c>
      <c r="D112" s="397" t="n"/>
      <c r="E112" s="396">
        <f>"thsd</f>
        <v/>
      </c>
      <c r="F112" s="375" t="inlineStr">
        <is>
          <t>+</t>
        </is>
      </c>
      <c r="G112" s="158" t="n"/>
      <c r="H112" s="158" t="n"/>
      <c r="I112" s="158" t="n"/>
      <c r="J112" s="400">
        <f>IFERROR((H112-I112),"N/A")</f>
        <v/>
      </c>
      <c r="K112" s="385">
        <f>IFERROR((H112-I112)/ABS(I112),"N/A")</f>
        <v/>
      </c>
      <c r="L112" s="400">
        <f>IFERROR((H112-G112),"N/A")</f>
        <v/>
      </c>
      <c r="M112" s="385">
        <f>IFERROR((H112-G112)/ABS(G112),"N/A")</f>
        <v/>
      </c>
      <c r="N112" s="158" t="n"/>
      <c r="O112" s="158" t="n"/>
      <c r="P112" s="158" t="n"/>
      <c r="Q112" s="184">
        <f>IFERROR((O112-P112),"N/A")</f>
        <v/>
      </c>
      <c r="R112" s="385">
        <f>IFERROR((O112-P112)/ABS(P112),"N/A")</f>
        <v/>
      </c>
      <c r="S112" s="400">
        <f>IFERROR((O112-N112),"N/A")</f>
        <v/>
      </c>
      <c r="T112" s="385">
        <f>IFERROR((O112-N112)/ABS(N112),"N/A")</f>
        <v/>
      </c>
    </row>
    <row r="113" outlineLevel="1" ht="12.75" customFormat="1" customHeight="1" s="30">
      <c r="A113" s="373">
        <f>$C$92&amp;" "&amp;C113&amp;" Revenue"&amp;" "&amp; $C$40</f>
        <v/>
      </c>
      <c r="B113" s="395" t="n"/>
      <c r="C113" s="395">
        <f>C62</f>
        <v/>
      </c>
      <c r="D113" s="395">
        <f>D62</f>
        <v/>
      </c>
      <c r="E113" s="396">
        <f>"thsd</f>
        <v/>
      </c>
      <c r="F113" s="375" t="inlineStr">
        <is>
          <t>+</t>
        </is>
      </c>
      <c r="G113" s="158" t="n"/>
      <c r="H113" s="158" t="n"/>
      <c r="I113" s="158" t="n"/>
      <c r="J113" s="184">
        <f>IFERROR((H113-I113),"N/A")</f>
        <v/>
      </c>
      <c r="K113" s="384">
        <f>IFERROR((H113-I113)/ABS(I113),"N/A")</f>
        <v/>
      </c>
      <c r="L113" s="184">
        <f>IFERROR((H113-G113),"N/A")</f>
        <v/>
      </c>
      <c r="M113" s="384">
        <f>IFERROR((H113-G113)/ABS(G113),"N/A")</f>
        <v/>
      </c>
      <c r="N113" s="158" t="n"/>
      <c r="O113" s="158" t="n"/>
      <c r="P113" s="158" t="n"/>
      <c r="Q113" s="184">
        <f>IFERROR((O113-P113),"N/A")</f>
        <v/>
      </c>
      <c r="R113" s="385">
        <f>IFERROR((O113-P113)/ABS(P113),"N/A")</f>
        <v/>
      </c>
      <c r="S113" s="184">
        <f>IFERROR((O113-N113),"N/A")</f>
        <v/>
      </c>
      <c r="T113" s="385">
        <f>IFERROR((O113-N113)/ABS(N113),"N/A")</f>
        <v/>
      </c>
    </row>
    <row r="114" outlineLevel="1" ht="12.75" customFormat="1" customHeight="1" s="30">
      <c r="A114" s="373">
        <f>$C$92&amp;" "&amp;C113&amp;" "&amp;C114&amp;" "&amp; $C$40</f>
        <v/>
      </c>
      <c r="B114" s="397" t="n"/>
      <c r="C114" s="397" t="inlineStr">
        <is>
          <t>Sales volume</t>
        </is>
      </c>
      <c r="D114" s="397" t="n"/>
      <c r="E114" s="396" t="inlineStr">
        <is>
          <t>thsd</t>
        </is>
      </c>
      <c r="F114" s="375" t="inlineStr">
        <is>
          <t>+</t>
        </is>
      </c>
      <c r="G114" s="158" t="n"/>
      <c r="H114" s="158" t="n"/>
      <c r="I114" s="158" t="n"/>
      <c r="J114" s="184">
        <f>IFERROR((H114-I114),"N/A")</f>
        <v/>
      </c>
      <c r="K114" s="384">
        <f>IFERROR((H114-I114)/ABS(I114),"N/A")</f>
        <v/>
      </c>
      <c r="L114" s="184">
        <f>IFERROR((H114-G114),"N/A")</f>
        <v/>
      </c>
      <c r="M114" s="384">
        <f>IFERROR((H114-G114)/ABS(G114),"N/A")</f>
        <v/>
      </c>
      <c r="N114" s="158" t="n"/>
      <c r="O114" s="158" t="n"/>
      <c r="P114" s="158" t="n"/>
      <c r="Q114" s="184">
        <f>IFERROR((O114-P114),"N/A")</f>
        <v/>
      </c>
      <c r="R114" s="385">
        <f>IFERROR((O114-P114)/ABS(P114),"N/A")</f>
        <v/>
      </c>
      <c r="S114" s="184">
        <f>IFERROR((O114-N114),"N/A")</f>
        <v/>
      </c>
      <c r="T114" s="385">
        <f>IFERROR((O114-N114)/ABS(N114),"N/A")</f>
        <v/>
      </c>
    </row>
    <row r="115" outlineLevel="1" ht="12.75" customFormat="1" customHeight="1" s="30">
      <c r="A115" s="373">
        <f>$C$92&amp;" "&amp;C113&amp;" "&amp;C115&amp;" "&amp; $C$40</f>
        <v/>
      </c>
      <c r="B115" s="397" t="n"/>
      <c r="C115" s="397" t="inlineStr">
        <is>
          <t>Price</t>
        </is>
      </c>
      <c r="D115" s="397" t="inlineStr">
        <is>
          <t>Qiyməti</t>
        </is>
      </c>
      <c r="E115" s="396">
        <f>$D$9&amp;"</f>
        <v/>
      </c>
      <c r="F115" s="375" t="inlineStr">
        <is>
          <t>+</t>
        </is>
      </c>
      <c r="G115" s="184">
        <f>IF(G114=0,0,IFERROR(G113/G114,"N/A"))</f>
        <v/>
      </c>
      <c r="H115" s="184">
        <f>IF(H114=0,0,IFERROR(H113/H114,"N/A"))</f>
        <v/>
      </c>
      <c r="I115" s="184">
        <f>IF(I114=0,0,IFERROR(I113/I114,"N/A"))</f>
        <v/>
      </c>
      <c r="J115" s="184">
        <f>IFERROR((H115-I115),"N/A")</f>
        <v/>
      </c>
      <c r="K115" s="384">
        <f>IFERROR((H115-I115)/ABS(I115),"N/A")</f>
        <v/>
      </c>
      <c r="L115" s="184">
        <f>IFERROR((H115-G115),"N/A")</f>
        <v/>
      </c>
      <c r="M115" s="384">
        <f>IFERROR((H115-G115)/ABS(G115),"N/A")</f>
        <v/>
      </c>
      <c r="N115" s="184">
        <f>IF(N114=0,0,IFERROR(N113/N114,"N/A"))</f>
        <v/>
      </c>
      <c r="O115" s="184">
        <f>IF(O114=0,0,IFERROR(O113/O114,"N/A"))</f>
        <v/>
      </c>
      <c r="P115" s="184">
        <f>IF(P114=0,0,IFERROR(P113/P114,"N/A"))</f>
        <v/>
      </c>
      <c r="Q115" s="184">
        <f>IFERROR((O115-P115),"N/A")</f>
        <v/>
      </c>
      <c r="R115" s="385">
        <f>IFERROR((O115-P115)/ABS(P115),"N/A")</f>
        <v/>
      </c>
      <c r="S115" s="184">
        <f>IFERROR((O115-N115),"N/A")</f>
        <v/>
      </c>
      <c r="T115" s="385">
        <f>IFERROR((O115-N115)/ABS(N115),"N/A")</f>
        <v/>
      </c>
    </row>
    <row r="116" outlineLevel="1" ht="12.75" customFormat="1" customHeight="1" s="30">
      <c r="A116" s="373">
        <f>$C$92&amp;" "&amp;C113&amp;" "&amp;C116&amp;" "&amp; $C$40</f>
        <v/>
      </c>
      <c r="B116" s="397" t="n"/>
      <c r="C116" s="436" t="inlineStr">
        <is>
          <t>COGs</t>
        </is>
      </c>
      <c r="D116" s="397" t="n"/>
      <c r="E116" s="396">
        <f>$D$9&amp;"</f>
        <v/>
      </c>
      <c r="F116" s="375" t="inlineStr">
        <is>
          <t>+</t>
        </is>
      </c>
      <c r="G116" s="399">
        <f>IF(G114=0,0,IFERROR(G117/G114,"N/A"))</f>
        <v/>
      </c>
      <c r="H116" s="399">
        <f>IF(H114=0,0,IFERROR(H117/H114,"N/A"))</f>
        <v/>
      </c>
      <c r="I116" s="399">
        <f>IF(I114=0,0,IFERROR(I117/I114,"N/A"))</f>
        <v/>
      </c>
      <c r="J116" s="400">
        <f>IFERROR((H116-I116),"N/A")</f>
        <v/>
      </c>
      <c r="K116" s="385">
        <f>IFERROR((H116-I116)/ABS(I116),"N/A")</f>
        <v/>
      </c>
      <c r="L116" s="400">
        <f>IFERROR((H116-G116),"N/A")</f>
        <v/>
      </c>
      <c r="M116" s="385">
        <f>IFERROR((H116-G116)/ABS(G116),"N/A")</f>
        <v/>
      </c>
      <c r="N116" s="399">
        <f>IF(N114=0,0,IFERROR(N117/N114,"N/A"))</f>
        <v/>
      </c>
      <c r="O116" s="399">
        <f>IF(O114=0,0,IFERROR(O117/O114,"N/A"))</f>
        <v/>
      </c>
      <c r="P116" s="399">
        <f>IF(P114=0,0,IFERROR(P117/P114,"N/A"))</f>
        <v/>
      </c>
      <c r="Q116" s="184">
        <f>IFERROR((O116-P116),"N/A")</f>
        <v/>
      </c>
      <c r="R116" s="385">
        <f>IFERROR((O116-P116)/ABS(P116),"N/A")</f>
        <v/>
      </c>
      <c r="S116" s="400">
        <f>IFERROR((O116-N116),"N/A")</f>
        <v/>
      </c>
      <c r="T116" s="385">
        <f>IFERROR((O116-N116)/ABS(N116),"N/A")</f>
        <v/>
      </c>
    </row>
    <row r="117" outlineLevel="1" ht="12.75" customFormat="1" customHeight="1" s="30">
      <c r="A117" s="373" t="n"/>
      <c r="B117" s="397" t="n"/>
      <c r="C117" s="436" t="inlineStr">
        <is>
          <t>Total COGs</t>
        </is>
      </c>
      <c r="D117" s="397" t="n"/>
      <c r="E117" s="396">
        <f>"thsd</f>
        <v/>
      </c>
      <c r="F117" s="375" t="inlineStr">
        <is>
          <t>+</t>
        </is>
      </c>
      <c r="G117" s="158" t="n"/>
      <c r="H117" s="158" t="n"/>
      <c r="I117" s="158" t="n"/>
      <c r="J117" s="400">
        <f>IFERROR((H117-I117),"N/A")</f>
        <v/>
      </c>
      <c r="K117" s="385">
        <f>IFERROR((H117-I117)/ABS(I117),"N/A")</f>
        <v/>
      </c>
      <c r="L117" s="400">
        <f>IFERROR((H117-G117),"N/A")</f>
        <v/>
      </c>
      <c r="M117" s="385">
        <f>IFERROR((H117-G117)/ABS(G117),"N/A")</f>
        <v/>
      </c>
      <c r="N117" s="158" t="n"/>
      <c r="O117" s="158" t="n"/>
      <c r="P117" s="158" t="n"/>
      <c r="Q117" s="184">
        <f>IFERROR((O117-P117),"N/A")</f>
        <v/>
      </c>
      <c r="R117" s="385">
        <f>IFERROR((O117-P117)/ABS(P117),"N/A")</f>
        <v/>
      </c>
      <c r="S117" s="400">
        <f>IFERROR((O117-N117),"N/A")</f>
        <v/>
      </c>
      <c r="T117" s="385">
        <f>IFERROR((O117-N117)/ABS(N117),"N/A")</f>
        <v/>
      </c>
    </row>
    <row r="118" outlineLevel="1" ht="12.75" customFormat="1" customHeight="1" s="30">
      <c r="A118" s="373">
        <f>$C$92&amp;" "&amp;C118&amp;" Revenue"&amp;" "&amp; $C$40</f>
        <v/>
      </c>
      <c r="B118" s="887" t="n"/>
      <c r="C118" s="887">
        <f>C67</f>
        <v/>
      </c>
      <c r="D118" s="887">
        <f>D67</f>
        <v/>
      </c>
      <c r="E118" s="396">
        <f>"thsd</f>
        <v/>
      </c>
      <c r="F118" s="375" t="inlineStr">
        <is>
          <t>+</t>
        </is>
      </c>
      <c r="G118" s="158" t="n"/>
      <c r="H118" s="158" t="n"/>
      <c r="I118" s="158" t="n"/>
      <c r="J118" s="184">
        <f>IFERROR((H118-I118),"N/A")</f>
        <v/>
      </c>
      <c r="K118" s="384">
        <f>IFERROR((H118-I118)/ABS(I118),"N/A")</f>
        <v/>
      </c>
      <c r="L118" s="184">
        <f>IFERROR((H118-G118),"N/A")</f>
        <v/>
      </c>
      <c r="M118" s="384">
        <f>IFERROR((H118-G118)/ABS(G118),"N/A")</f>
        <v/>
      </c>
      <c r="N118" s="158" t="n"/>
      <c r="O118" s="158" t="n"/>
      <c r="P118" s="158" t="n"/>
      <c r="Q118" s="184">
        <f>IFERROR((O118-P118),"N/A")</f>
        <v/>
      </c>
      <c r="R118" s="385">
        <f>IFERROR((O118-P118)/ABS(P118),"N/A")</f>
        <v/>
      </c>
      <c r="S118" s="184">
        <f>IFERROR((O118-N118),"N/A")</f>
        <v/>
      </c>
      <c r="T118" s="385">
        <f>IFERROR((O118-N118)/ABS(N118),"N/A")</f>
        <v/>
      </c>
    </row>
    <row r="119" outlineLevel="1" ht="12.75" customFormat="1" customHeight="1" s="30">
      <c r="A119" s="373">
        <f>$C$92&amp;" "&amp;C118&amp;" "&amp;C119&amp;" "&amp; $C$40</f>
        <v/>
      </c>
      <c r="B119" s="397" t="n"/>
      <c r="C119" s="397" t="inlineStr">
        <is>
          <t>Sales volume</t>
        </is>
      </c>
      <c r="D119" s="397" t="n"/>
      <c r="E119" s="396" t="inlineStr">
        <is>
          <t>thsd</t>
        </is>
      </c>
      <c r="F119" s="375" t="inlineStr">
        <is>
          <t>+</t>
        </is>
      </c>
      <c r="G119" s="158" t="n"/>
      <c r="H119" s="158" t="n"/>
      <c r="I119" s="158" t="n"/>
      <c r="J119" s="184">
        <f>IFERROR((H119-I119),"N/A")</f>
        <v/>
      </c>
      <c r="K119" s="384">
        <f>IFERROR((H119-I119)/ABS(I119),"N/A")</f>
        <v/>
      </c>
      <c r="L119" s="184">
        <f>IFERROR((H119-G119),"N/A")</f>
        <v/>
      </c>
      <c r="M119" s="384">
        <f>IFERROR((H119-G119)/ABS(G119),"N/A")</f>
        <v/>
      </c>
      <c r="N119" s="158" t="n"/>
      <c r="O119" s="158" t="n"/>
      <c r="P119" s="158" t="n"/>
      <c r="Q119" s="184">
        <f>IFERROR((O119-P119),"N/A")</f>
        <v/>
      </c>
      <c r="R119" s="385">
        <f>IFERROR((O119-P119)/ABS(P119),"N/A")</f>
        <v/>
      </c>
      <c r="S119" s="184">
        <f>IFERROR((O119-N119),"N/A")</f>
        <v/>
      </c>
      <c r="T119" s="385">
        <f>IFERROR((O119-N119)/ABS(N119),"N/A")</f>
        <v/>
      </c>
    </row>
    <row r="120" outlineLevel="1" ht="12.75" customFormat="1" customHeight="1" s="30">
      <c r="A120" s="373">
        <f>$C$92&amp;" "&amp;C118&amp;" "&amp;C120&amp;" "&amp; $C$40</f>
        <v/>
      </c>
      <c r="B120" s="397" t="n"/>
      <c r="C120" s="397" t="inlineStr">
        <is>
          <t>Price</t>
        </is>
      </c>
      <c r="D120" s="397" t="inlineStr">
        <is>
          <t>Qiyməti</t>
        </is>
      </c>
      <c r="E120" s="396">
        <f>$D$9&amp;"</f>
        <v/>
      </c>
      <c r="F120" s="375" t="inlineStr">
        <is>
          <t>+</t>
        </is>
      </c>
      <c r="G120" s="184">
        <f>IF(G119=0,0,IFERROR(G118/G119,"N/A"))</f>
        <v/>
      </c>
      <c r="H120" s="184">
        <f>IF(H119=0,0,IFERROR(H118/H119,"N/A"))</f>
        <v/>
      </c>
      <c r="I120" s="184">
        <f>IF(I119=0,0,IFERROR(I118/I119,"N/A"))</f>
        <v/>
      </c>
      <c r="J120" s="184">
        <f>IFERROR((H120-I120),"N/A")</f>
        <v/>
      </c>
      <c r="K120" s="384">
        <f>IFERROR((H120-I120)/ABS(I120),"N/A")</f>
        <v/>
      </c>
      <c r="L120" s="184">
        <f>IFERROR((H120-G120),"N/A")</f>
        <v/>
      </c>
      <c r="M120" s="384">
        <f>IFERROR((H120-G120)/ABS(G120),"N/A")</f>
        <v/>
      </c>
      <c r="N120" s="184">
        <f>IF(N119=0,0,IFERROR(N118/N119,"N/A"))</f>
        <v/>
      </c>
      <c r="O120" s="184">
        <f>IF(O119=0,0,IFERROR(O118/O119,"N/A"))</f>
        <v/>
      </c>
      <c r="P120" s="184">
        <f>IF(P119=0,0,IFERROR(P118/P119,"N/A"))</f>
        <v/>
      </c>
      <c r="Q120" s="184">
        <f>IFERROR((O120-P120),"N/A")</f>
        <v/>
      </c>
      <c r="R120" s="385">
        <f>IFERROR((O120-P120)/ABS(P120),"N/A")</f>
        <v/>
      </c>
      <c r="S120" s="184">
        <f>IFERROR((O120-N120),"N/A")</f>
        <v/>
      </c>
      <c r="T120" s="385">
        <f>IFERROR((O120-N120)/ABS(N120),"N/A")</f>
        <v/>
      </c>
    </row>
    <row r="121" outlineLevel="1" ht="12.75" customFormat="1" customHeight="1" s="30">
      <c r="A121" s="373">
        <f>$C$92&amp;" "&amp;C118&amp;" "&amp;C121&amp;" "&amp; $C$40</f>
        <v/>
      </c>
      <c r="B121" s="397" t="n"/>
      <c r="C121" s="436" t="inlineStr">
        <is>
          <t>COGs</t>
        </is>
      </c>
      <c r="D121" s="397" t="n"/>
      <c r="E121" s="396">
        <f>$D$9&amp;"</f>
        <v/>
      </c>
      <c r="F121" s="375" t="inlineStr">
        <is>
          <t>+</t>
        </is>
      </c>
      <c r="G121" s="399">
        <f>IF(G119=0,0,IFERROR(G122/G119,"N/A"))</f>
        <v/>
      </c>
      <c r="H121" s="399">
        <f>IF(H119=0,0,IFERROR(H122/H119,"N/A"))</f>
        <v/>
      </c>
      <c r="I121" s="399">
        <f>IF(I119=0,0,IFERROR(I122/I119,"N/A"))</f>
        <v/>
      </c>
      <c r="J121" s="400">
        <f>IFERROR((H121-I121),"N/A")</f>
        <v/>
      </c>
      <c r="K121" s="385">
        <f>IFERROR((H121-I121)/ABS(I121),"N/A")</f>
        <v/>
      </c>
      <c r="L121" s="400">
        <f>IFERROR((H121-G121),"N/A")</f>
        <v/>
      </c>
      <c r="M121" s="385">
        <f>IFERROR((H121-G121)/ABS(G121),"N/A")</f>
        <v/>
      </c>
      <c r="N121" s="399">
        <f>IF(N119=0,0,IFERROR(N122/N119,"N/A"))</f>
        <v/>
      </c>
      <c r="O121" s="399">
        <f>IF(O119=0,0,IFERROR(O122/O119,"N/A"))</f>
        <v/>
      </c>
      <c r="P121" s="399">
        <f>IF(P119=0,0,IFERROR(P122/P119,"N/A"))</f>
        <v/>
      </c>
      <c r="Q121" s="184">
        <f>IFERROR((O121-P121),"N/A")</f>
        <v/>
      </c>
      <c r="R121" s="385">
        <f>IFERROR((O121-P121)/ABS(P121),"N/A")</f>
        <v/>
      </c>
      <c r="S121" s="400">
        <f>IFERROR((O121-N121),"N/A")</f>
        <v/>
      </c>
      <c r="T121" s="385">
        <f>IFERROR((O121-N121)/ABS(N121),"N/A")</f>
        <v/>
      </c>
    </row>
    <row r="122" outlineLevel="1" ht="12.75" customFormat="1" customHeight="1" s="30">
      <c r="A122" s="373" t="n"/>
      <c r="B122" s="397" t="n"/>
      <c r="C122" s="436" t="inlineStr">
        <is>
          <t>Total COGs</t>
        </is>
      </c>
      <c r="D122" s="397" t="n"/>
      <c r="E122" s="396">
        <f>"thsd</f>
        <v/>
      </c>
      <c r="F122" s="375" t="inlineStr">
        <is>
          <t>+</t>
        </is>
      </c>
      <c r="G122" s="158" t="n"/>
      <c r="H122" s="158" t="n"/>
      <c r="I122" s="158" t="n"/>
      <c r="J122" s="400">
        <f>IFERROR((H122-I122),"N/A")</f>
        <v/>
      </c>
      <c r="K122" s="385">
        <f>IFERROR((H122-I122)/ABS(I122),"N/A")</f>
        <v/>
      </c>
      <c r="L122" s="400">
        <f>IFERROR((H122-G122),"N/A")</f>
        <v/>
      </c>
      <c r="M122" s="385">
        <f>IFERROR((H122-G122)/ABS(G122),"N/A")</f>
        <v/>
      </c>
      <c r="N122" s="158" t="n"/>
      <c r="O122" s="158" t="n"/>
      <c r="P122" s="158" t="n"/>
      <c r="Q122" s="184">
        <f>IFERROR((O122-P122),"N/A")</f>
        <v/>
      </c>
      <c r="R122" s="385">
        <f>IFERROR((O122-P122)/ABS(P122),"N/A")</f>
        <v/>
      </c>
      <c r="S122" s="400">
        <f>IFERROR((O122-N122),"N/A")</f>
        <v/>
      </c>
      <c r="T122" s="385">
        <f>IFERROR((O122-N122)/ABS(N122),"N/A")</f>
        <v/>
      </c>
    </row>
    <row r="123" outlineLevel="1" ht="25.5" customFormat="1" customHeight="1" s="30">
      <c r="A123" s="373">
        <f>$C$92&amp;" "&amp;C123&amp;" Revenue"&amp;" "&amp; $C$40</f>
        <v/>
      </c>
      <c r="B123" s="887" t="n"/>
      <c r="C123" s="887">
        <f>C72</f>
        <v/>
      </c>
      <c r="D123" s="887">
        <f>D72</f>
        <v/>
      </c>
      <c r="E123" s="396">
        <f>"thsd</f>
        <v/>
      </c>
      <c r="F123" s="375" t="inlineStr">
        <is>
          <t>+</t>
        </is>
      </c>
      <c r="G123" s="158" t="n"/>
      <c r="H123" s="158" t="n"/>
      <c r="I123" s="158" t="n"/>
      <c r="J123" s="184">
        <f>IFERROR((H123-I123),"N/A")</f>
        <v/>
      </c>
      <c r="K123" s="384">
        <f>IFERROR((H123-I123)/ABS(I123),"N/A")</f>
        <v/>
      </c>
      <c r="L123" s="184">
        <f>IFERROR((H123-G123),"N/A")</f>
        <v/>
      </c>
      <c r="M123" s="384">
        <f>IFERROR((H123-G123)/ABS(G123),"N/A")</f>
        <v/>
      </c>
      <c r="N123" s="158" t="n"/>
      <c r="O123" s="158" t="n"/>
      <c r="P123" s="158" t="n"/>
      <c r="Q123" s="184">
        <f>IFERROR((O123-P123),"N/A")</f>
        <v/>
      </c>
      <c r="R123" s="385">
        <f>IFERROR((O123-P123)/ABS(P123),"N/A")</f>
        <v/>
      </c>
      <c r="S123" s="184">
        <f>IFERROR((O123-N123),"N/A")</f>
        <v/>
      </c>
      <c r="T123" s="385">
        <f>IFERROR((O123-N123)/ABS(N123),"N/A")</f>
        <v/>
      </c>
    </row>
    <row r="124" outlineLevel="1" ht="12.75" customFormat="1" customHeight="1" s="30">
      <c r="A124" s="373">
        <f>$C$92&amp;" "&amp;C123&amp;" "&amp;C124&amp;" "&amp; $C$40</f>
        <v/>
      </c>
      <c r="B124" s="397" t="n"/>
      <c r="C124" s="397" t="inlineStr">
        <is>
          <t>Sales volume</t>
        </is>
      </c>
      <c r="D124" s="397" t="n"/>
      <c r="E124" s="396" t="inlineStr">
        <is>
          <t>thsd</t>
        </is>
      </c>
      <c r="F124" s="375" t="inlineStr">
        <is>
          <t>+</t>
        </is>
      </c>
      <c r="G124" s="158" t="n"/>
      <c r="H124" s="158" t="n"/>
      <c r="I124" s="158" t="n"/>
      <c r="J124" s="184">
        <f>IFERROR((H124-I124),"N/A")</f>
        <v/>
      </c>
      <c r="K124" s="384">
        <f>IFERROR((H124-I124)/ABS(I124),"N/A")</f>
        <v/>
      </c>
      <c r="L124" s="184">
        <f>IFERROR((H124-G124),"N/A")</f>
        <v/>
      </c>
      <c r="M124" s="384">
        <f>IFERROR((H124-G124)/ABS(G124),"N/A")</f>
        <v/>
      </c>
      <c r="N124" s="158" t="n"/>
      <c r="O124" s="158" t="n"/>
      <c r="P124" s="158" t="n"/>
      <c r="Q124" s="184">
        <f>IFERROR((O124-P124),"N/A")</f>
        <v/>
      </c>
      <c r="R124" s="385">
        <f>IFERROR((O124-P124)/ABS(P124),"N/A")</f>
        <v/>
      </c>
      <c r="S124" s="184">
        <f>IFERROR((O124-N124),"N/A")</f>
        <v/>
      </c>
      <c r="T124" s="385">
        <f>IFERROR((O124-N124)/ABS(N124),"N/A")</f>
        <v/>
      </c>
    </row>
    <row r="125" outlineLevel="1" ht="12.75" customFormat="1" customHeight="1" s="30">
      <c r="A125" s="373">
        <f>$C$92&amp;" "&amp;C123&amp;" "&amp;C125&amp;" "&amp; $C$40</f>
        <v/>
      </c>
      <c r="B125" s="397" t="n"/>
      <c r="C125" s="397" t="inlineStr">
        <is>
          <t>Price</t>
        </is>
      </c>
      <c r="D125" s="397" t="inlineStr">
        <is>
          <t>Qiyməti</t>
        </is>
      </c>
      <c r="E125" s="396">
        <f>$D$9&amp;"</f>
        <v/>
      </c>
      <c r="F125" s="375" t="inlineStr">
        <is>
          <t>+</t>
        </is>
      </c>
      <c r="G125" s="184">
        <f>IF(G124=0,0,IFERROR(G123/G124,"N/A"))</f>
        <v/>
      </c>
      <c r="H125" s="184">
        <f>IF(H124=0,0,IFERROR(H123/H124,"N/A"))</f>
        <v/>
      </c>
      <c r="I125" s="184">
        <f>IF(I124=0,0,IFERROR(I123/I124,"N/A"))</f>
        <v/>
      </c>
      <c r="J125" s="184">
        <f>IFERROR((H125-I125),"N/A")</f>
        <v/>
      </c>
      <c r="K125" s="384">
        <f>IFERROR((H125-I125)/ABS(I125),"N/A")</f>
        <v/>
      </c>
      <c r="L125" s="184">
        <f>IFERROR((H125-G125),"N/A")</f>
        <v/>
      </c>
      <c r="M125" s="384">
        <f>IFERROR((H125-G125)/ABS(G125),"N/A")</f>
        <v/>
      </c>
      <c r="N125" s="184">
        <f>IF(N124=0,0,IFERROR(N123/N124,"N/A"))</f>
        <v/>
      </c>
      <c r="O125" s="184">
        <f>IF(O124=0,0,IFERROR(O123/O124,"N/A"))</f>
        <v/>
      </c>
      <c r="P125" s="184">
        <f>IF(P124=0,0,IFERROR(P123/P124,"N/A"))</f>
        <v/>
      </c>
      <c r="Q125" s="184">
        <f>IFERROR((O125-P125),"N/A")</f>
        <v/>
      </c>
      <c r="R125" s="385">
        <f>IFERROR((O125-P125)/ABS(P125),"N/A")</f>
        <v/>
      </c>
      <c r="S125" s="184">
        <f>IFERROR((O125-N125),"N/A")</f>
        <v/>
      </c>
      <c r="T125" s="385">
        <f>IFERROR((O125-N125)/ABS(N125),"N/A")</f>
        <v/>
      </c>
    </row>
    <row r="126" outlineLevel="1" ht="12.75" customFormat="1" customHeight="1" s="30">
      <c r="A126" s="373">
        <f>$C$92&amp;" "&amp;C123&amp;" "&amp;C126&amp;" "&amp; $C$40</f>
        <v/>
      </c>
      <c r="B126" s="397" t="n"/>
      <c r="C126" s="436" t="inlineStr">
        <is>
          <t>COGs</t>
        </is>
      </c>
      <c r="D126" s="397" t="n"/>
      <c r="E126" s="396">
        <f>$D$9&amp;"</f>
        <v/>
      </c>
      <c r="F126" s="375" t="inlineStr">
        <is>
          <t>+</t>
        </is>
      </c>
      <c r="G126" s="399">
        <f>IF(G124=0,0,IFERROR(G127/G124,"N/A"))</f>
        <v/>
      </c>
      <c r="H126" s="399">
        <f>IF(H124=0,0,IFERROR(H127/H124,"N/A"))</f>
        <v/>
      </c>
      <c r="I126" s="399">
        <f>IF(I124=0,0,IFERROR(I127/I124,"N/A"))</f>
        <v/>
      </c>
      <c r="J126" s="400">
        <f>IFERROR((H126-I126),"N/A")</f>
        <v/>
      </c>
      <c r="K126" s="385">
        <f>IFERROR((H126-I126)/ABS(I126),"N/A")</f>
        <v/>
      </c>
      <c r="L126" s="400">
        <f>IFERROR((H126-G126),"N/A")</f>
        <v/>
      </c>
      <c r="M126" s="385">
        <f>IFERROR((H126-G126)/ABS(G126),"N/A")</f>
        <v/>
      </c>
      <c r="N126" s="399">
        <f>IF(N124=0,0,IFERROR(N127/N124,"N/A"))</f>
        <v/>
      </c>
      <c r="O126" s="399">
        <f>IF(O124=0,0,IFERROR(O127/O124,"N/A"))</f>
        <v/>
      </c>
      <c r="P126" s="399">
        <f>IF(P124=0,0,IFERROR(P127/P124,"N/A"))</f>
        <v/>
      </c>
      <c r="Q126" s="184">
        <f>IFERROR((O126-P126),"N/A")</f>
        <v/>
      </c>
      <c r="R126" s="385">
        <f>IFERROR((O126-P126)/ABS(P126),"N/A")</f>
        <v/>
      </c>
      <c r="S126" s="400">
        <f>IFERROR((O126-N126),"N/A")</f>
        <v/>
      </c>
      <c r="T126" s="385">
        <f>IFERROR((O126-N126)/ABS(N126),"N/A")</f>
        <v/>
      </c>
    </row>
    <row r="127" outlineLevel="1" ht="12.75" customFormat="1" customHeight="1" s="30">
      <c r="A127" s="373" t="n"/>
      <c r="B127" s="397" t="n"/>
      <c r="C127" s="436" t="inlineStr">
        <is>
          <t>Total COGs</t>
        </is>
      </c>
      <c r="D127" s="397" t="n"/>
      <c r="E127" s="396">
        <f>"thsd</f>
        <v/>
      </c>
      <c r="F127" s="375" t="inlineStr">
        <is>
          <t>+</t>
        </is>
      </c>
      <c r="G127" s="158" t="n"/>
      <c r="H127" s="158" t="n"/>
      <c r="I127" s="158" t="n"/>
      <c r="J127" s="400">
        <f>IFERROR((H127-I127),"N/A")</f>
        <v/>
      </c>
      <c r="K127" s="385">
        <f>IFERROR((H127-I127)/ABS(I127),"N/A")</f>
        <v/>
      </c>
      <c r="L127" s="400">
        <f>IFERROR((H127-G127),"N/A")</f>
        <v/>
      </c>
      <c r="M127" s="385">
        <f>IFERROR((H127-G127)/ABS(G127),"N/A")</f>
        <v/>
      </c>
      <c r="N127" s="158" t="n"/>
      <c r="O127" s="158" t="n"/>
      <c r="P127" s="158" t="n"/>
      <c r="Q127" s="184">
        <f>IFERROR((O127-P127),"N/A")</f>
        <v/>
      </c>
      <c r="R127" s="385">
        <f>IFERROR((O127-P127)/ABS(P127),"N/A")</f>
        <v/>
      </c>
      <c r="S127" s="400">
        <f>IFERROR((O127-N127),"N/A")</f>
        <v/>
      </c>
      <c r="T127" s="385">
        <f>IFERROR((O127-N127)/ABS(N127),"N/A")</f>
        <v/>
      </c>
    </row>
    <row r="128" outlineLevel="1" ht="12.75" customFormat="1" customHeight="1" s="30">
      <c r="A128" s="373">
        <f>$C$92&amp;" "&amp;C128&amp;" Revenue"&amp;" "&amp; $C$40</f>
        <v/>
      </c>
      <c r="B128" s="395" t="n"/>
      <c r="C128" s="395">
        <f>C77</f>
        <v/>
      </c>
      <c r="D128" s="395">
        <f>D77</f>
        <v/>
      </c>
      <c r="E128" s="396">
        <f>"thsd</f>
        <v/>
      </c>
      <c r="F128" s="375" t="inlineStr">
        <is>
          <t>+</t>
        </is>
      </c>
      <c r="G128" s="158" t="n"/>
      <c r="H128" s="158" t="n"/>
      <c r="I128" s="158" t="n"/>
      <c r="J128" s="184">
        <f>IFERROR((H128-I128),"N/A")</f>
        <v/>
      </c>
      <c r="K128" s="384">
        <f>IFERROR((H128-I128)/ABS(I128),"N/A")</f>
        <v/>
      </c>
      <c r="L128" s="184">
        <f>IFERROR((H128-G128),"N/A")</f>
        <v/>
      </c>
      <c r="M128" s="384">
        <f>IFERROR((H128-G128)/ABS(G128),"N/A")</f>
        <v/>
      </c>
      <c r="N128" s="158" t="n"/>
      <c r="O128" s="158" t="n"/>
      <c r="P128" s="158" t="n"/>
      <c r="Q128" s="184">
        <f>IFERROR((O128-P128),"N/A")</f>
        <v/>
      </c>
      <c r="R128" s="385">
        <f>IFERROR((O128-P128)/ABS(P128),"N/A")</f>
        <v/>
      </c>
      <c r="S128" s="184">
        <f>IFERROR((O128-N128),"N/A")</f>
        <v/>
      </c>
      <c r="T128" s="385">
        <f>IFERROR((O128-N128)/ABS(N128),"N/A")</f>
        <v/>
      </c>
    </row>
    <row r="129" outlineLevel="1" ht="12.75" customFormat="1" customHeight="1" s="30">
      <c r="A129" s="373">
        <f>$C$92&amp;" "&amp;C128&amp;" "&amp;C129&amp;" "&amp; $C$40</f>
        <v/>
      </c>
      <c r="B129" s="397" t="n"/>
      <c r="C129" s="397" t="inlineStr">
        <is>
          <t>Sales volume</t>
        </is>
      </c>
      <c r="D129" s="397" t="n"/>
      <c r="E129" s="396" t="inlineStr">
        <is>
          <t>thsd</t>
        </is>
      </c>
      <c r="F129" s="375" t="inlineStr">
        <is>
          <t>+</t>
        </is>
      </c>
      <c r="G129" s="158" t="n"/>
      <c r="H129" s="158" t="n"/>
      <c r="I129" s="158" t="n"/>
      <c r="J129" s="184">
        <f>IFERROR((H129-I129),"N/A")</f>
        <v/>
      </c>
      <c r="K129" s="384">
        <f>IFERROR((H129-I129)/ABS(I129),"N/A")</f>
        <v/>
      </c>
      <c r="L129" s="184">
        <f>IFERROR((H129-G129),"N/A")</f>
        <v/>
      </c>
      <c r="M129" s="384">
        <f>IFERROR((H129-G129)/ABS(G129),"N/A")</f>
        <v/>
      </c>
      <c r="N129" s="158" t="n"/>
      <c r="O129" s="158" t="n"/>
      <c r="P129" s="158" t="n"/>
      <c r="Q129" s="184">
        <f>IFERROR((O129-P129),"N/A")</f>
        <v/>
      </c>
      <c r="R129" s="385">
        <f>IFERROR((O129-P129)/ABS(P129),"N/A")</f>
        <v/>
      </c>
      <c r="S129" s="184">
        <f>IFERROR((O129-N129),"N/A")</f>
        <v/>
      </c>
      <c r="T129" s="385">
        <f>IFERROR((O129-N129)/ABS(N129),"N/A")</f>
        <v/>
      </c>
    </row>
    <row r="130" outlineLevel="1" ht="12.75" customFormat="1" customHeight="1" s="30">
      <c r="A130" s="373">
        <f>$C$92&amp;" "&amp;C128&amp;" "&amp;C130&amp;" "&amp; $C$40</f>
        <v/>
      </c>
      <c r="B130" s="397" t="n"/>
      <c r="C130" s="397" t="inlineStr">
        <is>
          <t>Price</t>
        </is>
      </c>
      <c r="D130" s="397" t="inlineStr">
        <is>
          <t>Qiyməti</t>
        </is>
      </c>
      <c r="E130" s="396">
        <f>$D$9&amp;"</f>
        <v/>
      </c>
      <c r="F130" s="375" t="inlineStr">
        <is>
          <t>+</t>
        </is>
      </c>
      <c r="G130" s="184">
        <f>IF(G129=0,0,IFERROR(G128/G129,"N/A"))</f>
        <v/>
      </c>
      <c r="H130" s="184">
        <f>IF(H129=0,0,IFERROR(H128/H129,"N/A"))</f>
        <v/>
      </c>
      <c r="I130" s="184">
        <f>IF(I129=0,0,IFERROR(I128/I129,"N/A"))</f>
        <v/>
      </c>
      <c r="J130" s="184">
        <f>IFERROR((H130-I130),"N/A")</f>
        <v/>
      </c>
      <c r="K130" s="384">
        <f>IFERROR((H130-I130)/ABS(I130),"N/A")</f>
        <v/>
      </c>
      <c r="L130" s="184">
        <f>IFERROR((H130-G130),"N/A")</f>
        <v/>
      </c>
      <c r="M130" s="384">
        <f>IFERROR((H130-G130)/ABS(G130),"N/A")</f>
        <v/>
      </c>
      <c r="N130" s="184">
        <f>IF(N129=0,0,IFERROR(N128/N129,"N/A"))</f>
        <v/>
      </c>
      <c r="O130" s="184">
        <f>IF(O129=0,0,IFERROR(O128/O129,"N/A"))</f>
        <v/>
      </c>
      <c r="P130" s="184">
        <f>IF(P129=0,0,IFERROR(P128/P129,"N/A"))</f>
        <v/>
      </c>
      <c r="Q130" s="184">
        <f>IFERROR((O130-P130),"N/A")</f>
        <v/>
      </c>
      <c r="R130" s="385">
        <f>IFERROR((O130-P130)/ABS(P130),"N/A")</f>
        <v/>
      </c>
      <c r="S130" s="184">
        <f>IFERROR((O130-N130),"N/A")</f>
        <v/>
      </c>
      <c r="T130" s="385">
        <f>IFERROR((O130-N130)/ABS(N130),"N/A")</f>
        <v/>
      </c>
    </row>
    <row r="131" outlineLevel="1" ht="12.75" customFormat="1" customHeight="1" s="30">
      <c r="A131" s="373">
        <f>$C$92&amp;" "&amp;C128&amp;" "&amp;C131&amp;" "&amp; $C$40</f>
        <v/>
      </c>
      <c r="B131" s="397" t="n"/>
      <c r="C131" s="436" t="inlineStr">
        <is>
          <t>COGs</t>
        </is>
      </c>
      <c r="D131" s="397" t="n"/>
      <c r="E131" s="396">
        <f>$D$9&amp;"</f>
        <v/>
      </c>
      <c r="F131" s="375" t="inlineStr">
        <is>
          <t>+</t>
        </is>
      </c>
      <c r="G131" s="399">
        <f>IF(G129=0,0,IFERROR(G132/G129,"N/A"))</f>
        <v/>
      </c>
      <c r="H131" s="399">
        <f>IF(H129=0,0,IFERROR(H132/H129,"N/A"))</f>
        <v/>
      </c>
      <c r="I131" s="399">
        <f>IF(I129=0,0,IFERROR(I132/I129,"N/A"))</f>
        <v/>
      </c>
      <c r="J131" s="400">
        <f>IFERROR((H131-I131),"N/A")</f>
        <v/>
      </c>
      <c r="K131" s="385">
        <f>IFERROR((H131-I131)/ABS(I131),"N/A")</f>
        <v/>
      </c>
      <c r="L131" s="400">
        <f>IFERROR((H131-G131),"N/A")</f>
        <v/>
      </c>
      <c r="M131" s="385">
        <f>IFERROR((H131-G131)/ABS(G131),"N/A")</f>
        <v/>
      </c>
      <c r="N131" s="399">
        <f>IF(N129=0,0,IFERROR(N132/N129,"N/A"))</f>
        <v/>
      </c>
      <c r="O131" s="399">
        <f>IF(O129=0,0,IFERROR(O132/O129,"N/A"))</f>
        <v/>
      </c>
      <c r="P131" s="399">
        <f>IF(P129=0,0,IFERROR(P132/P129,"N/A"))</f>
        <v/>
      </c>
      <c r="Q131" s="184">
        <f>IFERROR((O131-P131),"N/A")</f>
        <v/>
      </c>
      <c r="R131" s="385">
        <f>IFERROR((O131-P131)/ABS(P131),"N/A")</f>
        <v/>
      </c>
      <c r="S131" s="400">
        <f>IFERROR((O131-N131),"N/A")</f>
        <v/>
      </c>
      <c r="T131" s="385">
        <f>IFERROR((O131-N131)/ABS(N131),"N/A")</f>
        <v/>
      </c>
    </row>
    <row r="132" outlineLevel="1" ht="12.75" customFormat="1" customHeight="1" s="30">
      <c r="A132" s="373" t="n"/>
      <c r="B132" s="397" t="n"/>
      <c r="C132" s="436" t="inlineStr">
        <is>
          <t>Total COGs</t>
        </is>
      </c>
      <c r="D132" s="397" t="n"/>
      <c r="E132" s="396">
        <f>"thsd</f>
        <v/>
      </c>
      <c r="F132" s="375" t="inlineStr">
        <is>
          <t>+</t>
        </is>
      </c>
      <c r="G132" s="158" t="n"/>
      <c r="H132" s="158" t="n"/>
      <c r="I132" s="158" t="n"/>
      <c r="J132" s="400">
        <f>IFERROR((H132-I132),"N/A")</f>
        <v/>
      </c>
      <c r="K132" s="385">
        <f>IFERROR((H132-I132)/ABS(I132),"N/A")</f>
        <v/>
      </c>
      <c r="L132" s="400">
        <f>IFERROR((H132-G132),"N/A")</f>
        <v/>
      </c>
      <c r="M132" s="385">
        <f>IFERROR((H132-G132)/ABS(G132),"N/A")</f>
        <v/>
      </c>
      <c r="N132" s="158" t="n"/>
      <c r="O132" s="158" t="n"/>
      <c r="P132" s="158" t="n"/>
      <c r="Q132" s="184">
        <f>IFERROR((O132-P132),"N/A")</f>
        <v/>
      </c>
      <c r="R132" s="385">
        <f>IFERROR((O132-P132)/ABS(P132),"N/A")</f>
        <v/>
      </c>
      <c r="S132" s="400">
        <f>IFERROR((O132-N132),"N/A")</f>
        <v/>
      </c>
      <c r="T132" s="385">
        <f>IFERROR((O132-N132)/ABS(N132),"N/A")</f>
        <v/>
      </c>
    </row>
    <row r="133" outlineLevel="1" ht="12.75" customFormat="1" customHeight="1" s="30">
      <c r="A133" s="373">
        <f>$C$92&amp;" "&amp;C133&amp;" Revenue"&amp;" "&amp; $C$40</f>
        <v/>
      </c>
      <c r="B133" s="395" t="n"/>
      <c r="C133" s="395">
        <f>C82</f>
        <v/>
      </c>
      <c r="D133" s="395">
        <f>D82</f>
        <v/>
      </c>
      <c r="E133" s="396">
        <f>"thsd</f>
        <v/>
      </c>
      <c r="F133" s="375" t="inlineStr">
        <is>
          <t>+</t>
        </is>
      </c>
      <c r="G133" s="158" t="n"/>
      <c r="H133" s="158" t="n"/>
      <c r="I133" s="158" t="n"/>
      <c r="J133" s="184">
        <f>IFERROR((H133-I133),"N/A")</f>
        <v/>
      </c>
      <c r="K133" s="384">
        <f>IFERROR((H133-I133)/ABS(I133),"N/A")</f>
        <v/>
      </c>
      <c r="L133" s="184">
        <f>IFERROR((H133-G133),"N/A")</f>
        <v/>
      </c>
      <c r="M133" s="384">
        <f>IFERROR((H133-G133)/ABS(G133),"N/A")</f>
        <v/>
      </c>
      <c r="N133" s="158" t="n"/>
      <c r="O133" s="158" t="n"/>
      <c r="P133" s="158" t="n"/>
      <c r="Q133" s="184">
        <f>IFERROR((O133-P133),"N/A")</f>
        <v/>
      </c>
      <c r="R133" s="385">
        <f>IFERROR((O133-P133)/ABS(P133),"N/A")</f>
        <v/>
      </c>
      <c r="S133" s="184">
        <f>IFERROR((O133-N133),"N/A")</f>
        <v/>
      </c>
      <c r="T133" s="385">
        <f>IFERROR((O133-N133)/ABS(N133),"N/A")</f>
        <v/>
      </c>
    </row>
    <row r="134" outlineLevel="1" ht="12.75" customFormat="1" customHeight="1" s="30">
      <c r="A134" s="373">
        <f>$C$92&amp;" "&amp;C133&amp;" "&amp;C134&amp;" "&amp; $C$40</f>
        <v/>
      </c>
      <c r="B134" s="397" t="n"/>
      <c r="C134" s="397" t="inlineStr">
        <is>
          <t>Sales volume</t>
        </is>
      </c>
      <c r="D134" s="397" t="n"/>
      <c r="E134" s="396" t="inlineStr">
        <is>
          <t>thsd</t>
        </is>
      </c>
      <c r="F134" s="375" t="inlineStr">
        <is>
          <t>+</t>
        </is>
      </c>
      <c r="G134" s="158" t="n"/>
      <c r="H134" s="158" t="n"/>
      <c r="I134" s="158" t="n"/>
      <c r="J134" s="184">
        <f>IFERROR((H134-I134),"N/A")</f>
        <v/>
      </c>
      <c r="K134" s="384">
        <f>IFERROR((H134-I134)/ABS(I134),"N/A")</f>
        <v/>
      </c>
      <c r="L134" s="184">
        <f>IFERROR((H134-G134),"N/A")</f>
        <v/>
      </c>
      <c r="M134" s="384">
        <f>IFERROR((H134-G134)/ABS(G134),"N/A")</f>
        <v/>
      </c>
      <c r="N134" s="158" t="n"/>
      <c r="O134" s="158" t="n"/>
      <c r="P134" s="158" t="n"/>
      <c r="Q134" s="184">
        <f>IFERROR((O134-P134),"N/A")</f>
        <v/>
      </c>
      <c r="R134" s="385">
        <f>IFERROR((O134-P134)/ABS(P134),"N/A")</f>
        <v/>
      </c>
      <c r="S134" s="184">
        <f>IFERROR((O134-N134),"N/A")</f>
        <v/>
      </c>
      <c r="T134" s="385">
        <f>IFERROR((O134-N134)/ABS(N134),"N/A")</f>
        <v/>
      </c>
    </row>
    <row r="135" outlineLevel="1" ht="12.75" customFormat="1" customHeight="1" s="30">
      <c r="A135" s="373">
        <f>$C$92&amp;" "&amp;C133&amp;" "&amp;C135&amp;" "&amp; $C$40</f>
        <v/>
      </c>
      <c r="B135" s="397" t="n"/>
      <c r="C135" s="397" t="inlineStr">
        <is>
          <t>Price</t>
        </is>
      </c>
      <c r="D135" s="397" t="inlineStr">
        <is>
          <t>Qiyməti</t>
        </is>
      </c>
      <c r="E135" s="396">
        <f>$D$9&amp;"</f>
        <v/>
      </c>
      <c r="F135" s="375" t="inlineStr">
        <is>
          <t>+</t>
        </is>
      </c>
      <c r="G135" s="184">
        <f>IF(G134=0,0,IFERROR(G133/G134,"N/A"))</f>
        <v/>
      </c>
      <c r="H135" s="184">
        <f>IF(H134=0,0,IFERROR(H133/H134,"N/A"))</f>
        <v/>
      </c>
      <c r="I135" s="184">
        <f>IF(I134=0,0,IFERROR(I133/I134,"N/A"))</f>
        <v/>
      </c>
      <c r="J135" s="184">
        <f>IFERROR((H135-I135),"N/A")</f>
        <v/>
      </c>
      <c r="K135" s="384">
        <f>IFERROR((H135-I135)/ABS(I135),"N/A")</f>
        <v/>
      </c>
      <c r="L135" s="184">
        <f>IFERROR((H135-G135),"N/A")</f>
        <v/>
      </c>
      <c r="M135" s="384">
        <f>IFERROR((H135-G135)/ABS(G135),"N/A")</f>
        <v/>
      </c>
      <c r="N135" s="184">
        <f>IF(N134=0,0,IFERROR(N133/N134,"N/A"))</f>
        <v/>
      </c>
      <c r="O135" s="184">
        <f>IF(O134=0,0,IFERROR(O133/O134,"N/A"))</f>
        <v/>
      </c>
      <c r="P135" s="184">
        <f>IF(P134=0,0,IFERROR(P133/P134,"N/A"))</f>
        <v/>
      </c>
      <c r="Q135" s="184">
        <f>IFERROR((O135-P135),"N/A")</f>
        <v/>
      </c>
      <c r="R135" s="385">
        <f>IFERROR((O135-P135)/ABS(P135),"N/A")</f>
        <v/>
      </c>
      <c r="S135" s="184">
        <f>IFERROR((O135-N135),"N/A")</f>
        <v/>
      </c>
      <c r="T135" s="385">
        <f>IFERROR((O135-N135)/ABS(N135),"N/A")</f>
        <v/>
      </c>
    </row>
    <row r="136" outlineLevel="1" ht="12.75" customFormat="1" customHeight="1" s="30">
      <c r="A136" s="373">
        <f>$C$92&amp;" "&amp;C133&amp;" "&amp;C136&amp;" "&amp; $C$40</f>
        <v/>
      </c>
      <c r="B136" s="397" t="n"/>
      <c r="C136" s="436" t="inlineStr">
        <is>
          <t>COGs</t>
        </is>
      </c>
      <c r="D136" s="397" t="n"/>
      <c r="E136" s="396">
        <f>$D$9&amp;"</f>
        <v/>
      </c>
      <c r="F136" s="375" t="inlineStr">
        <is>
          <t>+</t>
        </is>
      </c>
      <c r="G136" s="399">
        <f>IF(G134=0,0,IFERROR(G137/G134,"N/A"))</f>
        <v/>
      </c>
      <c r="H136" s="399">
        <f>IF(H134=0,0,IFERROR(H137/H134,"N/A"))</f>
        <v/>
      </c>
      <c r="I136" s="399">
        <f>IF(I134=0,0,IFERROR(I137/I134,"N/A"))</f>
        <v/>
      </c>
      <c r="J136" s="400">
        <f>IFERROR((H136-I136),"N/A")</f>
        <v/>
      </c>
      <c r="K136" s="385">
        <f>IFERROR((H136-I136)/ABS(I136),"N/A")</f>
        <v/>
      </c>
      <c r="L136" s="400">
        <f>IFERROR((H136-G136),"N/A")</f>
        <v/>
      </c>
      <c r="M136" s="385">
        <f>IFERROR((H136-G136)/ABS(G136),"N/A")</f>
        <v/>
      </c>
      <c r="N136" s="399">
        <f>IF(N134=0,0,IFERROR(N137/N134,"N/A"))</f>
        <v/>
      </c>
      <c r="O136" s="399">
        <f>IF(O134=0,0,IFERROR(O137/O134,"N/A"))</f>
        <v/>
      </c>
      <c r="P136" s="399">
        <f>IF(P134=0,0,IFERROR(P137/P134,"N/A"))</f>
        <v/>
      </c>
      <c r="Q136" s="184">
        <f>IFERROR((O136-P136),"N/A")</f>
        <v/>
      </c>
      <c r="R136" s="385">
        <f>IFERROR((O136-P136)/ABS(P136),"N/A")</f>
        <v/>
      </c>
      <c r="S136" s="400">
        <f>IFERROR((O136-N136),"N/A")</f>
        <v/>
      </c>
      <c r="T136" s="385">
        <f>IFERROR((O136-N136)/ABS(N136),"N/A")</f>
        <v/>
      </c>
    </row>
    <row r="137" outlineLevel="1" ht="12.75" customFormat="1" customHeight="1" s="30">
      <c r="A137" s="373" t="n"/>
      <c r="B137" s="397" t="n"/>
      <c r="C137" s="436" t="inlineStr">
        <is>
          <t>Total COGs</t>
        </is>
      </c>
      <c r="D137" s="397" t="n"/>
      <c r="E137" s="396">
        <f>"thsd</f>
        <v/>
      </c>
      <c r="F137" s="375" t="inlineStr">
        <is>
          <t>+</t>
        </is>
      </c>
      <c r="G137" s="158" t="n"/>
      <c r="H137" s="158" t="n"/>
      <c r="I137" s="158" t="n"/>
      <c r="J137" s="400">
        <f>IFERROR((H137-I137),"N/A")</f>
        <v/>
      </c>
      <c r="K137" s="385">
        <f>IFERROR((H137-I137)/ABS(I137),"N/A")</f>
        <v/>
      </c>
      <c r="L137" s="400">
        <f>IFERROR((H137-G137),"N/A")</f>
        <v/>
      </c>
      <c r="M137" s="385">
        <f>IFERROR((H137-G137)/ABS(G137),"N/A")</f>
        <v/>
      </c>
      <c r="N137" s="158" t="n"/>
      <c r="O137" s="158" t="n"/>
      <c r="P137" s="158" t="n"/>
      <c r="Q137" s="184">
        <f>IFERROR((O137-P137),"N/A")</f>
        <v/>
      </c>
      <c r="R137" s="385">
        <f>IFERROR((O137-P137)/ABS(P137),"N/A")</f>
        <v/>
      </c>
      <c r="S137" s="400">
        <f>IFERROR((O137-N137),"N/A")</f>
        <v/>
      </c>
      <c r="T137" s="385">
        <f>IFERROR((O137-N137)/ABS(N137),"N/A")</f>
        <v/>
      </c>
    </row>
    <row r="138" outlineLevel="1" ht="25.5" customFormat="1" customHeight="1" s="30">
      <c r="A138" s="373">
        <f>$C$92&amp;" "&amp;C138&amp;" Revenue"&amp;" "&amp; $C$40</f>
        <v/>
      </c>
      <c r="B138" s="395" t="n"/>
      <c r="C138" s="395">
        <f>C87</f>
        <v/>
      </c>
      <c r="D138" s="395">
        <f>D87</f>
        <v/>
      </c>
      <c r="E138" s="396">
        <f>"thsd</f>
        <v/>
      </c>
      <c r="F138" s="375" t="inlineStr">
        <is>
          <t>+</t>
        </is>
      </c>
      <c r="G138" s="158" t="n"/>
      <c r="H138" s="158" t="n"/>
      <c r="I138" s="158" t="n"/>
      <c r="J138" s="184">
        <f>IFERROR((H138-I138),"N/A")</f>
        <v/>
      </c>
      <c r="K138" s="384">
        <f>IFERROR((H138-I138)/ABS(I138),"N/A")</f>
        <v/>
      </c>
      <c r="L138" s="184">
        <f>IFERROR((H138-G138),"N/A")</f>
        <v/>
      </c>
      <c r="M138" s="384">
        <f>IFERROR((H138-G138)/ABS(G138),"N/A")</f>
        <v/>
      </c>
      <c r="N138" s="158" t="n"/>
      <c r="O138" s="158" t="n"/>
      <c r="P138" s="158" t="n"/>
      <c r="Q138" s="184">
        <f>IFERROR((O138-P138),"N/A")</f>
        <v/>
      </c>
      <c r="R138" s="385">
        <f>IFERROR((O138-P138)/ABS(P138),"N/A")</f>
        <v/>
      </c>
      <c r="S138" s="184">
        <f>IFERROR((O138-N138),"N/A")</f>
        <v/>
      </c>
      <c r="T138" s="385">
        <f>IFERROR((O138-N138)/ABS(N138),"N/A")</f>
        <v/>
      </c>
    </row>
    <row r="139" outlineLevel="1" ht="12.75" customFormat="1" customHeight="1" s="30">
      <c r="A139" s="373">
        <f>$C$92&amp;" "&amp;C138&amp;" "&amp;C139&amp;" "&amp; $C$40</f>
        <v/>
      </c>
      <c r="B139" s="397" t="n"/>
      <c r="C139" s="397" t="inlineStr">
        <is>
          <t>Sales volume</t>
        </is>
      </c>
      <c r="D139" s="397" t="n"/>
      <c r="E139" s="396" t="inlineStr">
        <is>
          <t>thsd</t>
        </is>
      </c>
      <c r="F139" s="375" t="inlineStr">
        <is>
          <t>+</t>
        </is>
      </c>
      <c r="G139" s="158" t="n"/>
      <c r="H139" s="158" t="n"/>
      <c r="I139" s="158" t="n"/>
      <c r="J139" s="184">
        <f>IFERROR((H139-I139),"N/A")</f>
        <v/>
      </c>
      <c r="K139" s="384">
        <f>IFERROR((H139-I139)/ABS(I139),"N/A")</f>
        <v/>
      </c>
      <c r="L139" s="184">
        <f>IFERROR((H139-G139),"N/A")</f>
        <v/>
      </c>
      <c r="M139" s="384">
        <f>IFERROR((H139-G139)/ABS(G139),"N/A")</f>
        <v/>
      </c>
      <c r="N139" s="158" t="n"/>
      <c r="O139" s="158" t="n"/>
      <c r="P139" s="158" t="n"/>
      <c r="Q139" s="184">
        <f>IFERROR((O139-P139),"N/A")</f>
        <v/>
      </c>
      <c r="R139" s="385">
        <f>IFERROR((O139-P139)/ABS(P139),"N/A")</f>
        <v/>
      </c>
      <c r="S139" s="184">
        <f>IFERROR((O139-N139),"N/A")</f>
        <v/>
      </c>
      <c r="T139" s="385">
        <f>IFERROR((O139-N139)/ABS(N139),"N/A")</f>
        <v/>
      </c>
    </row>
    <row r="140" outlineLevel="1" ht="12.75" customFormat="1" customHeight="1" s="30">
      <c r="A140" s="373">
        <f>$C$92&amp;" "&amp;C138&amp;" "&amp;C140&amp;" "&amp; $C$40</f>
        <v/>
      </c>
      <c r="B140" s="397" t="n"/>
      <c r="C140" s="397" t="inlineStr">
        <is>
          <t>Price</t>
        </is>
      </c>
      <c r="D140" s="397" t="inlineStr">
        <is>
          <t>Qiyməti</t>
        </is>
      </c>
      <c r="E140" s="396">
        <f>$D$9&amp;"</f>
        <v/>
      </c>
      <c r="F140" s="375" t="inlineStr">
        <is>
          <t>+</t>
        </is>
      </c>
      <c r="G140" s="184">
        <f>IF(G139=0,0,IFERROR(G138/G139,"N/A"))</f>
        <v/>
      </c>
      <c r="H140" s="184">
        <f>IF(H139=0,0,IFERROR(H138/H139,"N/A"))</f>
        <v/>
      </c>
      <c r="I140" s="184">
        <f>IF(I139=0,0,IFERROR(I138/I139,"N/A"))</f>
        <v/>
      </c>
      <c r="J140" s="184">
        <f>IFERROR((H140-I140),"N/A")</f>
        <v/>
      </c>
      <c r="K140" s="384">
        <f>IFERROR((H140-I140)/ABS(I140),"N/A")</f>
        <v/>
      </c>
      <c r="L140" s="184">
        <f>IFERROR((H140-G140),"N/A")</f>
        <v/>
      </c>
      <c r="M140" s="384">
        <f>IFERROR((H140-G140)/ABS(G140),"N/A")</f>
        <v/>
      </c>
      <c r="N140" s="184">
        <f>IF(N139=0,0,IFERROR(N138/N139,"N/A"))</f>
        <v/>
      </c>
      <c r="O140" s="184">
        <f>IF(O139=0,0,IFERROR(O138/O139,"N/A"))</f>
        <v/>
      </c>
      <c r="P140" s="184">
        <f>IF(P139=0,0,IFERROR(P138/P139,"N/A"))</f>
        <v/>
      </c>
      <c r="Q140" s="184">
        <f>IFERROR((O140-P140),"N/A")</f>
        <v/>
      </c>
      <c r="R140" s="385">
        <f>IFERROR((O140-P140)/ABS(P140),"N/A")</f>
        <v/>
      </c>
      <c r="S140" s="184">
        <f>IFERROR((O140-N140),"N/A")</f>
        <v/>
      </c>
      <c r="T140" s="385">
        <f>IFERROR((O140-N140)/ABS(N140),"N/A")</f>
        <v/>
      </c>
    </row>
    <row r="141" outlineLevel="1" ht="12.75" customFormat="1" customHeight="1" s="30">
      <c r="A141" s="373">
        <f>$C$92&amp;" "&amp;C138&amp;" "&amp;C141&amp;" "&amp; $C$40</f>
        <v/>
      </c>
      <c r="B141" s="397" t="n"/>
      <c r="C141" s="436" t="inlineStr">
        <is>
          <t>COGs</t>
        </is>
      </c>
      <c r="D141" s="397" t="n"/>
      <c r="E141" s="396">
        <f>$D$9&amp;"</f>
        <v/>
      </c>
      <c r="F141" s="375" t="inlineStr">
        <is>
          <t>+</t>
        </is>
      </c>
      <c r="G141" s="399">
        <f>IF(G139=0,0,IFERROR(G142/G139,"N/A"))</f>
        <v/>
      </c>
      <c r="H141" s="399">
        <f>IF(H139=0,0,IFERROR(H142/H139,"N/A"))</f>
        <v/>
      </c>
      <c r="I141" s="399">
        <f>IF(I139=0,0,IFERROR(I142/I139,"N/A"))</f>
        <v/>
      </c>
      <c r="J141" s="400">
        <f>IFERROR((H141-I141),"N/A")</f>
        <v/>
      </c>
      <c r="K141" s="385">
        <f>IFERROR((H141-I141)/ABS(I141),"N/A")</f>
        <v/>
      </c>
      <c r="L141" s="400">
        <f>IFERROR((H141-G141),"N/A")</f>
        <v/>
      </c>
      <c r="M141" s="385">
        <f>IFERROR((H141-G141)/ABS(G141),"N/A")</f>
        <v/>
      </c>
      <c r="N141" s="399">
        <f>IF(N139=0,0,IFERROR(N142/N139,"N/A"))</f>
        <v/>
      </c>
      <c r="O141" s="399">
        <f>IF(O139=0,0,IFERROR(O142/O139,"N/A"))</f>
        <v/>
      </c>
      <c r="P141" s="399">
        <f>IF(P139=0,0,IFERROR(P142/P139,"N/A"))</f>
        <v/>
      </c>
      <c r="Q141" s="184">
        <f>IFERROR((O141-P141),"N/A")</f>
        <v/>
      </c>
      <c r="R141" s="385">
        <f>IFERROR((O141-P141)/ABS(P141),"N/A")</f>
        <v/>
      </c>
      <c r="S141" s="400">
        <f>IFERROR((O141-N141),"N/A")</f>
        <v/>
      </c>
      <c r="T141" s="385">
        <f>IFERROR((O141-N141)/ABS(N141),"N/A")</f>
        <v/>
      </c>
    </row>
    <row r="142" outlineLevel="1" ht="12.75" customFormat="1" customHeight="1" s="30">
      <c r="A142" s="373" t="n"/>
      <c r="B142" s="397" t="n"/>
      <c r="C142" s="436" t="inlineStr">
        <is>
          <t>Total COGs</t>
        </is>
      </c>
      <c r="D142" s="397" t="n"/>
      <c r="E142" s="396">
        <f>"thsd</f>
        <v/>
      </c>
      <c r="F142" s="375" t="inlineStr">
        <is>
          <t>+</t>
        </is>
      </c>
      <c r="G142" s="158" t="n"/>
      <c r="H142" s="158" t="n"/>
      <c r="I142" s="158" t="n"/>
      <c r="J142" s="400">
        <f>IFERROR((H142-I142),"N/A")</f>
        <v/>
      </c>
      <c r="K142" s="385">
        <f>IFERROR((H142-I142)/ABS(I142),"N/A")</f>
        <v/>
      </c>
      <c r="L142" s="400">
        <f>IFERROR((H142-G142),"N/A")</f>
        <v/>
      </c>
      <c r="M142" s="385">
        <f>IFERROR((H142-G142)/ABS(G142),"N/A")</f>
        <v/>
      </c>
      <c r="N142" s="158" t="n"/>
      <c r="O142" s="158" t="n"/>
      <c r="P142" s="158" t="n"/>
      <c r="Q142" s="184">
        <f>IFERROR((O142-P142),"N/A")</f>
        <v/>
      </c>
      <c r="R142" s="385">
        <f>IFERROR((O142-P142)/ABS(P142),"N/A")</f>
        <v/>
      </c>
      <c r="S142" s="400">
        <f>IFERROR((O142-N142),"N/A")</f>
        <v/>
      </c>
      <c r="T142" s="385">
        <f>IFERROR((O142-N142)/ABS(N142),"N/A")</f>
        <v/>
      </c>
    </row>
    <row r="143" ht="15" customFormat="1" customHeight="1" s="30">
      <c r="A143" s="373" t="n"/>
      <c r="B143" s="386" t="n"/>
      <c r="C143" s="387" t="inlineStr">
        <is>
          <t>Petrochemicals</t>
        </is>
      </c>
      <c r="D143" s="387" t="n"/>
      <c r="E143" s="375">
        <f>"thsd</f>
        <v/>
      </c>
      <c r="F143" s="375" t="inlineStr">
        <is>
          <t>+</t>
        </is>
      </c>
      <c r="G143" s="376">
        <f>SUM(G144,G190)</f>
        <v/>
      </c>
      <c r="H143" s="376">
        <f>SUM(H144,H190)</f>
        <v/>
      </c>
      <c r="I143" s="376">
        <f>SUM(I144,I190)</f>
        <v/>
      </c>
      <c r="J143" s="376">
        <f>IFERROR((H143-I143),"N/A")</f>
        <v/>
      </c>
      <c r="K143" s="388">
        <f>IFERROR((H143-I143)/ABS(I143),"N/A")</f>
        <v/>
      </c>
      <c r="L143" s="376">
        <f>IFERROR((H143-G143),"N/A")</f>
        <v/>
      </c>
      <c r="M143" s="388">
        <f>IFERROR((H143-G143)/ABS(G143),"N/A")</f>
        <v/>
      </c>
      <c r="N143" s="376">
        <f>SUM(N144,N190)</f>
        <v/>
      </c>
      <c r="O143" s="376">
        <f>SUM(O144,O190)</f>
        <v/>
      </c>
      <c r="P143" s="376">
        <f>SUM(P144,P190)</f>
        <v/>
      </c>
      <c r="Q143" s="376">
        <f>IFERROR((O143-P143),"N/A")</f>
        <v/>
      </c>
      <c r="R143" s="389">
        <f>IFERROR((O143-P143)/ABS(P143),"N/A")</f>
        <v/>
      </c>
      <c r="S143" s="376">
        <f>IFERROR((O143-N143),"N/A")</f>
        <v/>
      </c>
      <c r="T143" s="389">
        <f>IFERROR((O143-N143)/ABS(N143),"N/A")</f>
        <v/>
      </c>
    </row>
    <row r="144" outlineLevel="1" ht="25.5" customFormat="1" customHeight="1" s="30">
      <c r="A144" s="373" t="n"/>
      <c r="B144" s="390" t="n"/>
      <c r="C144" s="390" t="inlineStr">
        <is>
          <t>Local revenue (for Entity location)</t>
        </is>
      </c>
      <c r="D144" s="390" t="n"/>
      <c r="E144" s="391">
        <f>"thsd</f>
        <v/>
      </c>
      <c r="F144" s="375" t="inlineStr">
        <is>
          <t>+</t>
        </is>
      </c>
      <c r="G144" s="392">
        <f>SUM(G145,G150,G155,G160,G165,G170,G175,G180,G185)</f>
        <v/>
      </c>
      <c r="H144" s="392">
        <f>SUM(H145,H150,H155,H160,H165,H170,H175,H180,H185)</f>
        <v/>
      </c>
      <c r="I144" s="392">
        <f>SUM(I145,I150,I155,I160,I165,I170,I175,I180,I185)</f>
        <v/>
      </c>
      <c r="J144" s="392">
        <f>IFERROR((H144-I144),"N/A")</f>
        <v/>
      </c>
      <c r="K144" s="393">
        <f>IFERROR((H144-I144)/ABS(I144),"N/A")</f>
        <v/>
      </c>
      <c r="L144" s="392">
        <f>IFERROR((H144-G144),"N/A")</f>
        <v/>
      </c>
      <c r="M144" s="393">
        <f>IFERROR((H144-G144)/ABS(G144),"N/A")</f>
        <v/>
      </c>
      <c r="N144" s="392">
        <f>SUM(N145,N150,N155,N160,N165,N170,N175,N180,N185)</f>
        <v/>
      </c>
      <c r="O144" s="392">
        <f>SUM(O145,O150,O155,O160,O165,O170,O175,O180,O185)</f>
        <v/>
      </c>
      <c r="P144" s="392">
        <f>SUM(P145,P150,P155,P160,P165,P170,P175,P180,P185)</f>
        <v/>
      </c>
      <c r="Q144" s="392">
        <f>IFERROR((O144-P144),"N/A")</f>
        <v/>
      </c>
      <c r="R144" s="394">
        <f>IFERROR((O144-P144)/ABS(P144),"N/A")</f>
        <v/>
      </c>
      <c r="S144" s="392">
        <f>IFERROR((O144-N144),"N/A")</f>
        <v/>
      </c>
      <c r="T144" s="394">
        <f>IFERROR((O144-N144)/ABS(N144),"N/A")</f>
        <v/>
      </c>
    </row>
    <row r="145" outlineLevel="1" ht="12.75" customFormat="1" customHeight="1" s="30">
      <c r="A145" s="373">
        <f>$C$144&amp;" "&amp;C145&amp;" Revenue"&amp;" "&amp; $C$143</f>
        <v/>
      </c>
      <c r="B145" s="395" t="n"/>
      <c r="C145" s="407" t="inlineStr">
        <is>
          <t>Polyethylene (all types)</t>
        </is>
      </c>
      <c r="D145" s="407" t="n"/>
      <c r="E145" s="396">
        <f>"thsd</f>
        <v/>
      </c>
      <c r="F145" s="375" t="inlineStr">
        <is>
          <t>+</t>
        </is>
      </c>
      <c r="G145" s="158" t="n"/>
      <c r="H145" s="158" t="n"/>
      <c r="I145" s="158" t="n"/>
      <c r="J145" s="184">
        <f>IFERROR((H145-I145),"N/A")</f>
        <v/>
      </c>
      <c r="K145" s="384">
        <f>IFERROR((H145-I145)/ABS(I145),"N/A")</f>
        <v/>
      </c>
      <c r="L145" s="184">
        <f>IFERROR((H145-G145),"N/A")</f>
        <v/>
      </c>
      <c r="M145" s="384">
        <f>IFERROR((H145-G145)/ABS(G145),"N/A")</f>
        <v/>
      </c>
      <c r="N145" s="158" t="n"/>
      <c r="O145" s="158" t="n"/>
      <c r="P145" s="158" t="n"/>
      <c r="Q145" s="184">
        <f>IFERROR((O145-P145),"N/A")</f>
        <v/>
      </c>
      <c r="R145" s="385">
        <f>IFERROR((O145-P145)/ABS(P145),"N/A")</f>
        <v/>
      </c>
      <c r="S145" s="184">
        <f>IFERROR((O145-N145),"N/A")</f>
        <v/>
      </c>
      <c r="T145" s="385">
        <f>IFERROR((O145-N145)/ABS(N145),"N/A")</f>
        <v/>
      </c>
    </row>
    <row r="146" outlineLevel="1" ht="12.75" customFormat="1" customHeight="1" s="30">
      <c r="A146" s="373">
        <f>$C$144&amp;" "&amp;C145&amp;" "&amp;C146&amp;" "&amp; $C$143</f>
        <v/>
      </c>
      <c r="B146" s="397" t="n"/>
      <c r="C146" s="397" t="inlineStr">
        <is>
          <t>Sales volume</t>
        </is>
      </c>
      <c r="D146" s="397" t="n"/>
      <c r="E146" s="396" t="inlineStr">
        <is>
          <t>thsd</t>
        </is>
      </c>
      <c r="F146" s="375" t="inlineStr">
        <is>
          <t>+</t>
        </is>
      </c>
      <c r="G146" s="158" t="n"/>
      <c r="H146" s="158" t="n"/>
      <c r="I146" s="158" t="n"/>
      <c r="J146" s="184">
        <f>IFERROR((H146-I146),"N/A")</f>
        <v/>
      </c>
      <c r="K146" s="384">
        <f>IFERROR((H146-I146)/ABS(I146),"N/A")</f>
        <v/>
      </c>
      <c r="L146" s="184">
        <f>IFERROR((H146-G146),"N/A")</f>
        <v/>
      </c>
      <c r="M146" s="384">
        <f>IFERROR((H146-G146)/ABS(G146),"N/A")</f>
        <v/>
      </c>
      <c r="N146" s="158" t="n"/>
      <c r="O146" s="158" t="n"/>
      <c r="P146" s="158" t="n"/>
      <c r="Q146" s="184">
        <f>IFERROR((O146-P146),"N/A")</f>
        <v/>
      </c>
      <c r="R146" s="385">
        <f>IFERROR((O146-P146)/ABS(P146),"N/A")</f>
        <v/>
      </c>
      <c r="S146" s="184">
        <f>IFERROR((O146-N146),"N/A")</f>
        <v/>
      </c>
      <c r="T146" s="385">
        <f>IFERROR((O146-N146)/ABS(N146),"N/A")</f>
        <v/>
      </c>
    </row>
    <row r="147" outlineLevel="1" ht="12.75" customFormat="1" customHeight="1" s="30">
      <c r="A147" s="373">
        <f>$C$144&amp;" "&amp;C145&amp;" "&amp;C147&amp;" "&amp; $C$143</f>
        <v/>
      </c>
      <c r="B147" s="397" t="n"/>
      <c r="C147" s="397" t="inlineStr">
        <is>
          <t>Price</t>
        </is>
      </c>
      <c r="D147" s="397" t="inlineStr">
        <is>
          <t>Qiyməti</t>
        </is>
      </c>
      <c r="E147" s="396">
        <f>$D$9&amp;"</f>
        <v/>
      </c>
      <c r="F147" s="375" t="inlineStr">
        <is>
          <t>+</t>
        </is>
      </c>
      <c r="G147" s="184">
        <f>IF(G146=0,0,IFERROR(G145/G146,"N/A"))</f>
        <v/>
      </c>
      <c r="H147" s="184">
        <f>IF(H146=0,0,IFERROR(H145/H146,"N/A"))</f>
        <v/>
      </c>
      <c r="I147" s="184">
        <f>IF(I146=0,0,IFERROR(I145/I146,"N/A"))</f>
        <v/>
      </c>
      <c r="J147" s="184">
        <f>IFERROR((H147-I147),"N/A")</f>
        <v/>
      </c>
      <c r="K147" s="384">
        <f>IFERROR((H147-I147)/ABS(I147),"N/A")</f>
        <v/>
      </c>
      <c r="L147" s="184">
        <f>IFERROR((H147-G147),"N/A")</f>
        <v/>
      </c>
      <c r="M147" s="384">
        <f>IFERROR((H147-G147)/ABS(G147),"N/A")</f>
        <v/>
      </c>
      <c r="N147" s="184">
        <f>IF(N146=0,0,IFERROR(N145/N146,"N/A"))</f>
        <v/>
      </c>
      <c r="O147" s="184">
        <f>IF(O146=0,0,IFERROR(O145/O146,"N/A"))</f>
        <v/>
      </c>
      <c r="P147" s="184">
        <f>IF(P146=0,0,IFERROR(P145/P146,"N/A"))</f>
        <v/>
      </c>
      <c r="Q147" s="184">
        <f>IFERROR((O147-P147),"N/A")</f>
        <v/>
      </c>
      <c r="R147" s="385">
        <f>IFERROR((O147-P147)/ABS(P147),"N/A")</f>
        <v/>
      </c>
      <c r="S147" s="184">
        <f>IFERROR((O147-N147),"N/A")</f>
        <v/>
      </c>
      <c r="T147" s="385">
        <f>IFERROR((O147-N147)/ABS(N147),"N/A")</f>
        <v/>
      </c>
    </row>
    <row r="148" outlineLevel="1" ht="12.75" customFormat="1" customHeight="1" s="30">
      <c r="A148" s="373">
        <f>$C$144&amp;" "&amp;C145&amp;" "&amp;C148&amp;" "&amp; $C$143</f>
        <v/>
      </c>
      <c r="B148" s="397" t="n"/>
      <c r="C148" s="436" t="inlineStr">
        <is>
          <t>COGs</t>
        </is>
      </c>
      <c r="D148" s="397" t="n"/>
      <c r="E148" s="396">
        <f>$D$9&amp;"</f>
        <v/>
      </c>
      <c r="F148" s="375" t="inlineStr">
        <is>
          <t>+</t>
        </is>
      </c>
      <c r="G148" s="399">
        <f>IF(G146=0,0,IFERROR(G149/G146,"N/A"))</f>
        <v/>
      </c>
      <c r="H148" s="399">
        <f>IF(H146=0,0,IFERROR(H149/H146,"N/A"))</f>
        <v/>
      </c>
      <c r="I148" s="399">
        <f>IF(I146=0,0,IFERROR(I149/I146,"N/A"))</f>
        <v/>
      </c>
      <c r="J148" s="400">
        <f>IFERROR((H148-I148),"N/A")</f>
        <v/>
      </c>
      <c r="K148" s="385">
        <f>IFERROR((H148-I148)/ABS(I148),"N/A")</f>
        <v/>
      </c>
      <c r="L148" s="400">
        <f>IFERROR((H148-G148),"N/A")</f>
        <v/>
      </c>
      <c r="M148" s="385">
        <f>IFERROR((H148-G148)/ABS(G148),"N/A")</f>
        <v/>
      </c>
      <c r="N148" s="399">
        <f>IF(N146=0,0,IFERROR(N149/N146,"N/A"))</f>
        <v/>
      </c>
      <c r="O148" s="399">
        <f>IF(O146=0,0,IFERROR(O149/O146,"N/A"))</f>
        <v/>
      </c>
      <c r="P148" s="399">
        <f>IF(P146=0,0,IFERROR(P149/P146,"N/A"))</f>
        <v/>
      </c>
      <c r="Q148" s="184">
        <f>IFERROR((O148-P148),"N/A")</f>
        <v/>
      </c>
      <c r="R148" s="385">
        <f>IFERROR((O148-P148)/ABS(P148),"N/A")</f>
        <v/>
      </c>
      <c r="S148" s="400">
        <f>IFERROR((O148-N148),"N/A")</f>
        <v/>
      </c>
      <c r="T148" s="385">
        <f>IFERROR((O148-N148)/ABS(N148),"N/A")</f>
        <v/>
      </c>
    </row>
    <row r="149" outlineLevel="1" ht="12.75" customFormat="1" customHeight="1" s="30">
      <c r="A149" s="373" t="n"/>
      <c r="B149" s="397" t="n"/>
      <c r="C149" s="436" t="inlineStr">
        <is>
          <t>Total COGs</t>
        </is>
      </c>
      <c r="D149" s="397" t="n"/>
      <c r="E149" s="396">
        <f>"thsd</f>
        <v/>
      </c>
      <c r="F149" s="375" t="inlineStr">
        <is>
          <t>+</t>
        </is>
      </c>
      <c r="G149" s="158" t="n"/>
      <c r="H149" s="158" t="n"/>
      <c r="I149" s="158" t="n"/>
      <c r="J149" s="400">
        <f>IFERROR((H149-I149),"N/A")</f>
        <v/>
      </c>
      <c r="K149" s="385">
        <f>IFERROR((H149-I149)/ABS(I149),"N/A")</f>
        <v/>
      </c>
      <c r="L149" s="400">
        <f>IFERROR((H149-G149),"N/A")</f>
        <v/>
      </c>
      <c r="M149" s="385">
        <f>IFERROR((H149-G149)/ABS(G149),"N/A")</f>
        <v/>
      </c>
      <c r="N149" s="158" t="n"/>
      <c r="O149" s="158" t="n"/>
      <c r="P149" s="158" t="n"/>
      <c r="Q149" s="184">
        <f>IFERROR((O149-P149),"N/A")</f>
        <v/>
      </c>
      <c r="R149" s="385">
        <f>IFERROR((O149-P149)/ABS(P149),"N/A")</f>
        <v/>
      </c>
      <c r="S149" s="400">
        <f>IFERROR((O149-N149),"N/A")</f>
        <v/>
      </c>
      <c r="T149" s="385">
        <f>IFERROR((O149-N149)/ABS(N149),"N/A")</f>
        <v/>
      </c>
    </row>
    <row r="150" outlineLevel="1" ht="12.75" customFormat="1" customHeight="1" s="30">
      <c r="A150" s="373">
        <f>$C$144&amp;" "&amp;C150&amp;" Revenue"&amp;" "&amp; $C$143</f>
        <v/>
      </c>
      <c r="B150" s="395" t="n"/>
      <c r="C150" s="407" t="inlineStr">
        <is>
          <t>Polypropylene (all types)</t>
        </is>
      </c>
      <c r="D150" s="407" t="n"/>
      <c r="E150" s="396">
        <f>"thsd</f>
        <v/>
      </c>
      <c r="F150" s="375" t="inlineStr">
        <is>
          <t>+</t>
        </is>
      </c>
      <c r="G150" s="158" t="n"/>
      <c r="H150" s="158" t="n"/>
      <c r="I150" s="158" t="n"/>
      <c r="J150" s="184">
        <f>IFERROR((H150-I150),"N/A")</f>
        <v/>
      </c>
      <c r="K150" s="384">
        <f>IFERROR((H150-I150)/ABS(I150),"N/A")</f>
        <v/>
      </c>
      <c r="L150" s="184">
        <f>IFERROR((H150-G150),"N/A")</f>
        <v/>
      </c>
      <c r="M150" s="384">
        <f>IFERROR((H150-G150)/ABS(G150),"N/A")</f>
        <v/>
      </c>
      <c r="N150" s="158" t="n"/>
      <c r="O150" s="158" t="n"/>
      <c r="P150" s="158" t="n"/>
      <c r="Q150" s="184">
        <f>IFERROR((O150-P150),"N/A")</f>
        <v/>
      </c>
      <c r="R150" s="385">
        <f>IFERROR((O150-P150)/ABS(P150),"N/A")</f>
        <v/>
      </c>
      <c r="S150" s="184">
        <f>IFERROR((O150-N150),"N/A")</f>
        <v/>
      </c>
      <c r="T150" s="385">
        <f>IFERROR((O150-N150)/ABS(N150),"N/A")</f>
        <v/>
      </c>
    </row>
    <row r="151" outlineLevel="1" ht="12.75" customFormat="1" customHeight="1" s="30">
      <c r="A151" s="373">
        <f>$C$144&amp;" "&amp;C150&amp;" "&amp;C151&amp;" "&amp; $C$143</f>
        <v/>
      </c>
      <c r="B151" s="397" t="n"/>
      <c r="C151" s="397" t="inlineStr">
        <is>
          <t>Sales volume</t>
        </is>
      </c>
      <c r="D151" s="397" t="n"/>
      <c r="E151" s="396" t="inlineStr">
        <is>
          <t>thsd</t>
        </is>
      </c>
      <c r="F151" s="375" t="inlineStr">
        <is>
          <t>+</t>
        </is>
      </c>
      <c r="G151" s="158" t="n"/>
      <c r="H151" s="158" t="n"/>
      <c r="I151" s="158" t="n"/>
      <c r="J151" s="184">
        <f>IFERROR((H151-I151),"N/A")</f>
        <v/>
      </c>
      <c r="K151" s="384">
        <f>IFERROR((H151-I151)/ABS(I151),"N/A")</f>
        <v/>
      </c>
      <c r="L151" s="184">
        <f>IFERROR((H151-G151),"N/A")</f>
        <v/>
      </c>
      <c r="M151" s="384">
        <f>IFERROR((H151-G151)/ABS(G151),"N/A")</f>
        <v/>
      </c>
      <c r="N151" s="158" t="n"/>
      <c r="O151" s="158" t="n"/>
      <c r="P151" s="158" t="n"/>
      <c r="Q151" s="184">
        <f>IFERROR((O151-P151),"N/A")</f>
        <v/>
      </c>
      <c r="R151" s="385">
        <f>IFERROR((O151-P151)/ABS(P151),"N/A")</f>
        <v/>
      </c>
      <c r="S151" s="184">
        <f>IFERROR((O151-N151),"N/A")</f>
        <v/>
      </c>
      <c r="T151" s="385">
        <f>IFERROR((O151-N151)/ABS(N151),"N/A")</f>
        <v/>
      </c>
    </row>
    <row r="152" outlineLevel="1" ht="12.75" customFormat="1" customHeight="1" s="30">
      <c r="A152" s="373">
        <f>$C$144&amp;" "&amp;C150&amp;" "&amp;C152&amp;" "&amp; $C$143</f>
        <v/>
      </c>
      <c r="B152" s="397" t="n"/>
      <c r="C152" s="397" t="inlineStr">
        <is>
          <t>Price</t>
        </is>
      </c>
      <c r="D152" s="397" t="inlineStr">
        <is>
          <t>Qiyməti</t>
        </is>
      </c>
      <c r="E152" s="396">
        <f>$D$9&amp;"</f>
        <v/>
      </c>
      <c r="F152" s="375" t="inlineStr">
        <is>
          <t>+</t>
        </is>
      </c>
      <c r="G152" s="184">
        <f>IF(G151=0,0,IFERROR(G150/G151,"N/A"))</f>
        <v/>
      </c>
      <c r="H152" s="184">
        <f>IF(H151=0,0,IFERROR(H150/H151,"N/A"))</f>
        <v/>
      </c>
      <c r="I152" s="184">
        <f>IF(I151=0,0,IFERROR(I150/I151,"N/A"))</f>
        <v/>
      </c>
      <c r="J152" s="184">
        <f>IFERROR((H152-I152),"N/A")</f>
        <v/>
      </c>
      <c r="K152" s="384">
        <f>IFERROR((H152-I152)/ABS(I152),"N/A")</f>
        <v/>
      </c>
      <c r="L152" s="184">
        <f>IFERROR((H152-G152),"N/A")</f>
        <v/>
      </c>
      <c r="M152" s="384">
        <f>IFERROR((H152-G152)/ABS(G152),"N/A")</f>
        <v/>
      </c>
      <c r="N152" s="184">
        <f>IF(N151=0,0,IFERROR(N150/N151,"N/A"))</f>
        <v/>
      </c>
      <c r="O152" s="184">
        <f>IF(O151=0,0,IFERROR(O150/O151,"N/A"))</f>
        <v/>
      </c>
      <c r="P152" s="184">
        <f>IF(P151=0,0,IFERROR(P150/P151,"N/A"))</f>
        <v/>
      </c>
      <c r="Q152" s="184">
        <f>IFERROR((O152-P152),"N/A")</f>
        <v/>
      </c>
      <c r="R152" s="385">
        <f>IFERROR((O152-P152)/ABS(P152),"N/A")</f>
        <v/>
      </c>
      <c r="S152" s="184">
        <f>IFERROR((O152-N152),"N/A")</f>
        <v/>
      </c>
      <c r="T152" s="385">
        <f>IFERROR((O152-N152)/ABS(N152),"N/A")</f>
        <v/>
      </c>
    </row>
    <row r="153" outlineLevel="1" ht="12.75" customFormat="1" customHeight="1" s="30">
      <c r="A153" s="373">
        <f>$C$144&amp;" "&amp;C150&amp;" "&amp;C153&amp;" "&amp; $C$143</f>
        <v/>
      </c>
      <c r="B153" s="397" t="n"/>
      <c r="C153" s="436" t="inlineStr">
        <is>
          <t>COGs</t>
        </is>
      </c>
      <c r="D153" s="397" t="n"/>
      <c r="E153" s="396">
        <f>$D$9&amp;"</f>
        <v/>
      </c>
      <c r="F153" s="375" t="inlineStr">
        <is>
          <t>+</t>
        </is>
      </c>
      <c r="G153" s="399">
        <f>IF(G151=0,0,IFERROR(G154/G151,"N/A"))</f>
        <v/>
      </c>
      <c r="H153" s="399">
        <f>IF(H151=0,0,IFERROR(H154/H151,"N/A"))</f>
        <v/>
      </c>
      <c r="I153" s="399">
        <f>IF(I151=0,0,IFERROR(I154/I151,"N/A"))</f>
        <v/>
      </c>
      <c r="J153" s="400">
        <f>IFERROR((H153-I153),"N/A")</f>
        <v/>
      </c>
      <c r="K153" s="385">
        <f>IFERROR((H153-I153)/ABS(I153),"N/A")</f>
        <v/>
      </c>
      <c r="L153" s="400">
        <f>IFERROR((H153-G153),"N/A")</f>
        <v/>
      </c>
      <c r="M153" s="385">
        <f>IFERROR((H153-G153)/ABS(G153),"N/A")</f>
        <v/>
      </c>
      <c r="N153" s="399">
        <f>IF(N151=0,0,IFERROR(N154/N151,"N/A"))</f>
        <v/>
      </c>
      <c r="O153" s="399">
        <f>IF(O151=0,0,IFERROR(O154/O151,"N/A"))</f>
        <v/>
      </c>
      <c r="P153" s="399">
        <f>IF(P151=0,0,IFERROR(P154/P151,"N/A"))</f>
        <v/>
      </c>
      <c r="Q153" s="184">
        <f>IFERROR((O153-P153),"N/A")</f>
        <v/>
      </c>
      <c r="R153" s="385">
        <f>IFERROR((O153-P153)/ABS(P153),"N/A")</f>
        <v/>
      </c>
      <c r="S153" s="400">
        <f>IFERROR((O153-N153),"N/A")</f>
        <v/>
      </c>
      <c r="T153" s="385">
        <f>IFERROR((O153-N153)/ABS(N153),"N/A")</f>
        <v/>
      </c>
    </row>
    <row r="154" outlineLevel="1" ht="12.75" customFormat="1" customHeight="1" s="30">
      <c r="A154" s="373" t="n"/>
      <c r="B154" s="397" t="n"/>
      <c r="C154" s="436" t="inlineStr">
        <is>
          <t>Total COGs</t>
        </is>
      </c>
      <c r="D154" s="397" t="n"/>
      <c r="E154" s="396">
        <f>"thsd</f>
        <v/>
      </c>
      <c r="F154" s="375" t="inlineStr">
        <is>
          <t>+</t>
        </is>
      </c>
      <c r="G154" s="158" t="n"/>
      <c r="H154" s="158" t="n"/>
      <c r="I154" s="158" t="n"/>
      <c r="J154" s="400">
        <f>IFERROR((H154-I154),"N/A")</f>
        <v/>
      </c>
      <c r="K154" s="385">
        <f>IFERROR((H154-I154)/ABS(I154),"N/A")</f>
        <v/>
      </c>
      <c r="L154" s="400">
        <f>IFERROR((H154-G154),"N/A")</f>
        <v/>
      </c>
      <c r="M154" s="385">
        <f>IFERROR((H154-G154)/ABS(G154),"N/A")</f>
        <v/>
      </c>
      <c r="N154" s="158" t="n"/>
      <c r="O154" s="158" t="n"/>
      <c r="P154" s="158" t="n"/>
      <c r="Q154" s="184">
        <f>IFERROR((O154-P154),"N/A")</f>
        <v/>
      </c>
      <c r="R154" s="385">
        <f>IFERROR((O154-P154)/ABS(P154),"N/A")</f>
        <v/>
      </c>
      <c r="S154" s="400">
        <f>IFERROR((O154-N154),"N/A")</f>
        <v/>
      </c>
      <c r="T154" s="385">
        <f>IFERROR((O154-N154)/ABS(N154),"N/A")</f>
        <v/>
      </c>
    </row>
    <row r="155" outlineLevel="1" ht="12.75" customFormat="1" customHeight="1" s="30">
      <c r="A155" s="373">
        <f>$C$144&amp;" "&amp;C155&amp;" Revenue"&amp;" "&amp; $C$143</f>
        <v/>
      </c>
      <c r="B155" s="395" t="n"/>
      <c r="C155" s="407" t="inlineStr">
        <is>
          <t>Aromatics (benzene, xylenes, etc.)</t>
        </is>
      </c>
      <c r="D155" s="407" t="n"/>
      <c r="E155" s="396">
        <f>"thsd</f>
        <v/>
      </c>
      <c r="F155" s="375" t="inlineStr">
        <is>
          <t>+</t>
        </is>
      </c>
      <c r="G155" s="158" t="n"/>
      <c r="H155" s="158" t="n"/>
      <c r="I155" s="158" t="n"/>
      <c r="J155" s="184">
        <f>IFERROR((H155-I155),"N/A")</f>
        <v/>
      </c>
      <c r="K155" s="384">
        <f>IFERROR((H155-I155)/ABS(I155),"N/A")</f>
        <v/>
      </c>
      <c r="L155" s="184">
        <f>IFERROR((H155-G155),"N/A")</f>
        <v/>
      </c>
      <c r="M155" s="384">
        <f>IFERROR((H155-G155)/ABS(G155),"N/A")</f>
        <v/>
      </c>
      <c r="N155" s="158" t="n"/>
      <c r="O155" s="158" t="n"/>
      <c r="P155" s="158" t="n"/>
      <c r="Q155" s="184">
        <f>IFERROR((O155-P155),"N/A")</f>
        <v/>
      </c>
      <c r="R155" s="385">
        <f>IFERROR((O155-P155)/ABS(P155),"N/A")</f>
        <v/>
      </c>
      <c r="S155" s="184">
        <f>IFERROR((O155-N155),"N/A")</f>
        <v/>
      </c>
      <c r="T155" s="385">
        <f>IFERROR((O155-N155)/ABS(N155),"N/A")</f>
        <v/>
      </c>
    </row>
    <row r="156" outlineLevel="1" ht="12.75" customFormat="1" customHeight="1" s="30">
      <c r="A156" s="373">
        <f>$C$144&amp;" "&amp;C155&amp;" "&amp;C156&amp;" "&amp; $C$143</f>
        <v/>
      </c>
      <c r="B156" s="397" t="n"/>
      <c r="C156" s="397" t="inlineStr">
        <is>
          <t>Sales volume</t>
        </is>
      </c>
      <c r="D156" s="397" t="n"/>
      <c r="E156" s="396" t="inlineStr">
        <is>
          <t>thsd</t>
        </is>
      </c>
      <c r="F156" s="375" t="inlineStr">
        <is>
          <t>+</t>
        </is>
      </c>
      <c r="G156" s="158" t="n"/>
      <c r="H156" s="158" t="n"/>
      <c r="I156" s="158" t="n"/>
      <c r="J156" s="184">
        <f>IFERROR((H156-I156),"N/A")</f>
        <v/>
      </c>
      <c r="K156" s="384">
        <f>IFERROR((H156-I156)/ABS(I156),"N/A")</f>
        <v/>
      </c>
      <c r="L156" s="184">
        <f>IFERROR((H156-G156),"N/A")</f>
        <v/>
      </c>
      <c r="M156" s="384">
        <f>IFERROR((H156-G156)/ABS(G156),"N/A")</f>
        <v/>
      </c>
      <c r="N156" s="158" t="n"/>
      <c r="O156" s="158" t="n"/>
      <c r="P156" s="158" t="n"/>
      <c r="Q156" s="184">
        <f>IFERROR((O156-P156),"N/A")</f>
        <v/>
      </c>
      <c r="R156" s="385">
        <f>IFERROR((O156-P156)/ABS(P156),"N/A")</f>
        <v/>
      </c>
      <c r="S156" s="184">
        <f>IFERROR((O156-N156),"N/A")</f>
        <v/>
      </c>
      <c r="T156" s="385">
        <f>IFERROR((O156-N156)/ABS(N156),"N/A")</f>
        <v/>
      </c>
    </row>
    <row r="157" outlineLevel="1" ht="12.75" customFormat="1" customHeight="1" s="30">
      <c r="A157" s="373">
        <f>$C$144&amp;" "&amp;C155&amp;" "&amp;C157&amp;" "&amp; $C$143</f>
        <v/>
      </c>
      <c r="B157" s="397" t="n"/>
      <c r="C157" s="397" t="inlineStr">
        <is>
          <t>Price</t>
        </is>
      </c>
      <c r="D157" s="397" t="inlineStr">
        <is>
          <t>Qiyməti</t>
        </is>
      </c>
      <c r="E157" s="396">
        <f>$D$9&amp;"</f>
        <v/>
      </c>
      <c r="F157" s="375" t="inlineStr">
        <is>
          <t>+</t>
        </is>
      </c>
      <c r="G157" s="184">
        <f>IF(G156=0,0,IFERROR(G155/G156,"N/A"))</f>
        <v/>
      </c>
      <c r="H157" s="184">
        <f>IF(H156=0,0,IFERROR(H155/H156,"N/A"))</f>
        <v/>
      </c>
      <c r="I157" s="184">
        <f>IF(I156=0,0,IFERROR(I155/I156,"N/A"))</f>
        <v/>
      </c>
      <c r="J157" s="184">
        <f>IFERROR((H157-I157),"N/A")</f>
        <v/>
      </c>
      <c r="K157" s="384">
        <f>IFERROR((H157-I157)/ABS(I157),"N/A")</f>
        <v/>
      </c>
      <c r="L157" s="184">
        <f>IFERROR((H157-G157),"N/A")</f>
        <v/>
      </c>
      <c r="M157" s="384">
        <f>IFERROR((H157-G157)/ABS(G157),"N/A")</f>
        <v/>
      </c>
      <c r="N157" s="184">
        <f>IF(N156=0,0,IFERROR(N155/N156,"N/A"))</f>
        <v/>
      </c>
      <c r="O157" s="184">
        <f>IF(O156=0,0,IFERROR(O155/O156,"N/A"))</f>
        <v/>
      </c>
      <c r="P157" s="184">
        <f>IF(P156=0,0,IFERROR(P155/P156,"N/A"))</f>
        <v/>
      </c>
      <c r="Q157" s="184">
        <f>IFERROR((O157-P157),"N/A")</f>
        <v/>
      </c>
      <c r="R157" s="385">
        <f>IFERROR((O157-P157)/ABS(P157),"N/A")</f>
        <v/>
      </c>
      <c r="S157" s="184">
        <f>IFERROR((O157-N157),"N/A")</f>
        <v/>
      </c>
      <c r="T157" s="385">
        <f>IFERROR((O157-N157)/ABS(N157),"N/A")</f>
        <v/>
      </c>
    </row>
    <row r="158" outlineLevel="1" ht="12.75" customFormat="1" customHeight="1" s="30">
      <c r="A158" s="373">
        <f>$C$144&amp;" "&amp;C155&amp;" "&amp;C158&amp;" "&amp; $C$143</f>
        <v/>
      </c>
      <c r="B158" s="397" t="n"/>
      <c r="C158" s="436" t="inlineStr">
        <is>
          <t>COGs</t>
        </is>
      </c>
      <c r="D158" s="397" t="n"/>
      <c r="E158" s="396">
        <f>$D$9&amp;"</f>
        <v/>
      </c>
      <c r="F158" s="375" t="inlineStr">
        <is>
          <t>+</t>
        </is>
      </c>
      <c r="G158" s="399">
        <f>IF(G156=0,0,IFERROR(G159/G156,"N/A"))</f>
        <v/>
      </c>
      <c r="H158" s="399">
        <f>IF(H156=0,0,IFERROR(H159/H156,"N/A"))</f>
        <v/>
      </c>
      <c r="I158" s="399">
        <f>IF(I156=0,0,IFERROR(I159/I156,"N/A"))</f>
        <v/>
      </c>
      <c r="J158" s="400">
        <f>IFERROR((H158-I158),"N/A")</f>
        <v/>
      </c>
      <c r="K158" s="385">
        <f>IFERROR((H158-I158)/ABS(I158),"N/A")</f>
        <v/>
      </c>
      <c r="L158" s="400">
        <f>IFERROR((H158-G158),"N/A")</f>
        <v/>
      </c>
      <c r="M158" s="385">
        <f>IFERROR((H158-G158)/ABS(G158),"N/A")</f>
        <v/>
      </c>
      <c r="N158" s="399">
        <f>IF(N156=0,0,IFERROR(N159/N156,"N/A"))</f>
        <v/>
      </c>
      <c r="O158" s="399">
        <f>IF(O156=0,0,IFERROR(O159/O156,"N/A"))</f>
        <v/>
      </c>
      <c r="P158" s="399">
        <f>IF(P156=0,0,IFERROR(P159/P156,"N/A"))</f>
        <v/>
      </c>
      <c r="Q158" s="184">
        <f>IFERROR((O158-P158),"N/A")</f>
        <v/>
      </c>
      <c r="R158" s="385">
        <f>IFERROR((O158-P158)/ABS(P158),"N/A")</f>
        <v/>
      </c>
      <c r="S158" s="400">
        <f>IFERROR((O158-N158),"N/A")</f>
        <v/>
      </c>
      <c r="T158" s="385">
        <f>IFERROR((O158-N158)/ABS(N158),"N/A")</f>
        <v/>
      </c>
    </row>
    <row r="159" outlineLevel="1" ht="12.75" customFormat="1" customHeight="1" s="30">
      <c r="A159" s="373" t="n"/>
      <c r="B159" s="397" t="n"/>
      <c r="C159" s="436" t="inlineStr">
        <is>
          <t>Total COGs</t>
        </is>
      </c>
      <c r="D159" s="397" t="n"/>
      <c r="E159" s="396">
        <f>"thsd</f>
        <v/>
      </c>
      <c r="F159" s="375" t="inlineStr">
        <is>
          <t>+</t>
        </is>
      </c>
      <c r="G159" s="158" t="n"/>
      <c r="H159" s="158" t="n"/>
      <c r="I159" s="158" t="n"/>
      <c r="J159" s="400">
        <f>IFERROR((H159-I159),"N/A")</f>
        <v/>
      </c>
      <c r="K159" s="385">
        <f>IFERROR((H159-I159)/ABS(I159),"N/A")</f>
        <v/>
      </c>
      <c r="L159" s="400">
        <f>IFERROR((H159-G159),"N/A")</f>
        <v/>
      </c>
      <c r="M159" s="385">
        <f>IFERROR((H159-G159)/ABS(G159),"N/A")</f>
        <v/>
      </c>
      <c r="N159" s="158" t="n"/>
      <c r="O159" s="158" t="n"/>
      <c r="P159" s="158" t="n"/>
      <c r="Q159" s="184">
        <f>IFERROR((O159-P159),"N/A")</f>
        <v/>
      </c>
      <c r="R159" s="385">
        <f>IFERROR((O159-P159)/ABS(P159),"N/A")</f>
        <v/>
      </c>
      <c r="S159" s="400">
        <f>IFERROR((O159-N159),"N/A")</f>
        <v/>
      </c>
      <c r="T159" s="385">
        <f>IFERROR((O159-N159)/ABS(N159),"N/A")</f>
        <v/>
      </c>
    </row>
    <row r="160" outlineLevel="1" ht="12.75" customFormat="1" customHeight="1" s="30">
      <c r="A160" s="373">
        <f>$C$144&amp;" "&amp;C160&amp;" Revenue"&amp;" "&amp; $C$143</f>
        <v/>
      </c>
      <c r="B160" s="395" t="n"/>
      <c r="C160" s="407" t="inlineStr">
        <is>
          <t>С4-С5</t>
        </is>
      </c>
      <c r="D160" s="407" t="inlineStr">
        <is>
          <t>С4-С5</t>
        </is>
      </c>
      <c r="E160" s="396">
        <f>"thsd</f>
        <v/>
      </c>
      <c r="F160" s="375" t="inlineStr">
        <is>
          <t>+</t>
        </is>
      </c>
      <c r="G160" s="158" t="n"/>
      <c r="H160" s="158" t="n"/>
      <c r="I160" s="158" t="n"/>
      <c r="J160" s="184">
        <f>IFERROR((H160-I160),"N/A")</f>
        <v/>
      </c>
      <c r="K160" s="384">
        <f>IFERROR((H160-I160)/ABS(I160),"N/A")</f>
        <v/>
      </c>
      <c r="L160" s="184">
        <f>IFERROR((H160-G160),"N/A")</f>
        <v/>
      </c>
      <c r="M160" s="384">
        <f>IFERROR((H160-G160)/ABS(G160),"N/A")</f>
        <v/>
      </c>
      <c r="N160" s="158" t="n"/>
      <c r="O160" s="158" t="n"/>
      <c r="P160" s="158" t="n"/>
      <c r="Q160" s="184">
        <f>IFERROR((O160-P160),"N/A")</f>
        <v/>
      </c>
      <c r="R160" s="385">
        <f>IFERROR((O160-P160)/ABS(P160),"N/A")</f>
        <v/>
      </c>
      <c r="S160" s="184">
        <f>IFERROR((O160-N160),"N/A")</f>
        <v/>
      </c>
      <c r="T160" s="385">
        <f>IFERROR((O160-N160)/ABS(N160),"N/A")</f>
        <v/>
      </c>
    </row>
    <row r="161" outlineLevel="1" ht="12.75" customFormat="1" customHeight="1" s="30">
      <c r="A161" s="373">
        <f>$C$144&amp;" "&amp;C160&amp;" "&amp;C161&amp;" "&amp; $C$143</f>
        <v/>
      </c>
      <c r="B161" s="397" t="n"/>
      <c r="C161" s="397" t="inlineStr">
        <is>
          <t>Sales volume</t>
        </is>
      </c>
      <c r="D161" s="397" t="n"/>
      <c r="E161" s="396" t="inlineStr">
        <is>
          <t>thsd</t>
        </is>
      </c>
      <c r="F161" s="375" t="inlineStr">
        <is>
          <t>+</t>
        </is>
      </c>
      <c r="G161" s="158" t="n"/>
      <c r="H161" s="158" t="n"/>
      <c r="I161" s="158" t="n"/>
      <c r="J161" s="184">
        <f>IFERROR((H161-I161),"N/A")</f>
        <v/>
      </c>
      <c r="K161" s="384">
        <f>IFERROR((H161-I161)/ABS(I161),"N/A")</f>
        <v/>
      </c>
      <c r="L161" s="184">
        <f>IFERROR((H161-G161),"N/A")</f>
        <v/>
      </c>
      <c r="M161" s="384">
        <f>IFERROR((H161-G161)/ABS(G161),"N/A")</f>
        <v/>
      </c>
      <c r="N161" s="158" t="n"/>
      <c r="O161" s="158" t="n"/>
      <c r="P161" s="158" t="n"/>
      <c r="Q161" s="184">
        <f>IFERROR((O161-P161),"N/A")</f>
        <v/>
      </c>
      <c r="R161" s="385">
        <f>IFERROR((O161-P161)/ABS(P161),"N/A")</f>
        <v/>
      </c>
      <c r="S161" s="184">
        <f>IFERROR((O161-N161),"N/A")</f>
        <v/>
      </c>
      <c r="T161" s="385">
        <f>IFERROR((O161-N161)/ABS(N161),"N/A")</f>
        <v/>
      </c>
    </row>
    <row r="162" outlineLevel="1" ht="12.75" customFormat="1" customHeight="1" s="30">
      <c r="A162" s="373">
        <f>$C$144&amp;" "&amp;C160&amp;" "&amp;C162&amp;" "&amp; $C$143</f>
        <v/>
      </c>
      <c r="B162" s="397" t="n"/>
      <c r="C162" s="397" t="inlineStr">
        <is>
          <t>Price</t>
        </is>
      </c>
      <c r="D162" s="397" t="inlineStr">
        <is>
          <t>Qiyməti</t>
        </is>
      </c>
      <c r="E162" s="396">
        <f>$D$9&amp;"</f>
        <v/>
      </c>
      <c r="F162" s="375" t="inlineStr">
        <is>
          <t>+</t>
        </is>
      </c>
      <c r="G162" s="184">
        <f>IF(G161=0,0,IFERROR(G160/G161,"N/A"))</f>
        <v/>
      </c>
      <c r="H162" s="184">
        <f>IF(H161=0,0,IFERROR(H160/H161,"N/A"))</f>
        <v/>
      </c>
      <c r="I162" s="184">
        <f>IF(I161=0,0,IFERROR(I160/I161,"N/A"))</f>
        <v/>
      </c>
      <c r="J162" s="184">
        <f>IFERROR((H162-I162),"N/A")</f>
        <v/>
      </c>
      <c r="K162" s="384">
        <f>IFERROR((H162-I162)/ABS(I162),"N/A")</f>
        <v/>
      </c>
      <c r="L162" s="184">
        <f>IFERROR((H162-G162),"N/A")</f>
        <v/>
      </c>
      <c r="M162" s="384">
        <f>IFERROR((H162-G162)/ABS(G162),"N/A")</f>
        <v/>
      </c>
      <c r="N162" s="184">
        <f>IF(N161=0,0,IFERROR(N160/N161,"N/A"))</f>
        <v/>
      </c>
      <c r="O162" s="184">
        <f>IF(O161=0,0,IFERROR(O160/O161,"N/A"))</f>
        <v/>
      </c>
      <c r="P162" s="184">
        <f>IF(P161=0,0,IFERROR(P160/P161,"N/A"))</f>
        <v/>
      </c>
      <c r="Q162" s="184">
        <f>IFERROR((O162-P162),"N/A")</f>
        <v/>
      </c>
      <c r="R162" s="385">
        <f>IFERROR((O162-P162)/ABS(P162),"N/A")</f>
        <v/>
      </c>
      <c r="S162" s="184">
        <f>IFERROR((O162-N162),"N/A")</f>
        <v/>
      </c>
      <c r="T162" s="385">
        <f>IFERROR((O162-N162)/ABS(N162),"N/A")</f>
        <v/>
      </c>
    </row>
    <row r="163" outlineLevel="1" ht="12.75" customFormat="1" customHeight="1" s="30">
      <c r="A163" s="373">
        <f>$C$144&amp;" "&amp;C160&amp;" "&amp;C163&amp;" "&amp; $C$143</f>
        <v/>
      </c>
      <c r="B163" s="397" t="n"/>
      <c r="C163" s="436" t="inlineStr">
        <is>
          <t>COGs</t>
        </is>
      </c>
      <c r="D163" s="397" t="n"/>
      <c r="E163" s="396">
        <f>$D$9&amp;"</f>
        <v/>
      </c>
      <c r="F163" s="375" t="inlineStr">
        <is>
          <t>+</t>
        </is>
      </c>
      <c r="G163" s="399">
        <f>IF(G161=0,0,IFERROR(G164/G161,"N/A"))</f>
        <v/>
      </c>
      <c r="H163" s="399">
        <f>IF(H161=0,0,IFERROR(H164/H161,"N/A"))</f>
        <v/>
      </c>
      <c r="I163" s="399">
        <f>IF(I161=0,0,IFERROR(I164/I161,"N/A"))</f>
        <v/>
      </c>
      <c r="J163" s="400">
        <f>IFERROR((H163-I163),"N/A")</f>
        <v/>
      </c>
      <c r="K163" s="385">
        <f>IFERROR((H163-I163)/ABS(I163),"N/A")</f>
        <v/>
      </c>
      <c r="L163" s="400">
        <f>IFERROR((H163-G163),"N/A")</f>
        <v/>
      </c>
      <c r="M163" s="385">
        <f>IFERROR((H163-G163)/ABS(G163),"N/A")</f>
        <v/>
      </c>
      <c r="N163" s="399">
        <f>IF(N161=0,0,IFERROR(N164/N161,"N/A"))</f>
        <v/>
      </c>
      <c r="O163" s="399">
        <f>IF(O161=0,0,IFERROR(O164/O161,"N/A"))</f>
        <v/>
      </c>
      <c r="P163" s="399">
        <f>IF(P161=0,0,IFERROR(P164/P161,"N/A"))</f>
        <v/>
      </c>
      <c r="Q163" s="184">
        <f>IFERROR((O163-P163),"N/A")</f>
        <v/>
      </c>
      <c r="R163" s="385">
        <f>IFERROR((O163-P163)/ABS(P163),"N/A")</f>
        <v/>
      </c>
      <c r="S163" s="400">
        <f>IFERROR((O163-N163),"N/A")</f>
        <v/>
      </c>
      <c r="T163" s="385">
        <f>IFERROR((O163-N163)/ABS(N163),"N/A")</f>
        <v/>
      </c>
    </row>
    <row r="164" outlineLevel="1" ht="12.75" customFormat="1" customHeight="1" s="30">
      <c r="A164" s="373" t="n"/>
      <c r="B164" s="397" t="n"/>
      <c r="C164" s="436" t="inlineStr">
        <is>
          <t>Total COGs</t>
        </is>
      </c>
      <c r="D164" s="397" t="n"/>
      <c r="E164" s="396">
        <f>"thsd</f>
        <v/>
      </c>
      <c r="F164" s="375" t="inlineStr">
        <is>
          <t>+</t>
        </is>
      </c>
      <c r="G164" s="158" t="n"/>
      <c r="H164" s="158" t="n"/>
      <c r="I164" s="158" t="n"/>
      <c r="J164" s="400">
        <f>IFERROR((H164-I164),"N/A")</f>
        <v/>
      </c>
      <c r="K164" s="385">
        <f>IFERROR((H164-I164)/ABS(I164),"N/A")</f>
        <v/>
      </c>
      <c r="L164" s="400">
        <f>IFERROR((H164-G164),"N/A")</f>
        <v/>
      </c>
      <c r="M164" s="385">
        <f>IFERROR((H164-G164)/ABS(G164),"N/A")</f>
        <v/>
      </c>
      <c r="N164" s="158" t="n"/>
      <c r="O164" s="158" t="n"/>
      <c r="P164" s="158" t="n"/>
      <c r="Q164" s="184">
        <f>IFERROR((O164-P164),"N/A")</f>
        <v/>
      </c>
      <c r="R164" s="385">
        <f>IFERROR((O164-P164)/ABS(P164),"N/A")</f>
        <v/>
      </c>
      <c r="S164" s="400">
        <f>IFERROR((O164-N164),"N/A")</f>
        <v/>
      </c>
      <c r="T164" s="385">
        <f>IFERROR((O164-N164)/ABS(N164),"N/A")</f>
        <v/>
      </c>
    </row>
    <row r="165" outlineLevel="1" ht="12.75" customFormat="1" customHeight="1" s="30">
      <c r="A165" s="373">
        <f>$C$144&amp;" "&amp;C165&amp;" Revenue"&amp;" "&amp; $C$143</f>
        <v/>
      </c>
      <c r="B165" s="395" t="n"/>
      <c r="C165" s="407" t="inlineStr">
        <is>
          <t>Other plastics (PTA, PA, etc.)</t>
        </is>
      </c>
      <c r="D165" s="407" t="n"/>
      <c r="E165" s="396">
        <f>"thsd</f>
        <v/>
      </c>
      <c r="F165" s="375" t="inlineStr">
        <is>
          <t>+</t>
        </is>
      </c>
      <c r="G165" s="158" t="n"/>
      <c r="H165" s="158" t="n"/>
      <c r="I165" s="158" t="n"/>
      <c r="J165" s="184">
        <f>IFERROR((H165-I165),"N/A")</f>
        <v/>
      </c>
      <c r="K165" s="384">
        <f>IFERROR((H165-I165)/ABS(I165),"N/A")</f>
        <v/>
      </c>
      <c r="L165" s="184">
        <f>IFERROR((H165-G165),"N/A")</f>
        <v/>
      </c>
      <c r="M165" s="384">
        <f>IFERROR((H165-G165)/ABS(G165),"N/A")</f>
        <v/>
      </c>
      <c r="N165" s="158" t="n"/>
      <c r="O165" s="158" t="n"/>
      <c r="P165" s="158" t="n"/>
      <c r="Q165" s="184">
        <f>IFERROR((O165-P165),"N/A")</f>
        <v/>
      </c>
      <c r="R165" s="385">
        <f>IFERROR((O165-P165)/ABS(P165),"N/A")</f>
        <v/>
      </c>
      <c r="S165" s="184">
        <f>IFERROR((O165-N165),"N/A")</f>
        <v/>
      </c>
      <c r="T165" s="385">
        <f>IFERROR((O165-N165)/ABS(N165),"N/A")</f>
        <v/>
      </c>
    </row>
    <row r="166" outlineLevel="1" ht="12.75" customFormat="1" customHeight="1" s="30">
      <c r="A166" s="373">
        <f>$C$144&amp;" "&amp;C165&amp;" "&amp;C166&amp;" "&amp; $C$143</f>
        <v/>
      </c>
      <c r="B166" s="397" t="n"/>
      <c r="C166" s="397" t="inlineStr">
        <is>
          <t>Sales volume</t>
        </is>
      </c>
      <c r="D166" s="397" t="n"/>
      <c r="E166" s="396" t="inlineStr">
        <is>
          <t>thsd</t>
        </is>
      </c>
      <c r="F166" s="375" t="inlineStr">
        <is>
          <t>+</t>
        </is>
      </c>
      <c r="G166" s="158" t="n"/>
      <c r="H166" s="158" t="n"/>
      <c r="I166" s="158" t="n"/>
      <c r="J166" s="184">
        <f>IFERROR((H166-I166),"N/A")</f>
        <v/>
      </c>
      <c r="K166" s="384">
        <f>IFERROR((H166-I166)/ABS(I166),"N/A")</f>
        <v/>
      </c>
      <c r="L166" s="184">
        <f>IFERROR((H166-G166),"N/A")</f>
        <v/>
      </c>
      <c r="M166" s="384">
        <f>IFERROR((H166-G166)/ABS(G166),"N/A")</f>
        <v/>
      </c>
      <c r="N166" s="158" t="n"/>
      <c r="O166" s="158" t="n"/>
      <c r="P166" s="158" t="n"/>
      <c r="Q166" s="184">
        <f>IFERROR((O166-P166),"N/A")</f>
        <v/>
      </c>
      <c r="R166" s="385">
        <f>IFERROR((O166-P166)/ABS(P166),"N/A")</f>
        <v/>
      </c>
      <c r="S166" s="184">
        <f>IFERROR((O166-N166),"N/A")</f>
        <v/>
      </c>
      <c r="T166" s="385">
        <f>IFERROR((O166-N166)/ABS(N166),"N/A")</f>
        <v/>
      </c>
    </row>
    <row r="167" outlineLevel="1" ht="12.75" customFormat="1" customHeight="1" s="30">
      <c r="A167" s="373">
        <f>$C$144&amp;" "&amp;C165&amp;" "&amp;C167&amp;" "&amp; $C$143</f>
        <v/>
      </c>
      <c r="B167" s="397" t="n"/>
      <c r="C167" s="397" t="inlineStr">
        <is>
          <t>Price</t>
        </is>
      </c>
      <c r="D167" s="397" t="inlineStr">
        <is>
          <t>Qiyməti</t>
        </is>
      </c>
      <c r="E167" s="396">
        <f>$D$9&amp;"</f>
        <v/>
      </c>
      <c r="F167" s="375" t="inlineStr">
        <is>
          <t>+</t>
        </is>
      </c>
      <c r="G167" s="184">
        <f>IF(G166=0,0,IFERROR(G165/G166,"N/A"))</f>
        <v/>
      </c>
      <c r="H167" s="184">
        <f>IF(H166=0,0,IFERROR(H165/H166,"N/A"))</f>
        <v/>
      </c>
      <c r="I167" s="184">
        <f>IF(I166=0,0,IFERROR(I165/I166,"N/A"))</f>
        <v/>
      </c>
      <c r="J167" s="184">
        <f>IFERROR((H167-I167),"N/A")</f>
        <v/>
      </c>
      <c r="K167" s="384">
        <f>IFERROR((H167-I167)/ABS(I167),"N/A")</f>
        <v/>
      </c>
      <c r="L167" s="184">
        <f>IFERROR((H167-G167),"N/A")</f>
        <v/>
      </c>
      <c r="M167" s="384">
        <f>IFERROR((H167-G167)/ABS(G167),"N/A")</f>
        <v/>
      </c>
      <c r="N167" s="184">
        <f>IF(N166=0,0,IFERROR(N165/N166,"N/A"))</f>
        <v/>
      </c>
      <c r="O167" s="184">
        <f>IF(O166=0,0,IFERROR(O165/O166,"N/A"))</f>
        <v/>
      </c>
      <c r="P167" s="184">
        <f>IF(P166=0,0,IFERROR(P165/P166,"N/A"))</f>
        <v/>
      </c>
      <c r="Q167" s="184">
        <f>IFERROR((O167-P167),"N/A")</f>
        <v/>
      </c>
      <c r="R167" s="385">
        <f>IFERROR((O167-P167)/ABS(P167),"N/A")</f>
        <v/>
      </c>
      <c r="S167" s="184">
        <f>IFERROR((O167-N167),"N/A")</f>
        <v/>
      </c>
      <c r="T167" s="385">
        <f>IFERROR((O167-N167)/ABS(N167),"N/A")</f>
        <v/>
      </c>
    </row>
    <row r="168" outlineLevel="1" ht="12.75" customFormat="1" customHeight="1" s="30">
      <c r="A168" s="373">
        <f>$C$144&amp;" "&amp;C165&amp;" "&amp;C168&amp;" "&amp; $C$143</f>
        <v/>
      </c>
      <c r="B168" s="397" t="n"/>
      <c r="C168" s="436" t="inlineStr">
        <is>
          <t>COGs</t>
        </is>
      </c>
      <c r="D168" s="397" t="n"/>
      <c r="E168" s="396">
        <f>$D$9&amp;"</f>
        <v/>
      </c>
      <c r="F168" s="375" t="inlineStr">
        <is>
          <t>+</t>
        </is>
      </c>
      <c r="G168" s="399">
        <f>IF(G166=0,0,IFERROR(G169/G166,"N/A"))</f>
        <v/>
      </c>
      <c r="H168" s="399">
        <f>IF(H166=0,0,IFERROR(H169/H166,"N/A"))</f>
        <v/>
      </c>
      <c r="I168" s="399">
        <f>IF(I166=0,0,IFERROR(I169/I166,"N/A"))</f>
        <v/>
      </c>
      <c r="J168" s="400">
        <f>IFERROR((H168-I168),"N/A")</f>
        <v/>
      </c>
      <c r="K168" s="385">
        <f>IFERROR((H168-I168)/ABS(I168),"N/A")</f>
        <v/>
      </c>
      <c r="L168" s="400">
        <f>IFERROR((H168-G168),"N/A")</f>
        <v/>
      </c>
      <c r="M168" s="385">
        <f>IFERROR((H168-G168)/ABS(G168),"N/A")</f>
        <v/>
      </c>
      <c r="N168" s="399">
        <f>IF(N166=0,0,IFERROR(N169/N166,"N/A"))</f>
        <v/>
      </c>
      <c r="O168" s="399">
        <f>IF(O166=0,0,IFERROR(O169/O166,"N/A"))</f>
        <v/>
      </c>
      <c r="P168" s="399">
        <f>IF(P166=0,0,IFERROR(P169/P166,"N/A"))</f>
        <v/>
      </c>
      <c r="Q168" s="184">
        <f>IFERROR((O168-P168),"N/A")</f>
        <v/>
      </c>
      <c r="R168" s="385">
        <f>IFERROR((O168-P168)/ABS(P168),"N/A")</f>
        <v/>
      </c>
      <c r="S168" s="400">
        <f>IFERROR((O168-N168),"N/A")</f>
        <v/>
      </c>
      <c r="T168" s="385">
        <f>IFERROR((O168-N168)/ABS(N168),"N/A")</f>
        <v/>
      </c>
    </row>
    <row r="169" outlineLevel="1" ht="12.75" customFormat="1" customHeight="1" s="30">
      <c r="A169" s="373" t="n"/>
      <c r="B169" s="397" t="n"/>
      <c r="C169" s="436" t="inlineStr">
        <is>
          <t>Total COGs</t>
        </is>
      </c>
      <c r="D169" s="397" t="n"/>
      <c r="E169" s="396">
        <f>"thsd</f>
        <v/>
      </c>
      <c r="F169" s="375" t="inlineStr">
        <is>
          <t>+</t>
        </is>
      </c>
      <c r="G169" s="158" t="n"/>
      <c r="H169" s="158" t="n"/>
      <c r="I169" s="158" t="n"/>
      <c r="J169" s="400">
        <f>IFERROR((H169-I169),"N/A")</f>
        <v/>
      </c>
      <c r="K169" s="385">
        <f>IFERROR((H169-I169)/ABS(I169),"N/A")</f>
        <v/>
      </c>
      <c r="L169" s="400">
        <f>IFERROR((H169-G169),"N/A")</f>
        <v/>
      </c>
      <c r="M169" s="385">
        <f>IFERROR((H169-G169)/ABS(G169),"N/A")</f>
        <v/>
      </c>
      <c r="N169" s="158" t="n"/>
      <c r="O169" s="158" t="n"/>
      <c r="P169" s="158" t="n"/>
      <c r="Q169" s="184">
        <f>IFERROR((O169-P169),"N/A")</f>
        <v/>
      </c>
      <c r="R169" s="385">
        <f>IFERROR((O169-P169)/ABS(P169),"N/A")</f>
        <v/>
      </c>
      <c r="S169" s="400">
        <f>IFERROR((O169-N169),"N/A")</f>
        <v/>
      </c>
      <c r="T169" s="385">
        <f>IFERROR((O169-N169)/ABS(N169),"N/A")</f>
        <v/>
      </c>
    </row>
    <row r="170" outlineLevel="1" ht="12.75" customFormat="1" customHeight="1" s="30">
      <c r="A170" s="373">
        <f>$C$144&amp;" "&amp;C170&amp;" Revenue"&amp;" "&amp; $C$143</f>
        <v/>
      </c>
      <c r="B170" s="395" t="n"/>
      <c r="C170" s="407" t="inlineStr">
        <is>
          <t>Monomers (ethylene, propylene, etc.)</t>
        </is>
      </c>
      <c r="D170" s="407" t="n"/>
      <c r="E170" s="396">
        <f>"thsd</f>
        <v/>
      </c>
      <c r="F170" s="375" t="inlineStr">
        <is>
          <t>+</t>
        </is>
      </c>
      <c r="G170" s="158" t="n"/>
      <c r="H170" s="158" t="n"/>
      <c r="I170" s="158" t="n"/>
      <c r="J170" s="184">
        <f>IFERROR((H170-I170),"N/A")</f>
        <v/>
      </c>
      <c r="K170" s="384">
        <f>IFERROR((H170-I170)/ABS(I170),"N/A")</f>
        <v/>
      </c>
      <c r="L170" s="184">
        <f>IFERROR((H170-G170),"N/A")</f>
        <v/>
      </c>
      <c r="M170" s="384">
        <f>IFERROR((H170-G170)/ABS(G170),"N/A")</f>
        <v/>
      </c>
      <c r="N170" s="158" t="n"/>
      <c r="O170" s="158" t="n"/>
      <c r="P170" s="158" t="n"/>
      <c r="Q170" s="184">
        <f>IFERROR((O170-P170),"N/A")</f>
        <v/>
      </c>
      <c r="R170" s="385">
        <f>IFERROR((O170-P170)/ABS(P170),"N/A")</f>
        <v/>
      </c>
      <c r="S170" s="184">
        <f>IFERROR((O170-N170),"N/A")</f>
        <v/>
      </c>
      <c r="T170" s="385">
        <f>IFERROR((O170-N170)/ABS(N170),"N/A")</f>
        <v/>
      </c>
    </row>
    <row r="171" outlineLevel="1" ht="12.75" customFormat="1" customHeight="1" s="30">
      <c r="A171" s="373">
        <f>$C$144&amp;" "&amp;C170&amp;" "&amp;C171&amp;" "&amp; $C$143</f>
        <v/>
      </c>
      <c r="B171" s="397" t="n"/>
      <c r="C171" s="397" t="inlineStr">
        <is>
          <t>Sales volume</t>
        </is>
      </c>
      <c r="D171" s="397" t="n"/>
      <c r="E171" s="396" t="inlineStr">
        <is>
          <t>thsd</t>
        </is>
      </c>
      <c r="F171" s="375" t="inlineStr">
        <is>
          <t>+</t>
        </is>
      </c>
      <c r="G171" s="158" t="n"/>
      <c r="H171" s="158" t="n"/>
      <c r="I171" s="158" t="n"/>
      <c r="J171" s="184">
        <f>IFERROR((H171-I171),"N/A")</f>
        <v/>
      </c>
      <c r="K171" s="384">
        <f>IFERROR((H171-I171)/ABS(I171),"N/A")</f>
        <v/>
      </c>
      <c r="L171" s="184">
        <f>IFERROR((H171-G171),"N/A")</f>
        <v/>
      </c>
      <c r="M171" s="384">
        <f>IFERROR((H171-G171)/ABS(G171),"N/A")</f>
        <v/>
      </c>
      <c r="N171" s="158" t="n"/>
      <c r="O171" s="158" t="n"/>
      <c r="P171" s="158" t="n"/>
      <c r="Q171" s="184">
        <f>IFERROR((O171-P171),"N/A")</f>
        <v/>
      </c>
      <c r="R171" s="385">
        <f>IFERROR((O171-P171)/ABS(P171),"N/A")</f>
        <v/>
      </c>
      <c r="S171" s="184">
        <f>IFERROR((O171-N171),"N/A")</f>
        <v/>
      </c>
      <c r="T171" s="385">
        <f>IFERROR((O171-N171)/ABS(N171),"N/A")</f>
        <v/>
      </c>
    </row>
    <row r="172" outlineLevel="1" ht="12.75" customFormat="1" customHeight="1" s="30">
      <c r="A172" s="373">
        <f>$C$144&amp;" "&amp;C170&amp;" "&amp;C172&amp;" "&amp; $C$143</f>
        <v/>
      </c>
      <c r="B172" s="397" t="n"/>
      <c r="C172" s="397" t="inlineStr">
        <is>
          <t>Price</t>
        </is>
      </c>
      <c r="D172" s="397" t="inlineStr">
        <is>
          <t>Qiyməti</t>
        </is>
      </c>
      <c r="E172" s="396">
        <f>$D$9&amp;"</f>
        <v/>
      </c>
      <c r="F172" s="375" t="inlineStr">
        <is>
          <t>+</t>
        </is>
      </c>
      <c r="G172" s="184">
        <f>IF(G171=0,0,IFERROR(G170/G171,"N/A"))</f>
        <v/>
      </c>
      <c r="H172" s="184">
        <f>IF(H171=0,0,IFERROR(H170/H171,"N/A"))</f>
        <v/>
      </c>
      <c r="I172" s="184">
        <f>IF(I171=0,0,IFERROR(I170/I171,"N/A"))</f>
        <v/>
      </c>
      <c r="J172" s="184">
        <f>IFERROR((H172-I172),"N/A")</f>
        <v/>
      </c>
      <c r="K172" s="384">
        <f>IFERROR((H172-I172)/ABS(I172),"N/A")</f>
        <v/>
      </c>
      <c r="L172" s="184">
        <f>IFERROR((H172-G172),"N/A")</f>
        <v/>
      </c>
      <c r="M172" s="384">
        <f>IFERROR((H172-G172)/ABS(G172),"N/A")</f>
        <v/>
      </c>
      <c r="N172" s="184">
        <f>IF(N171=0,0,IFERROR(N170/N171,"N/A"))</f>
        <v/>
      </c>
      <c r="O172" s="184">
        <f>IF(O171=0,0,IFERROR(O170/O171,"N/A"))</f>
        <v/>
      </c>
      <c r="P172" s="184">
        <f>IF(P171=0,0,IFERROR(P170/P171,"N/A"))</f>
        <v/>
      </c>
      <c r="Q172" s="184">
        <f>IFERROR((O172-P172),"N/A")</f>
        <v/>
      </c>
      <c r="R172" s="385">
        <f>IFERROR((O172-P172)/ABS(P172),"N/A")</f>
        <v/>
      </c>
      <c r="S172" s="184">
        <f>IFERROR((O172-N172),"N/A")</f>
        <v/>
      </c>
      <c r="T172" s="385">
        <f>IFERROR((O172-N172)/ABS(N172),"N/A")</f>
        <v/>
      </c>
    </row>
    <row r="173" outlineLevel="1" ht="12.75" customFormat="1" customHeight="1" s="30">
      <c r="A173" s="373">
        <f>$C$144&amp;" "&amp;C170&amp;" "&amp;C173&amp;" "&amp; $C$143</f>
        <v/>
      </c>
      <c r="B173" s="397" t="n"/>
      <c r="C173" s="436" t="inlineStr">
        <is>
          <t>COGs</t>
        </is>
      </c>
      <c r="D173" s="397" t="n"/>
      <c r="E173" s="396">
        <f>$D$9&amp;"</f>
        <v/>
      </c>
      <c r="F173" s="375" t="inlineStr">
        <is>
          <t>+</t>
        </is>
      </c>
      <c r="G173" s="399">
        <f>IF(G171=0,0,IFERROR(G174/G171,"N/A"))</f>
        <v/>
      </c>
      <c r="H173" s="399">
        <f>IF(H171=0,0,IFERROR(H174/H171,"N/A"))</f>
        <v/>
      </c>
      <c r="I173" s="399">
        <f>IF(I171=0,0,IFERROR(I174/I171,"N/A"))</f>
        <v/>
      </c>
      <c r="J173" s="400">
        <f>IFERROR((H173-I173),"N/A")</f>
        <v/>
      </c>
      <c r="K173" s="385">
        <f>IFERROR((H173-I173)/ABS(I173),"N/A")</f>
        <v/>
      </c>
      <c r="L173" s="400">
        <f>IFERROR((H173-G173),"N/A")</f>
        <v/>
      </c>
      <c r="M173" s="385">
        <f>IFERROR((H173-G173)/ABS(G173),"N/A")</f>
        <v/>
      </c>
      <c r="N173" s="399">
        <f>IF(N171=0,0,IFERROR(N174/N171,"N/A"))</f>
        <v/>
      </c>
      <c r="O173" s="399">
        <f>IF(O171=0,0,IFERROR(O174/O171,"N/A"))</f>
        <v/>
      </c>
      <c r="P173" s="399">
        <f>IF(P171=0,0,IFERROR(P174/P171,"N/A"))</f>
        <v/>
      </c>
      <c r="Q173" s="184">
        <f>IFERROR((O173-P173),"N/A")</f>
        <v/>
      </c>
      <c r="R173" s="385">
        <f>IFERROR((O173-P173)/ABS(P173),"N/A")</f>
        <v/>
      </c>
      <c r="S173" s="400">
        <f>IFERROR((O173-N173),"N/A")</f>
        <v/>
      </c>
      <c r="T173" s="385">
        <f>IFERROR((O173-N173)/ABS(N173),"N/A")</f>
        <v/>
      </c>
    </row>
    <row r="174" outlineLevel="1" ht="12.75" customFormat="1" customHeight="1" s="30">
      <c r="A174" s="373" t="n"/>
      <c r="B174" s="397" t="n"/>
      <c r="C174" s="436" t="inlineStr">
        <is>
          <t>Total COGs</t>
        </is>
      </c>
      <c r="D174" s="397" t="n"/>
      <c r="E174" s="396">
        <f>"thsd</f>
        <v/>
      </c>
      <c r="F174" s="375" t="inlineStr">
        <is>
          <t>+</t>
        </is>
      </c>
      <c r="G174" s="158" t="n"/>
      <c r="H174" s="158" t="n"/>
      <c r="I174" s="158" t="n"/>
      <c r="J174" s="400">
        <f>IFERROR((H174-I174),"N/A")</f>
        <v/>
      </c>
      <c r="K174" s="385">
        <f>IFERROR((H174-I174)/ABS(I174),"N/A")</f>
        <v/>
      </c>
      <c r="L174" s="400">
        <f>IFERROR((H174-G174),"N/A")</f>
        <v/>
      </c>
      <c r="M174" s="385">
        <f>IFERROR((H174-G174)/ABS(G174),"N/A")</f>
        <v/>
      </c>
      <c r="N174" s="158" t="n"/>
      <c r="O174" s="158" t="n"/>
      <c r="P174" s="158" t="n"/>
      <c r="Q174" s="184">
        <f>IFERROR((O174-P174),"N/A")</f>
        <v/>
      </c>
      <c r="R174" s="385">
        <f>IFERROR((O174-P174)/ABS(P174),"N/A")</f>
        <v/>
      </c>
      <c r="S174" s="400">
        <f>IFERROR((O174-N174),"N/A")</f>
        <v/>
      </c>
      <c r="T174" s="385">
        <f>IFERROR((O174-N174)/ABS(N174),"N/A")</f>
        <v/>
      </c>
    </row>
    <row r="175" outlineLevel="1" ht="12.75" customFormat="1" customHeight="1" s="30">
      <c r="A175" s="373">
        <f>$C$144&amp;" "&amp;C175&amp;" Revenue"&amp;" "&amp; $C$143</f>
        <v/>
      </c>
      <c r="B175" s="395" t="n"/>
      <c r="C175" s="407" t="inlineStr">
        <is>
          <t>Alcohols &amp; Glycols</t>
        </is>
      </c>
      <c r="D175" s="407" t="n"/>
      <c r="E175" s="396">
        <f>"thsd</f>
        <v/>
      </c>
      <c r="F175" s="375" t="inlineStr">
        <is>
          <t>+</t>
        </is>
      </c>
      <c r="G175" s="158" t="n"/>
      <c r="H175" s="158" t="n"/>
      <c r="I175" s="158" t="n"/>
      <c r="J175" s="184">
        <f>IFERROR((H175-I175),"N/A")</f>
        <v/>
      </c>
      <c r="K175" s="384">
        <f>IFERROR((H175-I175)/ABS(I175),"N/A")</f>
        <v/>
      </c>
      <c r="L175" s="184">
        <f>IFERROR((H175-G175),"N/A")</f>
        <v/>
      </c>
      <c r="M175" s="384">
        <f>IFERROR((H175-G175)/ABS(G175),"N/A")</f>
        <v/>
      </c>
      <c r="N175" s="158" t="n"/>
      <c r="O175" s="158" t="n"/>
      <c r="P175" s="158" t="n"/>
      <c r="Q175" s="184">
        <f>IFERROR((O175-P175),"N/A")</f>
        <v/>
      </c>
      <c r="R175" s="385">
        <f>IFERROR((O175-P175)/ABS(P175),"N/A")</f>
        <v/>
      </c>
      <c r="S175" s="184">
        <f>IFERROR((O175-N175),"N/A")</f>
        <v/>
      </c>
      <c r="T175" s="385">
        <f>IFERROR((O175-N175)/ABS(N175),"N/A")</f>
        <v/>
      </c>
    </row>
    <row r="176" outlineLevel="1" ht="12.75" customFormat="1" customHeight="1" s="30">
      <c r="A176" s="373">
        <f>$C$144&amp;" "&amp;C175&amp;" "&amp;C176&amp;" "&amp; $C$143</f>
        <v/>
      </c>
      <c r="B176" s="397" t="n"/>
      <c r="C176" s="397" t="inlineStr">
        <is>
          <t>Sales volume</t>
        </is>
      </c>
      <c r="D176" s="397" t="n"/>
      <c r="E176" s="396" t="inlineStr">
        <is>
          <t>thsd</t>
        </is>
      </c>
      <c r="F176" s="375" t="inlineStr">
        <is>
          <t>+</t>
        </is>
      </c>
      <c r="G176" s="158" t="n"/>
      <c r="H176" s="158" t="n"/>
      <c r="I176" s="158" t="n"/>
      <c r="J176" s="184">
        <f>IFERROR((H176-I176),"N/A")</f>
        <v/>
      </c>
      <c r="K176" s="384">
        <f>IFERROR((H176-I176)/ABS(I176),"N/A")</f>
        <v/>
      </c>
      <c r="L176" s="184">
        <f>IFERROR((H176-G176),"N/A")</f>
        <v/>
      </c>
      <c r="M176" s="384">
        <f>IFERROR((H176-G176)/ABS(G176),"N/A")</f>
        <v/>
      </c>
      <c r="N176" s="158" t="n"/>
      <c r="O176" s="158" t="n"/>
      <c r="P176" s="158" t="n"/>
      <c r="Q176" s="184">
        <f>IFERROR((O176-P176),"N/A")</f>
        <v/>
      </c>
      <c r="R176" s="385">
        <f>IFERROR((O176-P176)/ABS(P176),"N/A")</f>
        <v/>
      </c>
      <c r="S176" s="184">
        <f>IFERROR((O176-N176),"N/A")</f>
        <v/>
      </c>
      <c r="T176" s="385">
        <f>IFERROR((O176-N176)/ABS(N176),"N/A")</f>
        <v/>
      </c>
    </row>
    <row r="177" outlineLevel="1" ht="12.75" customFormat="1" customHeight="1" s="30">
      <c r="A177" s="373">
        <f>$C$144&amp;" "&amp;C175&amp;" "&amp;C177&amp;" "&amp; $C$143</f>
        <v/>
      </c>
      <c r="B177" s="397" t="n"/>
      <c r="C177" s="397" t="inlineStr">
        <is>
          <t>Price</t>
        </is>
      </c>
      <c r="D177" s="397" t="inlineStr">
        <is>
          <t>Qiyməti</t>
        </is>
      </c>
      <c r="E177" s="396">
        <f>$D$9&amp;"</f>
        <v/>
      </c>
      <c r="F177" s="375" t="inlineStr">
        <is>
          <t>+</t>
        </is>
      </c>
      <c r="G177" s="184">
        <f>IF(G176=0,0,IFERROR(G175/G176,"N/A"))</f>
        <v/>
      </c>
      <c r="H177" s="184">
        <f>IF(H176=0,0,IFERROR(H175/H176,"N/A"))</f>
        <v/>
      </c>
      <c r="I177" s="184">
        <f>IF(I176=0,0,IFERROR(I175/I176,"N/A"))</f>
        <v/>
      </c>
      <c r="J177" s="184">
        <f>IFERROR((H177-I177),"N/A")</f>
        <v/>
      </c>
      <c r="K177" s="384">
        <f>IFERROR((H177-I177)/ABS(I177),"N/A")</f>
        <v/>
      </c>
      <c r="L177" s="184">
        <f>IFERROR((H177-G177),"N/A")</f>
        <v/>
      </c>
      <c r="M177" s="384">
        <f>IFERROR((H177-G177)/ABS(G177),"N/A")</f>
        <v/>
      </c>
      <c r="N177" s="184">
        <f>IF(N176=0,0,IFERROR(N175/N176,"N/A"))</f>
        <v/>
      </c>
      <c r="O177" s="184">
        <f>IF(O176=0,0,IFERROR(O175/O176,"N/A"))</f>
        <v/>
      </c>
      <c r="P177" s="184">
        <f>IF(P176=0,0,IFERROR(P175/P176,"N/A"))</f>
        <v/>
      </c>
      <c r="Q177" s="184">
        <f>IFERROR((O177-P177),"N/A")</f>
        <v/>
      </c>
      <c r="R177" s="385">
        <f>IFERROR((O177-P177)/ABS(P177),"N/A")</f>
        <v/>
      </c>
      <c r="S177" s="184">
        <f>IFERROR((O177-N177),"N/A")</f>
        <v/>
      </c>
      <c r="T177" s="385">
        <f>IFERROR((O177-N177)/ABS(N177),"N/A")</f>
        <v/>
      </c>
    </row>
    <row r="178" outlineLevel="1" ht="12.75" customFormat="1" customHeight="1" s="30">
      <c r="A178" s="373">
        <f>$C$144&amp;" "&amp;C175&amp;" "&amp;C178&amp;" "&amp; $C$143</f>
        <v/>
      </c>
      <c r="B178" s="397" t="n"/>
      <c r="C178" s="436" t="inlineStr">
        <is>
          <t>COGs</t>
        </is>
      </c>
      <c r="D178" s="397" t="n"/>
      <c r="E178" s="396">
        <f>$D$9&amp;"</f>
        <v/>
      </c>
      <c r="F178" s="375" t="inlineStr">
        <is>
          <t>+</t>
        </is>
      </c>
      <c r="G178" s="399">
        <f>IF(G176=0,0,IFERROR(G179/G176,"N/A"))</f>
        <v/>
      </c>
      <c r="H178" s="399">
        <f>IF(H176=0,0,IFERROR(H179/H176,"N/A"))</f>
        <v/>
      </c>
      <c r="I178" s="399">
        <f>IF(I176=0,0,IFERROR(I179/I176,"N/A"))</f>
        <v/>
      </c>
      <c r="J178" s="400">
        <f>IFERROR((H178-I178),"N/A")</f>
        <v/>
      </c>
      <c r="K178" s="385">
        <f>IFERROR((H178-I178)/ABS(I178),"N/A")</f>
        <v/>
      </c>
      <c r="L178" s="400">
        <f>IFERROR((H178-G178),"N/A")</f>
        <v/>
      </c>
      <c r="M178" s="385">
        <f>IFERROR((H178-G178)/ABS(G178),"N/A")</f>
        <v/>
      </c>
      <c r="N178" s="399">
        <f>IF(N176=0,0,IFERROR(N179/N176,"N/A"))</f>
        <v/>
      </c>
      <c r="O178" s="399">
        <f>IF(O176=0,0,IFERROR(O179/O176,"N/A"))</f>
        <v/>
      </c>
      <c r="P178" s="399">
        <f>IF(P176=0,0,IFERROR(P179/P176,"N/A"))</f>
        <v/>
      </c>
      <c r="Q178" s="184">
        <f>IFERROR((O178-P178),"N/A")</f>
        <v/>
      </c>
      <c r="R178" s="385">
        <f>IFERROR((O178-P178)/ABS(P178),"N/A")</f>
        <v/>
      </c>
      <c r="S178" s="400">
        <f>IFERROR((O178-N178),"N/A")</f>
        <v/>
      </c>
      <c r="T178" s="385">
        <f>IFERROR((O178-N178)/ABS(N178),"N/A")</f>
        <v/>
      </c>
    </row>
    <row r="179" outlineLevel="1" ht="12.75" customFormat="1" customHeight="1" s="30">
      <c r="A179" s="373" t="n"/>
      <c r="B179" s="397" t="n"/>
      <c r="C179" s="436" t="inlineStr">
        <is>
          <t>Total COGs</t>
        </is>
      </c>
      <c r="D179" s="397" t="n"/>
      <c r="E179" s="396">
        <f>"thsd</f>
        <v/>
      </c>
      <c r="F179" s="375" t="inlineStr">
        <is>
          <t>+</t>
        </is>
      </c>
      <c r="G179" s="158" t="n"/>
      <c r="H179" s="158" t="n"/>
      <c r="I179" s="158" t="n"/>
      <c r="J179" s="400">
        <f>IFERROR((H179-I179),"N/A")</f>
        <v/>
      </c>
      <c r="K179" s="385">
        <f>IFERROR((H179-I179)/ABS(I179),"N/A")</f>
        <v/>
      </c>
      <c r="L179" s="400">
        <f>IFERROR((H179-G179),"N/A")</f>
        <v/>
      </c>
      <c r="M179" s="385">
        <f>IFERROR((H179-G179)/ABS(G179),"N/A")</f>
        <v/>
      </c>
      <c r="N179" s="158" t="n"/>
      <c r="O179" s="158" t="n"/>
      <c r="P179" s="158" t="n"/>
      <c r="Q179" s="184">
        <f>IFERROR((O179-P179),"N/A")</f>
        <v/>
      </c>
      <c r="R179" s="385">
        <f>IFERROR((O179-P179)/ABS(P179),"N/A")</f>
        <v/>
      </c>
      <c r="S179" s="400">
        <f>IFERROR((O179-N179),"N/A")</f>
        <v/>
      </c>
      <c r="T179" s="385">
        <f>IFERROR((O179-N179)/ABS(N179),"N/A")</f>
        <v/>
      </c>
    </row>
    <row r="180" outlineLevel="1" ht="12.75" customFormat="1" customHeight="1" s="30">
      <c r="A180" s="373">
        <f>$C$144&amp;" "&amp;C180&amp;" Revenue"&amp;" "&amp; $C$143</f>
        <v/>
      </c>
      <c r="B180" s="395" t="n"/>
      <c r="C180" s="407" t="inlineStr">
        <is>
          <t>Gases</t>
        </is>
      </c>
      <c r="D180" s="407" t="inlineStr">
        <is>
          <t>Qazlar</t>
        </is>
      </c>
      <c r="E180" s="396">
        <f>"thsd</f>
        <v/>
      </c>
      <c r="F180" s="375" t="inlineStr">
        <is>
          <t>+</t>
        </is>
      </c>
      <c r="G180" s="158" t="n"/>
      <c r="H180" s="158" t="n"/>
      <c r="I180" s="158" t="n"/>
      <c r="J180" s="184">
        <f>IFERROR((H180-I180),"N/A")</f>
        <v/>
      </c>
      <c r="K180" s="384">
        <f>IFERROR((H180-I180)/ABS(I180),"N/A")</f>
        <v/>
      </c>
      <c r="L180" s="184">
        <f>IFERROR((H180-G180),"N/A")</f>
        <v/>
      </c>
      <c r="M180" s="384">
        <f>IFERROR((H180-G180)/ABS(G180),"N/A")</f>
        <v/>
      </c>
      <c r="N180" s="158" t="n"/>
      <c r="O180" s="158" t="n"/>
      <c r="P180" s="158" t="n"/>
      <c r="Q180" s="184">
        <f>IFERROR((O180-P180),"N/A")</f>
        <v/>
      </c>
      <c r="R180" s="385">
        <f>IFERROR((O180-P180)/ABS(P180),"N/A")</f>
        <v/>
      </c>
      <c r="S180" s="184">
        <f>IFERROR((O180-N180),"N/A")</f>
        <v/>
      </c>
      <c r="T180" s="385">
        <f>IFERROR((O180-N180)/ABS(N180),"N/A")</f>
        <v/>
      </c>
    </row>
    <row r="181" outlineLevel="1" ht="12.75" customFormat="1" customHeight="1" s="30">
      <c r="A181" s="373">
        <f>$C$144&amp;" "&amp;C180&amp;" "&amp;C181&amp;" "&amp; $C$143</f>
        <v/>
      </c>
      <c r="B181" s="397" t="n"/>
      <c r="C181" s="397" t="inlineStr">
        <is>
          <t>Sales volume</t>
        </is>
      </c>
      <c r="D181" s="397" t="n"/>
      <c r="E181" s="396" t="inlineStr">
        <is>
          <t>thsd</t>
        </is>
      </c>
      <c r="F181" s="375" t="inlineStr">
        <is>
          <t>+</t>
        </is>
      </c>
      <c r="G181" s="158" t="n"/>
      <c r="H181" s="158" t="n"/>
      <c r="I181" s="158" t="n"/>
      <c r="J181" s="184">
        <f>IFERROR((H181-I181),"N/A")</f>
        <v/>
      </c>
      <c r="K181" s="384">
        <f>IFERROR((H181-I181)/ABS(I181),"N/A")</f>
        <v/>
      </c>
      <c r="L181" s="184">
        <f>IFERROR((H181-G181),"N/A")</f>
        <v/>
      </c>
      <c r="M181" s="384">
        <f>IFERROR((H181-G181)/ABS(G181),"N/A")</f>
        <v/>
      </c>
      <c r="N181" s="158" t="n"/>
      <c r="O181" s="158" t="n"/>
      <c r="P181" s="158" t="n"/>
      <c r="Q181" s="184">
        <f>IFERROR((O181-P181),"N/A")</f>
        <v/>
      </c>
      <c r="R181" s="385">
        <f>IFERROR((O181-P181)/ABS(P181),"N/A")</f>
        <v/>
      </c>
      <c r="S181" s="184">
        <f>IFERROR((O181-N181),"N/A")</f>
        <v/>
      </c>
      <c r="T181" s="385">
        <f>IFERROR((O181-N181)/ABS(N181),"N/A")</f>
        <v/>
      </c>
    </row>
    <row r="182" outlineLevel="1" ht="12.75" customFormat="1" customHeight="1" s="30">
      <c r="A182" s="373">
        <f>$C$144&amp;" "&amp;C180&amp;" "&amp;C182&amp;" "&amp; $C$143</f>
        <v/>
      </c>
      <c r="B182" s="397" t="n"/>
      <c r="C182" s="397" t="inlineStr">
        <is>
          <t>Price</t>
        </is>
      </c>
      <c r="D182" s="397" t="inlineStr">
        <is>
          <t>Qiyməti</t>
        </is>
      </c>
      <c r="E182" s="396">
        <f>$D$9&amp;"</f>
        <v/>
      </c>
      <c r="F182" s="375" t="inlineStr">
        <is>
          <t>+</t>
        </is>
      </c>
      <c r="G182" s="184">
        <f>IF(G181=0,0,IFERROR(G180/G181,"N/A"))</f>
        <v/>
      </c>
      <c r="H182" s="184">
        <f>IF(H181=0,0,IFERROR(H180/H181,"N/A"))</f>
        <v/>
      </c>
      <c r="I182" s="184">
        <f>IF(I181=0,0,IFERROR(I180/I181,"N/A"))</f>
        <v/>
      </c>
      <c r="J182" s="184">
        <f>IFERROR((H182-I182),"N/A")</f>
        <v/>
      </c>
      <c r="K182" s="384">
        <f>IFERROR((H182-I182)/ABS(I182),"N/A")</f>
        <v/>
      </c>
      <c r="L182" s="184">
        <f>IFERROR((H182-G182),"N/A")</f>
        <v/>
      </c>
      <c r="M182" s="384">
        <f>IFERROR((H182-G182)/ABS(G182),"N/A")</f>
        <v/>
      </c>
      <c r="N182" s="184">
        <f>IF(N181=0,0,IFERROR(N180/N181,"N/A"))</f>
        <v/>
      </c>
      <c r="O182" s="184">
        <f>IF(O181=0,0,IFERROR(O180/O181,"N/A"))</f>
        <v/>
      </c>
      <c r="P182" s="184">
        <f>IF(P181=0,0,IFERROR(P180/P181,"N/A"))</f>
        <v/>
      </c>
      <c r="Q182" s="184">
        <f>IFERROR((O182-P182),"N/A")</f>
        <v/>
      </c>
      <c r="R182" s="385">
        <f>IFERROR((O182-P182)/ABS(P182),"N/A")</f>
        <v/>
      </c>
      <c r="S182" s="184">
        <f>IFERROR((O182-N182),"N/A")</f>
        <v/>
      </c>
      <c r="T182" s="385">
        <f>IFERROR((O182-N182)/ABS(N182),"N/A")</f>
        <v/>
      </c>
    </row>
    <row r="183" outlineLevel="1" ht="12.75" customFormat="1" customHeight="1" s="30">
      <c r="A183" s="373">
        <f>$C$144&amp;" "&amp;C180&amp;" "&amp;C183&amp;" "&amp; $C$143</f>
        <v/>
      </c>
      <c r="B183" s="397" t="n"/>
      <c r="C183" s="436" t="inlineStr">
        <is>
          <t>COGs</t>
        </is>
      </c>
      <c r="D183" s="397" t="n"/>
      <c r="E183" s="396">
        <f>$D$9&amp;"</f>
        <v/>
      </c>
      <c r="F183" s="375" t="inlineStr">
        <is>
          <t>+</t>
        </is>
      </c>
      <c r="G183" s="399">
        <f>IF(G181=0,0,IFERROR(G184/G181,"N/A"))</f>
        <v/>
      </c>
      <c r="H183" s="399">
        <f>IF(H181=0,0,IFERROR(H184/H181,"N/A"))</f>
        <v/>
      </c>
      <c r="I183" s="399">
        <f>IF(I181=0,0,IFERROR(I184/I181,"N/A"))</f>
        <v/>
      </c>
      <c r="J183" s="400">
        <f>IFERROR((H183-I183),"N/A")</f>
        <v/>
      </c>
      <c r="K183" s="385">
        <f>IFERROR((H183-I183)/ABS(I183),"N/A")</f>
        <v/>
      </c>
      <c r="L183" s="400">
        <f>IFERROR((H183-G183),"N/A")</f>
        <v/>
      </c>
      <c r="M183" s="385">
        <f>IFERROR((H183-G183)/ABS(G183),"N/A")</f>
        <v/>
      </c>
      <c r="N183" s="399">
        <f>IF(N181=0,0,IFERROR(N184/N181,"N/A"))</f>
        <v/>
      </c>
      <c r="O183" s="399">
        <f>IF(O181=0,0,IFERROR(O184/O181,"N/A"))</f>
        <v/>
      </c>
      <c r="P183" s="399">
        <f>IF(P181=0,0,IFERROR(P184/P181,"N/A"))</f>
        <v/>
      </c>
      <c r="Q183" s="184">
        <f>IFERROR((O183-P183),"N/A")</f>
        <v/>
      </c>
      <c r="R183" s="385">
        <f>IFERROR((O183-P183)/ABS(P183),"N/A")</f>
        <v/>
      </c>
      <c r="S183" s="400">
        <f>IFERROR((O183-N183),"N/A")</f>
        <v/>
      </c>
      <c r="T183" s="385">
        <f>IFERROR((O183-N183)/ABS(N183),"N/A")</f>
        <v/>
      </c>
    </row>
    <row r="184" outlineLevel="1" ht="12.75" customFormat="1" customHeight="1" s="30">
      <c r="A184" s="373" t="n"/>
      <c r="B184" s="397" t="n"/>
      <c r="C184" s="436" t="inlineStr">
        <is>
          <t>Total COGs</t>
        </is>
      </c>
      <c r="D184" s="397" t="n"/>
      <c r="E184" s="396">
        <f>"thsd</f>
        <v/>
      </c>
      <c r="F184" s="375" t="inlineStr">
        <is>
          <t>+</t>
        </is>
      </c>
      <c r="G184" s="158" t="n"/>
      <c r="H184" s="158" t="n"/>
      <c r="I184" s="158" t="n"/>
      <c r="J184" s="400">
        <f>IFERROR((H184-I184),"N/A")</f>
        <v/>
      </c>
      <c r="K184" s="385">
        <f>IFERROR((H184-I184)/ABS(I184),"N/A")</f>
        <v/>
      </c>
      <c r="L184" s="400">
        <f>IFERROR((H184-G184),"N/A")</f>
        <v/>
      </c>
      <c r="M184" s="385">
        <f>IFERROR((H184-G184)/ABS(G184),"N/A")</f>
        <v/>
      </c>
      <c r="N184" s="158" t="n"/>
      <c r="O184" s="158" t="n"/>
      <c r="P184" s="158" t="n"/>
      <c r="Q184" s="184">
        <f>IFERROR((O184-P184),"N/A")</f>
        <v/>
      </c>
      <c r="R184" s="385">
        <f>IFERROR((O184-P184)/ABS(P184),"N/A")</f>
        <v/>
      </c>
      <c r="S184" s="400">
        <f>IFERROR((O184-N184),"N/A")</f>
        <v/>
      </c>
      <c r="T184" s="385">
        <f>IFERROR((O184-N184)/ABS(N184),"N/A")</f>
        <v/>
      </c>
    </row>
    <row r="185" outlineLevel="1" ht="12.75" customFormat="1" customHeight="1" s="30">
      <c r="A185" s="373">
        <f>$C$144&amp;" "&amp;C185&amp;" Revenue"&amp;" "&amp; $C$143</f>
        <v/>
      </c>
      <c r="B185" s="395" t="n"/>
      <c r="C185" s="407" t="inlineStr">
        <is>
          <t>Other petrochemicals products</t>
        </is>
      </c>
      <c r="D185" s="407" t="n"/>
      <c r="E185" s="396">
        <f>"thsd</f>
        <v/>
      </c>
      <c r="F185" s="375" t="inlineStr">
        <is>
          <t>+</t>
        </is>
      </c>
      <c r="G185" s="158" t="n"/>
      <c r="H185" s="158" t="n"/>
      <c r="I185" s="158" t="n"/>
      <c r="J185" s="184">
        <f>IFERROR((H185-I185),"N/A")</f>
        <v/>
      </c>
      <c r="K185" s="384">
        <f>IFERROR((H185-I185)/ABS(I185),"N/A")</f>
        <v/>
      </c>
      <c r="L185" s="184">
        <f>IFERROR((H185-G185),"N/A")</f>
        <v/>
      </c>
      <c r="M185" s="384">
        <f>IFERROR((H185-G185)/ABS(G185),"N/A")</f>
        <v/>
      </c>
      <c r="N185" s="158" t="n"/>
      <c r="O185" s="158" t="n"/>
      <c r="P185" s="158" t="n"/>
      <c r="Q185" s="184">
        <f>IFERROR((O185-P185),"N/A")</f>
        <v/>
      </c>
      <c r="R185" s="385">
        <f>IFERROR((O185-P185)/ABS(P185),"N/A")</f>
        <v/>
      </c>
      <c r="S185" s="184">
        <f>IFERROR((O185-N185),"N/A")</f>
        <v/>
      </c>
      <c r="T185" s="385">
        <f>IFERROR((O185-N185)/ABS(N185),"N/A")</f>
        <v/>
      </c>
    </row>
    <row r="186" outlineLevel="1" ht="12.75" customFormat="1" customHeight="1" s="30">
      <c r="A186" s="373">
        <f>$C$144&amp;" "&amp;C185&amp;" "&amp;C186&amp;" "&amp; $C$143</f>
        <v/>
      </c>
      <c r="B186" s="397" t="n"/>
      <c r="C186" s="397" t="inlineStr">
        <is>
          <t>Sales volume</t>
        </is>
      </c>
      <c r="D186" s="397" t="n"/>
      <c r="E186" s="396" t="inlineStr">
        <is>
          <t>thsd</t>
        </is>
      </c>
      <c r="F186" s="375" t="inlineStr">
        <is>
          <t>+</t>
        </is>
      </c>
      <c r="G186" s="158" t="n"/>
      <c r="H186" s="158" t="n"/>
      <c r="I186" s="158" t="n"/>
      <c r="J186" s="184">
        <f>IFERROR((H186-I186),"N/A")</f>
        <v/>
      </c>
      <c r="K186" s="384">
        <f>IFERROR((H186-I186)/ABS(I186),"N/A")</f>
        <v/>
      </c>
      <c r="L186" s="184">
        <f>IFERROR((H186-G186),"N/A")</f>
        <v/>
      </c>
      <c r="M186" s="384">
        <f>IFERROR((H186-G186)/ABS(G186),"N/A")</f>
        <v/>
      </c>
      <c r="N186" s="158" t="n"/>
      <c r="O186" s="158" t="n"/>
      <c r="P186" s="158" t="n"/>
      <c r="Q186" s="184">
        <f>IFERROR((O186-P186),"N/A")</f>
        <v/>
      </c>
      <c r="R186" s="385">
        <f>IFERROR((O186-P186)/ABS(P186),"N/A")</f>
        <v/>
      </c>
      <c r="S186" s="184">
        <f>IFERROR((O186-N186),"N/A")</f>
        <v/>
      </c>
      <c r="T186" s="385">
        <f>IFERROR((O186-N186)/ABS(N186),"N/A")</f>
        <v/>
      </c>
    </row>
    <row r="187" outlineLevel="1" ht="12.75" customFormat="1" customHeight="1" s="30">
      <c r="A187" s="373">
        <f>$C$144&amp;" "&amp;C185&amp;" "&amp;C187&amp;" "&amp; $C$143</f>
        <v/>
      </c>
      <c r="B187" s="397" t="n"/>
      <c r="C187" s="397" t="inlineStr">
        <is>
          <t>Price</t>
        </is>
      </c>
      <c r="D187" s="397" t="inlineStr">
        <is>
          <t>Qiyməti</t>
        </is>
      </c>
      <c r="E187" s="396">
        <f>$D$9&amp;"</f>
        <v/>
      </c>
      <c r="F187" s="375" t="inlineStr">
        <is>
          <t>+</t>
        </is>
      </c>
      <c r="G187" s="184">
        <f>IF(G186=0,0,IFERROR(G185/G186,"N/A"))</f>
        <v/>
      </c>
      <c r="H187" s="184">
        <f>IF(H186=0,0,IFERROR(H185/H186,"N/A"))</f>
        <v/>
      </c>
      <c r="I187" s="184">
        <f>IF(I186=0,0,IFERROR(I185/I186,"N/A"))</f>
        <v/>
      </c>
      <c r="J187" s="184">
        <f>IFERROR((H187-I187),"N/A")</f>
        <v/>
      </c>
      <c r="K187" s="384">
        <f>IFERROR((H187-I187)/ABS(I187),"N/A")</f>
        <v/>
      </c>
      <c r="L187" s="184">
        <f>IFERROR((H187-G187),"N/A")</f>
        <v/>
      </c>
      <c r="M187" s="384">
        <f>IFERROR((H187-G187)/ABS(G187),"N/A")</f>
        <v/>
      </c>
      <c r="N187" s="184">
        <f>IF(N186=0,0,IFERROR(N185/N186,"N/A"))</f>
        <v/>
      </c>
      <c r="O187" s="184">
        <f>IF(O186=0,0,IFERROR(O185/O186,"N/A"))</f>
        <v/>
      </c>
      <c r="P187" s="184">
        <f>IF(P186=0,0,IFERROR(P185/P186,"N/A"))</f>
        <v/>
      </c>
      <c r="Q187" s="184">
        <f>IFERROR((O187-P187),"N/A")</f>
        <v/>
      </c>
      <c r="R187" s="385">
        <f>IFERROR((O187-P187)/ABS(P187),"N/A")</f>
        <v/>
      </c>
      <c r="S187" s="184">
        <f>IFERROR((O187-N187),"N/A")</f>
        <v/>
      </c>
      <c r="T187" s="385">
        <f>IFERROR((O187-N187)/ABS(N187),"N/A")</f>
        <v/>
      </c>
    </row>
    <row r="188" outlineLevel="1" ht="12.75" customFormat="1" customHeight="1" s="30">
      <c r="A188" s="373">
        <f>$C$144&amp;" "&amp;C185&amp;" "&amp;C188&amp;" "&amp; $C$143</f>
        <v/>
      </c>
      <c r="B188" s="397" t="n"/>
      <c r="C188" s="436" t="inlineStr">
        <is>
          <t>COGs</t>
        </is>
      </c>
      <c r="D188" s="397" t="n"/>
      <c r="E188" s="396">
        <f>$D$9&amp;"</f>
        <v/>
      </c>
      <c r="F188" s="375" t="inlineStr">
        <is>
          <t>+</t>
        </is>
      </c>
      <c r="G188" s="399">
        <f>IF(G186=0,0,IFERROR(G189/G186,"N/A"))</f>
        <v/>
      </c>
      <c r="H188" s="399">
        <f>IF(H186=0,0,IFERROR(H189/H186,"N/A"))</f>
        <v/>
      </c>
      <c r="I188" s="399">
        <f>IF(I186=0,0,IFERROR(I189/I186,"N/A"))</f>
        <v/>
      </c>
      <c r="J188" s="400">
        <f>IFERROR((H188-I188),"N/A")</f>
        <v/>
      </c>
      <c r="K188" s="385">
        <f>IFERROR((H188-I188)/ABS(I188),"N/A")</f>
        <v/>
      </c>
      <c r="L188" s="400">
        <f>IFERROR((H188-G188),"N/A")</f>
        <v/>
      </c>
      <c r="M188" s="385">
        <f>IFERROR((H188-G188)/ABS(G188),"N/A")</f>
        <v/>
      </c>
      <c r="N188" s="399">
        <f>IF(N186=0,0,IFERROR(N189/N186,"N/A"))</f>
        <v/>
      </c>
      <c r="O188" s="399">
        <f>IF(O186=0,0,IFERROR(O189/O186,"N/A"))</f>
        <v/>
      </c>
      <c r="P188" s="399">
        <f>IF(P186=0,0,IFERROR(P189/P186,"N/A"))</f>
        <v/>
      </c>
      <c r="Q188" s="184">
        <f>IFERROR((O188-P188),"N/A")</f>
        <v/>
      </c>
      <c r="R188" s="385">
        <f>IFERROR((O188-P188)/ABS(P188),"N/A")</f>
        <v/>
      </c>
      <c r="S188" s="400">
        <f>IFERROR((O188-N188),"N/A")</f>
        <v/>
      </c>
      <c r="T188" s="385">
        <f>IFERROR((O188-N188)/ABS(N188),"N/A")</f>
        <v/>
      </c>
    </row>
    <row r="189" outlineLevel="1" ht="12.75" customFormat="1" customHeight="1" s="30">
      <c r="A189" s="373" t="n"/>
      <c r="B189" s="397" t="n"/>
      <c r="C189" s="436" t="inlineStr">
        <is>
          <t>Total COGs</t>
        </is>
      </c>
      <c r="D189" s="397" t="n"/>
      <c r="E189" s="396">
        <f>"thsd</f>
        <v/>
      </c>
      <c r="F189" s="375" t="inlineStr">
        <is>
          <t>+</t>
        </is>
      </c>
      <c r="G189" s="158" t="n"/>
      <c r="H189" s="158" t="n"/>
      <c r="I189" s="158" t="n"/>
      <c r="J189" s="400">
        <f>IFERROR((H189-I189),"N/A")</f>
        <v/>
      </c>
      <c r="K189" s="385">
        <f>IFERROR((H189-I189)/ABS(I189),"N/A")</f>
        <v/>
      </c>
      <c r="L189" s="400">
        <f>IFERROR((H189-G189),"N/A")</f>
        <v/>
      </c>
      <c r="M189" s="385">
        <f>IFERROR((H189-G189)/ABS(G189),"N/A")</f>
        <v/>
      </c>
      <c r="N189" s="158" t="n"/>
      <c r="O189" s="158" t="n"/>
      <c r="P189" s="158" t="n"/>
      <c r="Q189" s="184">
        <f>IFERROR((O189-P189),"N/A")</f>
        <v/>
      </c>
      <c r="R189" s="385">
        <f>IFERROR((O189-P189)/ABS(P189),"N/A")</f>
        <v/>
      </c>
      <c r="S189" s="400">
        <f>IFERROR((O189-N189),"N/A")</f>
        <v/>
      </c>
      <c r="T189" s="385">
        <f>IFERROR((O189-N189)/ABS(N189),"N/A")</f>
        <v/>
      </c>
    </row>
    <row r="190" outlineLevel="1" ht="26.1" customFormat="1" customHeight="1" s="30">
      <c r="A190" s="373" t="n"/>
      <c r="B190" s="401" t="n"/>
      <c r="C190" s="401" t="inlineStr">
        <is>
          <t>Overseas revenue (for Entity location)</t>
        </is>
      </c>
      <c r="D190" s="401" t="n"/>
      <c r="E190" s="402">
        <f>"thsd</f>
        <v/>
      </c>
      <c r="F190" s="375" t="inlineStr">
        <is>
          <t>+</t>
        </is>
      </c>
      <c r="G190" s="403">
        <f>SUM(G191,G196,G201,G206,G211,G216,G221,G226,G231)</f>
        <v/>
      </c>
      <c r="H190" s="403">
        <f>SUM(H191,H196,H201,H206,H211,H216,H221,H226,H231)</f>
        <v/>
      </c>
      <c r="I190" s="403">
        <f>SUM(I191,I196,I201,I206,I211,I216,I221,I226,I231)</f>
        <v/>
      </c>
      <c r="J190" s="403">
        <f>IFERROR((H190-I190),"N/A")</f>
        <v/>
      </c>
      <c r="K190" s="404">
        <f>IFERROR((H190-I190)/ABS(I190),"N/A")</f>
        <v/>
      </c>
      <c r="L190" s="403">
        <f>IFERROR((H190-G190),"N/A")</f>
        <v/>
      </c>
      <c r="M190" s="404">
        <f>IFERROR((H190-G190)/ABS(G190),"N/A")</f>
        <v/>
      </c>
      <c r="N190" s="403">
        <f>SUM(N191,N196,N201,N206,N211,N216,N221,N226,N231)</f>
        <v/>
      </c>
      <c r="O190" s="403">
        <f>SUM(O191,O196,O201,O206,O211,O216,O221,O226,O231)</f>
        <v/>
      </c>
      <c r="P190" s="403">
        <f>SUM(P191,P196,P201,P206,P211,P216,P221,P226,P231)</f>
        <v/>
      </c>
      <c r="Q190" s="403">
        <f>IFERROR((O190-P190),"N/A")</f>
        <v/>
      </c>
      <c r="R190" s="405">
        <f>IFERROR((O190-P190)/ABS(P190),"N/A")</f>
        <v/>
      </c>
      <c r="S190" s="403">
        <f>IFERROR((O190-N190),"N/A")</f>
        <v/>
      </c>
      <c r="T190" s="405">
        <f>IFERROR((O190-N190)/ABS(N190),"N/A")</f>
        <v/>
      </c>
    </row>
    <row r="191" outlineLevel="1" ht="12.75" customFormat="1" customHeight="1" s="30">
      <c r="A191" s="373">
        <f>$C$190&amp;" "&amp;C191&amp;" Revenue"&amp;" "&amp; $C$143</f>
        <v/>
      </c>
      <c r="B191" s="395" t="n"/>
      <c r="C191" s="395">
        <f>C145</f>
        <v/>
      </c>
      <c r="D191" s="395">
        <f>D145</f>
        <v/>
      </c>
      <c r="E191" s="396">
        <f>"thsd</f>
        <v/>
      </c>
      <c r="F191" s="375" t="inlineStr">
        <is>
          <t>+</t>
        </is>
      </c>
      <c r="G191" s="158" t="n"/>
      <c r="H191" s="158" t="n"/>
      <c r="I191" s="158" t="n"/>
      <c r="J191" s="184">
        <f>IFERROR((H191-I191),"N/A")</f>
        <v/>
      </c>
      <c r="K191" s="384">
        <f>IFERROR((H191-I191)/ABS(I191),"N/A")</f>
        <v/>
      </c>
      <c r="L191" s="184">
        <f>IFERROR((H191-G191),"N/A")</f>
        <v/>
      </c>
      <c r="M191" s="384">
        <f>IFERROR((H191-G191)/ABS(G191),"N/A")</f>
        <v/>
      </c>
      <c r="N191" s="158" t="n"/>
      <c r="O191" s="158" t="n"/>
      <c r="P191" s="158" t="n"/>
      <c r="Q191" s="184">
        <f>IFERROR((O191-P191),"N/A")</f>
        <v/>
      </c>
      <c r="R191" s="385">
        <f>IFERROR((O191-P191)/ABS(P191),"N/A")</f>
        <v/>
      </c>
      <c r="S191" s="184">
        <f>IFERROR((O191-N191),"N/A")</f>
        <v/>
      </c>
      <c r="T191" s="385">
        <f>IFERROR((O191-N191)/ABS(N191),"N/A")</f>
        <v/>
      </c>
    </row>
    <row r="192" outlineLevel="1" ht="12.75" customFormat="1" customHeight="1" s="30">
      <c r="A192" s="373">
        <f>$C$190&amp;" "&amp;C191&amp;" "&amp;C192&amp;" "&amp; $C$143</f>
        <v/>
      </c>
      <c r="B192" s="397" t="n"/>
      <c r="C192" s="397" t="inlineStr">
        <is>
          <t>Sales volume</t>
        </is>
      </c>
      <c r="D192" s="397" t="n"/>
      <c r="E192" s="396" t="inlineStr">
        <is>
          <t>thsd</t>
        </is>
      </c>
      <c r="F192" s="375" t="inlineStr">
        <is>
          <t>+</t>
        </is>
      </c>
      <c r="G192" s="158" t="n"/>
      <c r="H192" s="158" t="n"/>
      <c r="I192" s="158" t="n"/>
      <c r="J192" s="184">
        <f>IFERROR((H192-I192),"N/A")</f>
        <v/>
      </c>
      <c r="K192" s="384">
        <f>IFERROR((H192-I192)/ABS(I192),"N/A")</f>
        <v/>
      </c>
      <c r="L192" s="184">
        <f>IFERROR((H192-G192),"N/A")</f>
        <v/>
      </c>
      <c r="M192" s="384">
        <f>IFERROR((H192-G192)/ABS(G192),"N/A")</f>
        <v/>
      </c>
      <c r="N192" s="158" t="n"/>
      <c r="O192" s="158" t="n"/>
      <c r="P192" s="158" t="n"/>
      <c r="Q192" s="184">
        <f>IFERROR((O192-P192),"N/A")</f>
        <v/>
      </c>
      <c r="R192" s="385">
        <f>IFERROR((O192-P192)/ABS(P192),"N/A")</f>
        <v/>
      </c>
      <c r="S192" s="184">
        <f>IFERROR((O192-N192),"N/A")</f>
        <v/>
      </c>
      <c r="T192" s="385">
        <f>IFERROR((O192-N192)/ABS(N192),"N/A")</f>
        <v/>
      </c>
    </row>
    <row r="193" outlineLevel="1" ht="12.75" customFormat="1" customHeight="1" s="30">
      <c r="A193" s="373">
        <f>$C$190&amp;" "&amp;C191&amp;" "&amp;C193&amp;" "&amp; $C$143</f>
        <v/>
      </c>
      <c r="B193" s="397" t="n"/>
      <c r="C193" s="397" t="inlineStr">
        <is>
          <t>Price</t>
        </is>
      </c>
      <c r="D193" s="397" t="inlineStr">
        <is>
          <t>Qiyməti</t>
        </is>
      </c>
      <c r="E193" s="396">
        <f>$D$9&amp;"</f>
        <v/>
      </c>
      <c r="F193" s="375" t="inlineStr">
        <is>
          <t>+</t>
        </is>
      </c>
      <c r="G193" s="184">
        <f>IF(G192=0,0,IFERROR(G191/G192,"N/A"))</f>
        <v/>
      </c>
      <c r="H193" s="184">
        <f>IF(H192=0,0,IFERROR(H191/H192,"N/A"))</f>
        <v/>
      </c>
      <c r="I193" s="184">
        <f>IF(I192=0,0,IFERROR(I191/I192,"N/A"))</f>
        <v/>
      </c>
      <c r="J193" s="184">
        <f>IFERROR((H193-I193),"N/A")</f>
        <v/>
      </c>
      <c r="K193" s="384">
        <f>IFERROR((H193-I193)/ABS(I193),"N/A")</f>
        <v/>
      </c>
      <c r="L193" s="184">
        <f>IFERROR((H193-G193),"N/A")</f>
        <v/>
      </c>
      <c r="M193" s="384">
        <f>IFERROR((H193-G193)/ABS(G193),"N/A")</f>
        <v/>
      </c>
      <c r="N193" s="184">
        <f>IF(N192=0,0,IFERROR(N191/N192,"N/A"))</f>
        <v/>
      </c>
      <c r="O193" s="184">
        <f>IF(O192=0,0,IFERROR(O191/O192,"N/A"))</f>
        <v/>
      </c>
      <c r="P193" s="184">
        <f>IF(P192=0,0,IFERROR(P191/P192,"N/A"))</f>
        <v/>
      </c>
      <c r="Q193" s="184">
        <f>IFERROR((O193-P193),"N/A")</f>
        <v/>
      </c>
      <c r="R193" s="385">
        <f>IFERROR((O193-P193)/ABS(P193),"N/A")</f>
        <v/>
      </c>
      <c r="S193" s="184">
        <f>IFERROR((O193-N193),"N/A")</f>
        <v/>
      </c>
      <c r="T193" s="385">
        <f>IFERROR((O193-N193)/ABS(N193),"N/A")</f>
        <v/>
      </c>
    </row>
    <row r="194" outlineLevel="1" ht="12.75" customFormat="1" customHeight="1" s="30">
      <c r="A194" s="373">
        <f>$C$190&amp;" "&amp;C191&amp;" "&amp;C194&amp;" "&amp; $C$143</f>
        <v/>
      </c>
      <c r="B194" s="397" t="n"/>
      <c r="C194" s="436" t="inlineStr">
        <is>
          <t>COGs</t>
        </is>
      </c>
      <c r="D194" s="397" t="n"/>
      <c r="E194" s="396">
        <f>$D$9&amp;"</f>
        <v/>
      </c>
      <c r="F194" s="375" t="inlineStr">
        <is>
          <t>+</t>
        </is>
      </c>
      <c r="G194" s="399">
        <f>IF(G192=0,0,IFERROR(G195/G192,"N/A"))</f>
        <v/>
      </c>
      <c r="H194" s="399">
        <f>IF(H192=0,0,IFERROR(H195/H192,"N/A"))</f>
        <v/>
      </c>
      <c r="I194" s="399">
        <f>IF(I192=0,0,IFERROR(I195/I192,"N/A"))</f>
        <v/>
      </c>
      <c r="J194" s="400">
        <f>IFERROR((H194-I194),"N/A")</f>
        <v/>
      </c>
      <c r="K194" s="385">
        <f>IFERROR((H194-I194)/ABS(I194),"N/A")</f>
        <v/>
      </c>
      <c r="L194" s="400">
        <f>IFERROR((H194-G194),"N/A")</f>
        <v/>
      </c>
      <c r="M194" s="385">
        <f>IFERROR((H194-G194)/ABS(G194),"N/A")</f>
        <v/>
      </c>
      <c r="N194" s="399">
        <f>IF(N192=0,0,IFERROR(N195/N192,"N/A"))</f>
        <v/>
      </c>
      <c r="O194" s="399">
        <f>IF(O192=0,0,IFERROR(O195/O192,"N/A"))</f>
        <v/>
      </c>
      <c r="P194" s="399">
        <f>IF(P192=0,0,IFERROR(P195/P192,"N/A"))</f>
        <v/>
      </c>
      <c r="Q194" s="184">
        <f>IFERROR((O194-P194),"N/A")</f>
        <v/>
      </c>
      <c r="R194" s="385">
        <f>IFERROR((O194-P194)/ABS(P194),"N/A")</f>
        <v/>
      </c>
      <c r="S194" s="400">
        <f>IFERROR((O194-N194),"N/A")</f>
        <v/>
      </c>
      <c r="T194" s="385">
        <f>IFERROR((O194-N194)/ABS(N194),"N/A")</f>
        <v/>
      </c>
    </row>
    <row r="195" outlineLevel="1" ht="12.75" customFormat="1" customHeight="1" s="30">
      <c r="A195" s="373" t="n"/>
      <c r="B195" s="397" t="n"/>
      <c r="C195" s="436" t="inlineStr">
        <is>
          <t>Total COGs</t>
        </is>
      </c>
      <c r="D195" s="397" t="n"/>
      <c r="E195" s="396">
        <f>"thsd</f>
        <v/>
      </c>
      <c r="F195" s="375" t="inlineStr">
        <is>
          <t>+</t>
        </is>
      </c>
      <c r="G195" s="158" t="n"/>
      <c r="H195" s="158" t="n"/>
      <c r="I195" s="158" t="n"/>
      <c r="J195" s="400">
        <f>IFERROR((H195-I195),"N/A")</f>
        <v/>
      </c>
      <c r="K195" s="385">
        <f>IFERROR((H195-I195)/ABS(I195),"N/A")</f>
        <v/>
      </c>
      <c r="L195" s="400">
        <f>IFERROR((H195-G195),"N/A")</f>
        <v/>
      </c>
      <c r="M195" s="385">
        <f>IFERROR((H195-G195)/ABS(G195),"N/A")</f>
        <v/>
      </c>
      <c r="N195" s="158" t="n"/>
      <c r="O195" s="158" t="n"/>
      <c r="P195" s="158" t="n"/>
      <c r="Q195" s="184">
        <f>IFERROR((O195-P195),"N/A")</f>
        <v/>
      </c>
      <c r="R195" s="385">
        <f>IFERROR((O195-P195)/ABS(P195),"N/A")</f>
        <v/>
      </c>
      <c r="S195" s="400">
        <f>IFERROR((O195-N195),"N/A")</f>
        <v/>
      </c>
      <c r="T195" s="385">
        <f>IFERROR((O195-N195)/ABS(N195),"N/A")</f>
        <v/>
      </c>
    </row>
    <row r="196" outlineLevel="1" ht="12.75" customFormat="1" customHeight="1" s="30">
      <c r="A196" s="373">
        <f>$C$190&amp;" "&amp;C196&amp;" Revenue"&amp;" "&amp; $C$143</f>
        <v/>
      </c>
      <c r="B196" s="395" t="n"/>
      <c r="C196" s="395">
        <f>C150</f>
        <v/>
      </c>
      <c r="D196" s="395">
        <f>D150</f>
        <v/>
      </c>
      <c r="E196" s="396">
        <f>"thsd</f>
        <v/>
      </c>
      <c r="F196" s="375" t="inlineStr">
        <is>
          <t>+</t>
        </is>
      </c>
      <c r="G196" s="158" t="n"/>
      <c r="H196" s="158" t="n"/>
      <c r="I196" s="158" t="n"/>
      <c r="J196" s="184">
        <f>IFERROR((H196-I196),"N/A")</f>
        <v/>
      </c>
      <c r="K196" s="384">
        <f>IFERROR((H196-I196)/ABS(I196),"N/A")</f>
        <v/>
      </c>
      <c r="L196" s="184">
        <f>IFERROR((H196-G196),"N/A")</f>
        <v/>
      </c>
      <c r="M196" s="384">
        <f>IFERROR((H196-G196)/ABS(G196),"N/A")</f>
        <v/>
      </c>
      <c r="N196" s="158" t="n"/>
      <c r="O196" s="158" t="n"/>
      <c r="P196" s="158" t="n"/>
      <c r="Q196" s="184">
        <f>IFERROR((O196-P196),"N/A")</f>
        <v/>
      </c>
      <c r="R196" s="385">
        <f>IFERROR((O196-P196)/ABS(P196),"N/A")</f>
        <v/>
      </c>
      <c r="S196" s="184">
        <f>IFERROR((O196-N196),"N/A")</f>
        <v/>
      </c>
      <c r="T196" s="385">
        <f>IFERROR((O196-N196)/ABS(N196),"N/A")</f>
        <v/>
      </c>
    </row>
    <row r="197" outlineLevel="1" ht="12.75" customFormat="1" customHeight="1" s="30">
      <c r="A197" s="373">
        <f>$C$190&amp;" "&amp;C196&amp;" "&amp;C197&amp;" "&amp; $C$143</f>
        <v/>
      </c>
      <c r="B197" s="397" t="n"/>
      <c r="C197" s="397" t="inlineStr">
        <is>
          <t>Sales volume</t>
        </is>
      </c>
      <c r="D197" s="397" t="n"/>
      <c r="E197" s="396" t="inlineStr">
        <is>
          <t>thsd</t>
        </is>
      </c>
      <c r="F197" s="375" t="inlineStr">
        <is>
          <t>+</t>
        </is>
      </c>
      <c r="G197" s="158" t="n"/>
      <c r="H197" s="158" t="n"/>
      <c r="I197" s="158" t="n"/>
      <c r="J197" s="184">
        <f>IFERROR((H197-I197),"N/A")</f>
        <v/>
      </c>
      <c r="K197" s="384">
        <f>IFERROR((H197-I197)/ABS(I197),"N/A")</f>
        <v/>
      </c>
      <c r="L197" s="184">
        <f>IFERROR((H197-G197),"N/A")</f>
        <v/>
      </c>
      <c r="M197" s="384">
        <f>IFERROR((H197-G197)/ABS(G197),"N/A")</f>
        <v/>
      </c>
      <c r="N197" s="158" t="n"/>
      <c r="O197" s="158" t="n"/>
      <c r="P197" s="158" t="n"/>
      <c r="Q197" s="184">
        <f>IFERROR((O197-P197),"N/A")</f>
        <v/>
      </c>
      <c r="R197" s="385">
        <f>IFERROR((O197-P197)/ABS(P197),"N/A")</f>
        <v/>
      </c>
      <c r="S197" s="184">
        <f>IFERROR((O197-N197),"N/A")</f>
        <v/>
      </c>
      <c r="T197" s="385">
        <f>IFERROR((O197-N197)/ABS(N197),"N/A")</f>
        <v/>
      </c>
    </row>
    <row r="198" outlineLevel="1" ht="12.75" customFormat="1" customHeight="1" s="30">
      <c r="A198" s="373">
        <f>$C$190&amp;" "&amp;C196&amp;" "&amp;C198&amp;" "&amp; $C$143</f>
        <v/>
      </c>
      <c r="B198" s="397" t="n"/>
      <c r="C198" s="397" t="inlineStr">
        <is>
          <t>Price</t>
        </is>
      </c>
      <c r="D198" s="397" t="inlineStr">
        <is>
          <t>Qiyməti</t>
        </is>
      </c>
      <c r="E198" s="396">
        <f>$D$9&amp;"</f>
        <v/>
      </c>
      <c r="F198" s="375" t="inlineStr">
        <is>
          <t>+</t>
        </is>
      </c>
      <c r="G198" s="184">
        <f>IF(G197=0,0,IFERROR(G196/G197,"N/A"))</f>
        <v/>
      </c>
      <c r="H198" s="184">
        <f>IF(H197=0,0,IFERROR(H196/H197,"N/A"))</f>
        <v/>
      </c>
      <c r="I198" s="184">
        <f>IF(I197=0,0,IFERROR(I196/I197,"N/A"))</f>
        <v/>
      </c>
      <c r="J198" s="184">
        <f>IFERROR((H198-I198),"N/A")</f>
        <v/>
      </c>
      <c r="K198" s="384">
        <f>IFERROR((H198-I198)/ABS(I198),"N/A")</f>
        <v/>
      </c>
      <c r="L198" s="184">
        <f>IFERROR((H198-G198),"N/A")</f>
        <v/>
      </c>
      <c r="M198" s="384">
        <f>IFERROR((H198-G198)/ABS(G198),"N/A")</f>
        <v/>
      </c>
      <c r="N198" s="184">
        <f>IF(N197=0,0,IFERROR(N196/N197,"N/A"))</f>
        <v/>
      </c>
      <c r="O198" s="184">
        <f>IF(O197=0,0,IFERROR(O196/O197,"N/A"))</f>
        <v/>
      </c>
      <c r="P198" s="184">
        <f>IF(P197=0,0,IFERROR(P196/P197,"N/A"))</f>
        <v/>
      </c>
      <c r="Q198" s="184">
        <f>IFERROR((O198-P198),"N/A")</f>
        <v/>
      </c>
      <c r="R198" s="385">
        <f>IFERROR((O198-P198)/ABS(P198),"N/A")</f>
        <v/>
      </c>
      <c r="S198" s="184">
        <f>IFERROR((O198-N198),"N/A")</f>
        <v/>
      </c>
      <c r="T198" s="385">
        <f>IFERROR((O198-N198)/ABS(N198),"N/A")</f>
        <v/>
      </c>
    </row>
    <row r="199" outlineLevel="1" ht="12.75" customFormat="1" customHeight="1" s="30">
      <c r="A199" s="373">
        <f>$C$190&amp;" "&amp;C196&amp;" "&amp;C199&amp;" "&amp; $C$143</f>
        <v/>
      </c>
      <c r="B199" s="397" t="n"/>
      <c r="C199" s="436" t="inlineStr">
        <is>
          <t>COGs</t>
        </is>
      </c>
      <c r="D199" s="397" t="n"/>
      <c r="E199" s="396">
        <f>$D$9&amp;"</f>
        <v/>
      </c>
      <c r="F199" s="375" t="inlineStr">
        <is>
          <t>+</t>
        </is>
      </c>
      <c r="G199" s="399">
        <f>IF(G197=0,0,IFERROR(G200/G197,"N/A"))</f>
        <v/>
      </c>
      <c r="H199" s="399">
        <f>IF(H197=0,0,IFERROR(H200/H197,"N/A"))</f>
        <v/>
      </c>
      <c r="I199" s="399">
        <f>IF(I197=0,0,IFERROR(I200/I197,"N/A"))</f>
        <v/>
      </c>
      <c r="J199" s="400">
        <f>IFERROR((H199-I199),"N/A")</f>
        <v/>
      </c>
      <c r="K199" s="385">
        <f>IFERROR((H199-I199)/ABS(I199),"N/A")</f>
        <v/>
      </c>
      <c r="L199" s="400">
        <f>IFERROR((H199-G199),"N/A")</f>
        <v/>
      </c>
      <c r="M199" s="385">
        <f>IFERROR((H199-G199)/ABS(G199),"N/A")</f>
        <v/>
      </c>
      <c r="N199" s="399">
        <f>IF(N197=0,0,IFERROR(N200/N197,"N/A"))</f>
        <v/>
      </c>
      <c r="O199" s="399">
        <f>IF(O197=0,0,IFERROR(O200/O197,"N/A"))</f>
        <v/>
      </c>
      <c r="P199" s="399">
        <f>IF(P197=0,0,IFERROR(P200/P197,"N/A"))</f>
        <v/>
      </c>
      <c r="Q199" s="184">
        <f>IFERROR((O199-P199),"N/A")</f>
        <v/>
      </c>
      <c r="R199" s="385">
        <f>IFERROR((O199-P199)/ABS(P199),"N/A")</f>
        <v/>
      </c>
      <c r="S199" s="400">
        <f>IFERROR((O199-N199),"N/A")</f>
        <v/>
      </c>
      <c r="T199" s="385">
        <f>IFERROR((O199-N199)/ABS(N199),"N/A")</f>
        <v/>
      </c>
    </row>
    <row r="200" outlineLevel="1" ht="12.75" customFormat="1" customHeight="1" s="30">
      <c r="A200" s="373" t="n"/>
      <c r="B200" s="397" t="n"/>
      <c r="C200" s="436" t="inlineStr">
        <is>
          <t>Total COGs</t>
        </is>
      </c>
      <c r="D200" s="397" t="n"/>
      <c r="E200" s="396">
        <f>"thsd</f>
        <v/>
      </c>
      <c r="F200" s="375" t="inlineStr">
        <is>
          <t>+</t>
        </is>
      </c>
      <c r="G200" s="158" t="n"/>
      <c r="H200" s="158" t="n"/>
      <c r="I200" s="158" t="n"/>
      <c r="J200" s="400">
        <f>IFERROR((H200-I200),"N/A")</f>
        <v/>
      </c>
      <c r="K200" s="385">
        <f>IFERROR((H200-I200)/ABS(I200),"N/A")</f>
        <v/>
      </c>
      <c r="L200" s="400">
        <f>IFERROR((H200-G200),"N/A")</f>
        <v/>
      </c>
      <c r="M200" s="385">
        <f>IFERROR((H200-G200)/ABS(G200),"N/A")</f>
        <v/>
      </c>
      <c r="N200" s="158" t="n"/>
      <c r="O200" s="158" t="n"/>
      <c r="P200" s="158" t="n"/>
      <c r="Q200" s="184">
        <f>IFERROR((O200-P200),"N/A")</f>
        <v/>
      </c>
      <c r="R200" s="385">
        <f>IFERROR((O200-P200)/ABS(P200),"N/A")</f>
        <v/>
      </c>
      <c r="S200" s="400">
        <f>IFERROR((O200-N200),"N/A")</f>
        <v/>
      </c>
      <c r="T200" s="385">
        <f>IFERROR((O200-N200)/ABS(N200),"N/A")</f>
        <v/>
      </c>
    </row>
    <row r="201" outlineLevel="1" ht="12.75" customFormat="1" customHeight="1" s="411">
      <c r="A201" s="409">
        <f>$C$190&amp;" "&amp;C201&amp;" Revenue"&amp;" "&amp; $C$143</f>
        <v/>
      </c>
      <c r="B201" s="410" t="n"/>
      <c r="C201" s="410">
        <f>C155</f>
        <v/>
      </c>
      <c r="D201" s="410">
        <f>D155</f>
        <v/>
      </c>
      <c r="E201" s="396">
        <f>"thsd</f>
        <v/>
      </c>
      <c r="F201" s="375" t="inlineStr">
        <is>
          <t>+</t>
        </is>
      </c>
      <c r="G201" s="158" t="n"/>
      <c r="H201" s="158" t="n"/>
      <c r="I201" s="158" t="n"/>
      <c r="J201" s="184">
        <f>IFERROR((H201-I201),"N/A")</f>
        <v/>
      </c>
      <c r="K201" s="384">
        <f>IFERROR((H201-I201)/ABS(I201),"N/A")</f>
        <v/>
      </c>
      <c r="L201" s="184">
        <f>IFERROR((H201-G201),"N/A")</f>
        <v/>
      </c>
      <c r="M201" s="384">
        <f>IFERROR((H201-G201)/ABS(G201),"N/A")</f>
        <v/>
      </c>
      <c r="N201" s="158" t="n"/>
      <c r="O201" s="158" t="n"/>
      <c r="P201" s="158" t="n"/>
      <c r="Q201" s="184">
        <f>IFERROR((O201-P201),"N/A")</f>
        <v/>
      </c>
      <c r="R201" s="385">
        <f>IFERROR((O201-P201)/ABS(P201),"N/A")</f>
        <v/>
      </c>
      <c r="S201" s="184">
        <f>IFERROR((O201-N201),"N/A")</f>
        <v/>
      </c>
      <c r="T201" s="385">
        <f>IFERROR((O201-N201)/ABS(N201),"N/A")</f>
        <v/>
      </c>
    </row>
    <row r="202" outlineLevel="1" ht="12.75" customFormat="1" customHeight="1" s="30">
      <c r="A202" s="373">
        <f>$C$190&amp;" "&amp;C201&amp;" "&amp;C202&amp;" "&amp; $C$143</f>
        <v/>
      </c>
      <c r="B202" s="397" t="n"/>
      <c r="C202" s="397" t="inlineStr">
        <is>
          <t>Sales volume</t>
        </is>
      </c>
      <c r="D202" s="397" t="n"/>
      <c r="E202" s="396" t="inlineStr">
        <is>
          <t>thsd</t>
        </is>
      </c>
      <c r="F202" s="375" t="inlineStr">
        <is>
          <t>+</t>
        </is>
      </c>
      <c r="G202" s="158" t="n"/>
      <c r="H202" s="158" t="n"/>
      <c r="I202" s="158" t="n"/>
      <c r="J202" s="184">
        <f>IFERROR((H202-I202),"N/A")</f>
        <v/>
      </c>
      <c r="K202" s="384">
        <f>IFERROR((H202-I202)/ABS(I202),"N/A")</f>
        <v/>
      </c>
      <c r="L202" s="184">
        <f>IFERROR((H202-G202),"N/A")</f>
        <v/>
      </c>
      <c r="M202" s="384">
        <f>IFERROR((H202-G202)/ABS(G202),"N/A")</f>
        <v/>
      </c>
      <c r="N202" s="158" t="n"/>
      <c r="O202" s="158" t="n"/>
      <c r="P202" s="158" t="n"/>
      <c r="Q202" s="184">
        <f>IFERROR((O202-P202),"N/A")</f>
        <v/>
      </c>
      <c r="R202" s="385">
        <f>IFERROR((O202-P202)/ABS(P202),"N/A")</f>
        <v/>
      </c>
      <c r="S202" s="184">
        <f>IFERROR((O202-N202),"N/A")</f>
        <v/>
      </c>
      <c r="T202" s="385">
        <f>IFERROR((O202-N202)/ABS(N202),"N/A")</f>
        <v/>
      </c>
    </row>
    <row r="203" outlineLevel="1" ht="12.75" customFormat="1" customHeight="1" s="30">
      <c r="A203" s="373">
        <f>$C$190&amp;" "&amp;C201&amp;" "&amp;C203&amp;" "&amp; $C$143</f>
        <v/>
      </c>
      <c r="B203" s="397" t="n"/>
      <c r="C203" s="397" t="inlineStr">
        <is>
          <t>Price</t>
        </is>
      </c>
      <c r="D203" s="397" t="inlineStr">
        <is>
          <t>Qiyməti</t>
        </is>
      </c>
      <c r="E203" s="396">
        <f>$D$9&amp;"</f>
        <v/>
      </c>
      <c r="F203" s="375" t="inlineStr">
        <is>
          <t>+</t>
        </is>
      </c>
      <c r="G203" s="184">
        <f>IF(G202=0,0,IFERROR(G201/G202,"N/A"))</f>
        <v/>
      </c>
      <c r="H203" s="184">
        <f>IF(H202=0,0,IFERROR(H201/H202,"N/A"))</f>
        <v/>
      </c>
      <c r="I203" s="184">
        <f>IF(I202=0,0,IFERROR(I201/I202,"N/A"))</f>
        <v/>
      </c>
      <c r="J203" s="184">
        <f>IFERROR((H203-I203),"N/A")</f>
        <v/>
      </c>
      <c r="K203" s="384">
        <f>IFERROR((H203-I203)/ABS(I203),"N/A")</f>
        <v/>
      </c>
      <c r="L203" s="184">
        <f>IFERROR((H203-G203),"N/A")</f>
        <v/>
      </c>
      <c r="M203" s="384">
        <f>IFERROR((H203-G203)/ABS(G203),"N/A")</f>
        <v/>
      </c>
      <c r="N203" s="184">
        <f>IF(N202=0,0,IFERROR(N201/N202,"N/A"))</f>
        <v/>
      </c>
      <c r="O203" s="184">
        <f>IF(O202=0,0,IFERROR(O201/O202,"N/A"))</f>
        <v/>
      </c>
      <c r="P203" s="184">
        <f>IF(P202=0,0,IFERROR(P201/P202,"N/A"))</f>
        <v/>
      </c>
      <c r="Q203" s="184">
        <f>IFERROR((O203-P203),"N/A")</f>
        <v/>
      </c>
      <c r="R203" s="385">
        <f>IFERROR((O203-P203)/ABS(P203),"N/A")</f>
        <v/>
      </c>
      <c r="S203" s="184">
        <f>IFERROR((O203-N203),"N/A")</f>
        <v/>
      </c>
      <c r="T203" s="385">
        <f>IFERROR((O203-N203)/ABS(N203),"N/A")</f>
        <v/>
      </c>
    </row>
    <row r="204" outlineLevel="1" ht="12.75" customFormat="1" customHeight="1" s="30">
      <c r="A204" s="373">
        <f>$C$190&amp;" "&amp;C201&amp;" "&amp;C204&amp;" "&amp; $C$143</f>
        <v/>
      </c>
      <c r="B204" s="397" t="n"/>
      <c r="C204" s="436" t="inlineStr">
        <is>
          <t>COGs</t>
        </is>
      </c>
      <c r="D204" s="397" t="n"/>
      <c r="E204" s="396">
        <f>$D$9&amp;"</f>
        <v/>
      </c>
      <c r="F204" s="375" t="inlineStr">
        <is>
          <t>+</t>
        </is>
      </c>
      <c r="G204" s="399">
        <f>IF(G202=0,0,IFERROR(G205/G202,"N/A"))</f>
        <v/>
      </c>
      <c r="H204" s="399">
        <f>IF(H202=0,0,IFERROR(H205/H202,"N/A"))</f>
        <v/>
      </c>
      <c r="I204" s="399">
        <f>IF(I202=0,0,IFERROR(I205/I202,"N/A"))</f>
        <v/>
      </c>
      <c r="J204" s="400">
        <f>IFERROR((H204-I204),"N/A")</f>
        <v/>
      </c>
      <c r="K204" s="385">
        <f>IFERROR((H204-I204)/ABS(I204),"N/A")</f>
        <v/>
      </c>
      <c r="L204" s="400">
        <f>IFERROR((H204-G204),"N/A")</f>
        <v/>
      </c>
      <c r="M204" s="385">
        <f>IFERROR((H204-G204)/ABS(G204),"N/A")</f>
        <v/>
      </c>
      <c r="N204" s="399">
        <f>IF(N202=0,0,IFERROR(N205/N202,"N/A"))</f>
        <v/>
      </c>
      <c r="O204" s="399">
        <f>IF(O202=0,0,IFERROR(O205/O202,"N/A"))</f>
        <v/>
      </c>
      <c r="P204" s="399">
        <f>IF(P202=0,0,IFERROR(P205/P202,"N/A"))</f>
        <v/>
      </c>
      <c r="Q204" s="184">
        <f>IFERROR((O204-P204),"N/A")</f>
        <v/>
      </c>
      <c r="R204" s="385">
        <f>IFERROR((O204-P204)/ABS(P204),"N/A")</f>
        <v/>
      </c>
      <c r="S204" s="400">
        <f>IFERROR((O204-N204),"N/A")</f>
        <v/>
      </c>
      <c r="T204" s="385">
        <f>IFERROR((O204-N204)/ABS(N204),"N/A")</f>
        <v/>
      </c>
    </row>
    <row r="205" outlineLevel="1" ht="12.75" customFormat="1" customHeight="1" s="30">
      <c r="A205" s="373" t="n"/>
      <c r="B205" s="397" t="n"/>
      <c r="C205" s="436" t="inlineStr">
        <is>
          <t>Total COGs</t>
        </is>
      </c>
      <c r="D205" s="397" t="n"/>
      <c r="E205" s="396">
        <f>"thsd</f>
        <v/>
      </c>
      <c r="F205" s="375" t="inlineStr">
        <is>
          <t>+</t>
        </is>
      </c>
      <c r="G205" s="158" t="n"/>
      <c r="H205" s="158" t="n"/>
      <c r="I205" s="158" t="n"/>
      <c r="J205" s="400">
        <f>IFERROR((H205-I205),"N/A")</f>
        <v/>
      </c>
      <c r="K205" s="385">
        <f>IFERROR((H205-I205)/ABS(I205),"N/A")</f>
        <v/>
      </c>
      <c r="L205" s="400">
        <f>IFERROR((H205-G205),"N/A")</f>
        <v/>
      </c>
      <c r="M205" s="385">
        <f>IFERROR((H205-G205)/ABS(G205),"N/A")</f>
        <v/>
      </c>
      <c r="N205" s="158" t="n"/>
      <c r="O205" s="158" t="n"/>
      <c r="P205" s="158" t="n"/>
      <c r="Q205" s="184">
        <f>IFERROR((O205-P205),"N/A")</f>
        <v/>
      </c>
      <c r="R205" s="385">
        <f>IFERROR((O205-P205)/ABS(P205),"N/A")</f>
        <v/>
      </c>
      <c r="S205" s="400">
        <f>IFERROR((O205-N205),"N/A")</f>
        <v/>
      </c>
      <c r="T205" s="385">
        <f>IFERROR((O205-N205)/ABS(N205),"N/A")</f>
        <v/>
      </c>
    </row>
    <row r="206" outlineLevel="1" ht="12.75" customFormat="1" customHeight="1" s="30">
      <c r="A206" s="373">
        <f>$C$190&amp;" "&amp;C206&amp;" Revenue"&amp;" "&amp; $C$143</f>
        <v/>
      </c>
      <c r="B206" s="395" t="n"/>
      <c r="C206" s="395">
        <f>C160</f>
        <v/>
      </c>
      <c r="D206" s="395">
        <f>D160</f>
        <v/>
      </c>
      <c r="E206" s="396">
        <f>"thsd</f>
        <v/>
      </c>
      <c r="F206" s="375" t="inlineStr">
        <is>
          <t>+</t>
        </is>
      </c>
      <c r="G206" s="158" t="n"/>
      <c r="H206" s="158" t="n"/>
      <c r="I206" s="158" t="n"/>
      <c r="J206" s="184">
        <f>IFERROR((H206-I206),"N/A")</f>
        <v/>
      </c>
      <c r="K206" s="384">
        <f>IFERROR((H206-I206)/ABS(I206),"N/A")</f>
        <v/>
      </c>
      <c r="L206" s="184">
        <f>IFERROR((H206-G206),"N/A")</f>
        <v/>
      </c>
      <c r="M206" s="384">
        <f>IFERROR((H206-G206)/ABS(G206),"N/A")</f>
        <v/>
      </c>
      <c r="N206" s="158" t="n"/>
      <c r="O206" s="158" t="n"/>
      <c r="P206" s="158" t="n"/>
      <c r="Q206" s="184">
        <f>IFERROR((O206-P206),"N/A")</f>
        <v/>
      </c>
      <c r="R206" s="385">
        <f>IFERROR((O206-P206)/ABS(P206),"N/A")</f>
        <v/>
      </c>
      <c r="S206" s="184">
        <f>IFERROR((O206-N206),"N/A")</f>
        <v/>
      </c>
      <c r="T206" s="385">
        <f>IFERROR((O206-N206)/ABS(N206),"N/A")</f>
        <v/>
      </c>
    </row>
    <row r="207" outlineLevel="1" ht="12.75" customFormat="1" customHeight="1" s="30">
      <c r="A207" s="373">
        <f>$C$190&amp;" "&amp;C206&amp;" "&amp;C207&amp;" "&amp; $C$143</f>
        <v/>
      </c>
      <c r="B207" s="397" t="n"/>
      <c r="C207" s="397" t="inlineStr">
        <is>
          <t>Sales volume</t>
        </is>
      </c>
      <c r="D207" s="397" t="n"/>
      <c r="E207" s="396" t="inlineStr">
        <is>
          <t>thsd</t>
        </is>
      </c>
      <c r="F207" s="375" t="inlineStr">
        <is>
          <t>+</t>
        </is>
      </c>
      <c r="G207" s="158" t="n"/>
      <c r="H207" s="158" t="n"/>
      <c r="I207" s="158" t="n"/>
      <c r="J207" s="184">
        <f>IFERROR((H207-I207),"N/A")</f>
        <v/>
      </c>
      <c r="K207" s="384">
        <f>IFERROR((H207-I207)/ABS(I207),"N/A")</f>
        <v/>
      </c>
      <c r="L207" s="184">
        <f>IFERROR((H207-G207),"N/A")</f>
        <v/>
      </c>
      <c r="M207" s="384">
        <f>IFERROR((H207-G207)/ABS(G207),"N/A")</f>
        <v/>
      </c>
      <c r="N207" s="158" t="n"/>
      <c r="O207" s="158" t="n"/>
      <c r="P207" s="158" t="n"/>
      <c r="Q207" s="184">
        <f>IFERROR((O207-P207),"N/A")</f>
        <v/>
      </c>
      <c r="R207" s="385">
        <f>IFERROR((O207-P207)/ABS(P207),"N/A")</f>
        <v/>
      </c>
      <c r="S207" s="184">
        <f>IFERROR((O207-N207),"N/A")</f>
        <v/>
      </c>
      <c r="T207" s="385">
        <f>IFERROR((O207-N207)/ABS(N207),"N/A")</f>
        <v/>
      </c>
    </row>
    <row r="208" outlineLevel="1" ht="12.75" customFormat="1" customHeight="1" s="30">
      <c r="A208" s="373">
        <f>$C$190&amp;" "&amp;C206&amp;" "&amp;C208&amp;" "&amp; $C$143</f>
        <v/>
      </c>
      <c r="B208" s="397" t="n"/>
      <c r="C208" s="397" t="inlineStr">
        <is>
          <t>Price</t>
        </is>
      </c>
      <c r="D208" s="397" t="inlineStr">
        <is>
          <t>Qiyməti</t>
        </is>
      </c>
      <c r="E208" s="396">
        <f>$D$9&amp;"</f>
        <v/>
      </c>
      <c r="F208" s="375" t="inlineStr">
        <is>
          <t>+</t>
        </is>
      </c>
      <c r="G208" s="184">
        <f>IF(G207=0,0,IFERROR(G206/G207,"N/A"))</f>
        <v/>
      </c>
      <c r="H208" s="184">
        <f>IF(H207=0,0,IFERROR(H206/H207,"N/A"))</f>
        <v/>
      </c>
      <c r="I208" s="184">
        <f>IF(I207=0,0,IFERROR(I206/I207,"N/A"))</f>
        <v/>
      </c>
      <c r="J208" s="184">
        <f>IFERROR((H208-I208),"N/A")</f>
        <v/>
      </c>
      <c r="K208" s="384">
        <f>IFERROR((H208-I208)/ABS(I208),"N/A")</f>
        <v/>
      </c>
      <c r="L208" s="184">
        <f>IFERROR((H208-G208),"N/A")</f>
        <v/>
      </c>
      <c r="M208" s="384">
        <f>IFERROR((H208-G208)/ABS(G208),"N/A")</f>
        <v/>
      </c>
      <c r="N208" s="184">
        <f>IF(N207=0,0,IFERROR(N206/N207,"N/A"))</f>
        <v/>
      </c>
      <c r="O208" s="184">
        <f>IF(O207=0,0,IFERROR(O206/O207,"N/A"))</f>
        <v/>
      </c>
      <c r="P208" s="184">
        <f>IF(P207=0,0,IFERROR(P206/P207,"N/A"))</f>
        <v/>
      </c>
      <c r="Q208" s="184">
        <f>IFERROR((O208-P208),"N/A")</f>
        <v/>
      </c>
      <c r="R208" s="385">
        <f>IFERROR((O208-P208)/ABS(P208),"N/A")</f>
        <v/>
      </c>
      <c r="S208" s="184">
        <f>IFERROR((O208-N208),"N/A")</f>
        <v/>
      </c>
      <c r="T208" s="385">
        <f>IFERROR((O208-N208)/ABS(N208),"N/A")</f>
        <v/>
      </c>
    </row>
    <row r="209" outlineLevel="1" ht="12.75" customFormat="1" customHeight="1" s="30">
      <c r="A209" s="373">
        <f>$C$190&amp;" "&amp;C206&amp;" "&amp;C209&amp;" "&amp; $C$143</f>
        <v/>
      </c>
      <c r="B209" s="397" t="n"/>
      <c r="C209" s="436" t="inlineStr">
        <is>
          <t>COGs</t>
        </is>
      </c>
      <c r="D209" s="397" t="n"/>
      <c r="E209" s="396">
        <f>$D$9&amp;"</f>
        <v/>
      </c>
      <c r="F209" s="375" t="inlineStr">
        <is>
          <t>+</t>
        </is>
      </c>
      <c r="G209" s="399">
        <f>IF(G207=0,0,IFERROR(G210/G207,"N/A"))</f>
        <v/>
      </c>
      <c r="H209" s="399">
        <f>IF(H207=0,0,IFERROR(H210/H207,"N/A"))</f>
        <v/>
      </c>
      <c r="I209" s="399">
        <f>IF(I207=0,0,IFERROR(I210/I207,"N/A"))</f>
        <v/>
      </c>
      <c r="J209" s="400">
        <f>IFERROR((H209-I209),"N/A")</f>
        <v/>
      </c>
      <c r="K209" s="385">
        <f>IFERROR((H209-I209)/ABS(I209),"N/A")</f>
        <v/>
      </c>
      <c r="L209" s="400">
        <f>IFERROR((H209-G209),"N/A")</f>
        <v/>
      </c>
      <c r="M209" s="385">
        <f>IFERROR((H209-G209)/ABS(G209),"N/A")</f>
        <v/>
      </c>
      <c r="N209" s="399">
        <f>IF(N207=0,0,IFERROR(N210/N207,"N/A"))</f>
        <v/>
      </c>
      <c r="O209" s="399">
        <f>IF(O207=0,0,IFERROR(O210/O207,"N/A"))</f>
        <v/>
      </c>
      <c r="P209" s="399">
        <f>IF(P207=0,0,IFERROR(P210/P207,"N/A"))</f>
        <v/>
      </c>
      <c r="Q209" s="184">
        <f>IFERROR((O209-P209),"N/A")</f>
        <v/>
      </c>
      <c r="R209" s="385">
        <f>IFERROR((O209-P209)/ABS(P209),"N/A")</f>
        <v/>
      </c>
      <c r="S209" s="400">
        <f>IFERROR((O209-N209),"N/A")</f>
        <v/>
      </c>
      <c r="T209" s="385">
        <f>IFERROR((O209-N209)/ABS(N209),"N/A")</f>
        <v/>
      </c>
    </row>
    <row r="210" outlineLevel="1" ht="12.75" customFormat="1" customHeight="1" s="30">
      <c r="A210" s="373" t="n"/>
      <c r="B210" s="397" t="n"/>
      <c r="C210" s="436" t="inlineStr">
        <is>
          <t>Total COGs</t>
        </is>
      </c>
      <c r="D210" s="397" t="n"/>
      <c r="E210" s="396">
        <f>"thsd</f>
        <v/>
      </c>
      <c r="F210" s="375" t="inlineStr">
        <is>
          <t>+</t>
        </is>
      </c>
      <c r="G210" s="158" t="n"/>
      <c r="H210" s="158" t="n"/>
      <c r="I210" s="158" t="n"/>
      <c r="J210" s="400">
        <f>IFERROR((H210-I210),"N/A")</f>
        <v/>
      </c>
      <c r="K210" s="385">
        <f>IFERROR((H210-I210)/ABS(I210),"N/A")</f>
        <v/>
      </c>
      <c r="L210" s="400">
        <f>IFERROR((H210-G210),"N/A")</f>
        <v/>
      </c>
      <c r="M210" s="385">
        <f>IFERROR((H210-G210)/ABS(G210),"N/A")</f>
        <v/>
      </c>
      <c r="N210" s="158" t="n"/>
      <c r="O210" s="158" t="n"/>
      <c r="P210" s="158" t="n"/>
      <c r="Q210" s="184">
        <f>IFERROR((O210-P210),"N/A")</f>
        <v/>
      </c>
      <c r="R210" s="385">
        <f>IFERROR((O210-P210)/ABS(P210),"N/A")</f>
        <v/>
      </c>
      <c r="S210" s="400">
        <f>IFERROR((O210-N210),"N/A")</f>
        <v/>
      </c>
      <c r="T210" s="385">
        <f>IFERROR((O210-N210)/ABS(N210),"N/A")</f>
        <v/>
      </c>
    </row>
    <row r="211" outlineLevel="1" ht="12.75" customFormat="1" customHeight="1" s="30">
      <c r="A211" s="373">
        <f>$C$190&amp;" "&amp;C211&amp;" Revenue"&amp;" "&amp; $C$143</f>
        <v/>
      </c>
      <c r="B211" s="395" t="n"/>
      <c r="C211" s="395">
        <f>C165</f>
        <v/>
      </c>
      <c r="D211" s="395">
        <f>D165</f>
        <v/>
      </c>
      <c r="E211" s="396">
        <f>"thsd</f>
        <v/>
      </c>
      <c r="F211" s="375" t="inlineStr">
        <is>
          <t>+</t>
        </is>
      </c>
      <c r="G211" s="158" t="n"/>
      <c r="H211" s="158" t="n"/>
      <c r="I211" s="158" t="n"/>
      <c r="J211" s="184">
        <f>IFERROR((H211-I211),"N/A")</f>
        <v/>
      </c>
      <c r="K211" s="384">
        <f>IFERROR((H211-I211)/ABS(I211),"N/A")</f>
        <v/>
      </c>
      <c r="L211" s="184">
        <f>IFERROR((H211-G211),"N/A")</f>
        <v/>
      </c>
      <c r="M211" s="384">
        <f>IFERROR((H211-G211)/ABS(G211),"N/A")</f>
        <v/>
      </c>
      <c r="N211" s="158" t="n"/>
      <c r="O211" s="158" t="n"/>
      <c r="P211" s="158" t="n"/>
      <c r="Q211" s="184">
        <f>IFERROR((O211-P211),"N/A")</f>
        <v/>
      </c>
      <c r="R211" s="385">
        <f>IFERROR((O211-P211)/ABS(P211),"N/A")</f>
        <v/>
      </c>
      <c r="S211" s="184">
        <f>IFERROR((O211-N211),"N/A")</f>
        <v/>
      </c>
      <c r="T211" s="385">
        <f>IFERROR((O211-N211)/ABS(N211),"N/A")</f>
        <v/>
      </c>
    </row>
    <row r="212" outlineLevel="1" ht="12.75" customFormat="1" customHeight="1" s="30">
      <c r="A212" s="373">
        <f>$C$190&amp;" "&amp;C211&amp;" "&amp;C212&amp;" "&amp; $C$143</f>
        <v/>
      </c>
      <c r="B212" s="397" t="n"/>
      <c r="C212" s="397" t="inlineStr">
        <is>
          <t>Sales volume</t>
        </is>
      </c>
      <c r="D212" s="397" t="n"/>
      <c r="E212" s="396" t="inlineStr">
        <is>
          <t>thsd</t>
        </is>
      </c>
      <c r="F212" s="375" t="inlineStr">
        <is>
          <t>+</t>
        </is>
      </c>
      <c r="G212" s="158" t="n"/>
      <c r="H212" s="158" t="n"/>
      <c r="I212" s="158" t="n"/>
      <c r="J212" s="184">
        <f>IFERROR((H212-I212),"N/A")</f>
        <v/>
      </c>
      <c r="K212" s="384">
        <f>IFERROR((H212-I212)/ABS(I212),"N/A")</f>
        <v/>
      </c>
      <c r="L212" s="184">
        <f>IFERROR((H212-G212),"N/A")</f>
        <v/>
      </c>
      <c r="M212" s="384">
        <f>IFERROR((H212-G212)/ABS(G212),"N/A")</f>
        <v/>
      </c>
      <c r="N212" s="158" t="n"/>
      <c r="O212" s="158" t="n"/>
      <c r="P212" s="158" t="n"/>
      <c r="Q212" s="184">
        <f>IFERROR((O212-P212),"N/A")</f>
        <v/>
      </c>
      <c r="R212" s="385">
        <f>IFERROR((O212-P212)/ABS(P212),"N/A")</f>
        <v/>
      </c>
      <c r="S212" s="184">
        <f>IFERROR((O212-N212),"N/A")</f>
        <v/>
      </c>
      <c r="T212" s="385">
        <f>IFERROR((O212-N212)/ABS(N212),"N/A")</f>
        <v/>
      </c>
    </row>
    <row r="213" outlineLevel="1" ht="12.75" customFormat="1" customHeight="1" s="30">
      <c r="A213" s="373">
        <f>$C$190&amp;" "&amp;C211&amp;" "&amp;C213&amp;" "&amp; $C$143</f>
        <v/>
      </c>
      <c r="B213" s="397" t="n"/>
      <c r="C213" s="397" t="inlineStr">
        <is>
          <t>Price</t>
        </is>
      </c>
      <c r="D213" s="397" t="inlineStr">
        <is>
          <t>Qiyməti</t>
        </is>
      </c>
      <c r="E213" s="396">
        <f>$D$9&amp;"</f>
        <v/>
      </c>
      <c r="F213" s="375" t="inlineStr">
        <is>
          <t>+</t>
        </is>
      </c>
      <c r="G213" s="184">
        <f>IF(G212=0,0,IFERROR(G211/G212,"N/A"))</f>
        <v/>
      </c>
      <c r="H213" s="184">
        <f>IF(H212=0,0,IFERROR(H211/H212,"N/A"))</f>
        <v/>
      </c>
      <c r="I213" s="184">
        <f>IF(I212=0,0,IFERROR(I211/I212,"N/A"))</f>
        <v/>
      </c>
      <c r="J213" s="184">
        <f>IFERROR((H213-I213),"N/A")</f>
        <v/>
      </c>
      <c r="K213" s="384">
        <f>IFERROR((H213-I213)/ABS(I213),"N/A")</f>
        <v/>
      </c>
      <c r="L213" s="184">
        <f>IFERROR((H213-G213),"N/A")</f>
        <v/>
      </c>
      <c r="M213" s="384">
        <f>IFERROR((H213-G213)/ABS(G213),"N/A")</f>
        <v/>
      </c>
      <c r="N213" s="184">
        <f>IF(N212=0,0,IFERROR(N211/N212,"N/A"))</f>
        <v/>
      </c>
      <c r="O213" s="184">
        <f>IF(O212=0,0,IFERROR(O211/O212,"N/A"))</f>
        <v/>
      </c>
      <c r="P213" s="184">
        <f>IF(P212=0,0,IFERROR(P211/P212,"N/A"))</f>
        <v/>
      </c>
      <c r="Q213" s="184">
        <f>IFERROR((O213-P213),"N/A")</f>
        <v/>
      </c>
      <c r="R213" s="385">
        <f>IFERROR((O213-P213)/ABS(P213),"N/A")</f>
        <v/>
      </c>
      <c r="S213" s="184">
        <f>IFERROR((O213-N213),"N/A")</f>
        <v/>
      </c>
      <c r="T213" s="385">
        <f>IFERROR((O213-N213)/ABS(N213),"N/A")</f>
        <v/>
      </c>
    </row>
    <row r="214" outlineLevel="1" ht="12.75" customFormat="1" customHeight="1" s="30">
      <c r="A214" s="373">
        <f>$C$190&amp;" "&amp;C211&amp;" "&amp;C214&amp;" "&amp; $C$143</f>
        <v/>
      </c>
      <c r="B214" s="397" t="n"/>
      <c r="C214" s="436" t="inlineStr">
        <is>
          <t>COGs</t>
        </is>
      </c>
      <c r="D214" s="397" t="n"/>
      <c r="E214" s="396">
        <f>$D$9&amp;"</f>
        <v/>
      </c>
      <c r="F214" s="375" t="inlineStr">
        <is>
          <t>+</t>
        </is>
      </c>
      <c r="G214" s="399">
        <f>IF(G212=0,0,IFERROR(G215/G212,"N/A"))</f>
        <v/>
      </c>
      <c r="H214" s="399">
        <f>IF(H212=0,0,IFERROR(H215/H212,"N/A"))</f>
        <v/>
      </c>
      <c r="I214" s="399">
        <f>IF(I212=0,0,IFERROR(I215/I212,"N/A"))</f>
        <v/>
      </c>
      <c r="J214" s="400">
        <f>IFERROR((H214-I214),"N/A")</f>
        <v/>
      </c>
      <c r="K214" s="385">
        <f>IFERROR((H214-I214)/ABS(I214),"N/A")</f>
        <v/>
      </c>
      <c r="L214" s="400">
        <f>IFERROR((H214-G214),"N/A")</f>
        <v/>
      </c>
      <c r="M214" s="385">
        <f>IFERROR((H214-G214)/ABS(G214),"N/A")</f>
        <v/>
      </c>
      <c r="N214" s="399">
        <f>IF(N212=0,0,IFERROR(N215/N212,"N/A"))</f>
        <v/>
      </c>
      <c r="O214" s="399">
        <f>IF(O212=0,0,IFERROR(O215/O212,"N/A"))</f>
        <v/>
      </c>
      <c r="P214" s="399">
        <f>IF(P212=0,0,IFERROR(P215/P212,"N/A"))</f>
        <v/>
      </c>
      <c r="Q214" s="184">
        <f>IFERROR((O214-P214),"N/A")</f>
        <v/>
      </c>
      <c r="R214" s="385">
        <f>IFERROR((O214-P214)/ABS(P214),"N/A")</f>
        <v/>
      </c>
      <c r="S214" s="400">
        <f>IFERROR((O214-N214),"N/A")</f>
        <v/>
      </c>
      <c r="T214" s="385">
        <f>IFERROR((O214-N214)/ABS(N214),"N/A")</f>
        <v/>
      </c>
    </row>
    <row r="215" outlineLevel="1" ht="12.75" customFormat="1" customHeight="1" s="30">
      <c r="A215" s="373" t="n"/>
      <c r="B215" s="397" t="n"/>
      <c r="C215" s="436" t="inlineStr">
        <is>
          <t>Total COGs</t>
        </is>
      </c>
      <c r="D215" s="397" t="n"/>
      <c r="E215" s="396">
        <f>"thsd</f>
        <v/>
      </c>
      <c r="F215" s="375" t="inlineStr">
        <is>
          <t>+</t>
        </is>
      </c>
      <c r="G215" s="158" t="n"/>
      <c r="H215" s="158" t="n"/>
      <c r="I215" s="158" t="n"/>
      <c r="J215" s="400">
        <f>IFERROR((H215-I215),"N/A")</f>
        <v/>
      </c>
      <c r="K215" s="385">
        <f>IFERROR((H215-I215)/ABS(I215),"N/A")</f>
        <v/>
      </c>
      <c r="L215" s="400">
        <f>IFERROR((H215-G215),"N/A")</f>
        <v/>
      </c>
      <c r="M215" s="385">
        <f>IFERROR((H215-G215)/ABS(G215),"N/A")</f>
        <v/>
      </c>
      <c r="N215" s="158" t="n"/>
      <c r="O215" s="158" t="n"/>
      <c r="P215" s="158" t="n"/>
      <c r="Q215" s="184">
        <f>IFERROR((O215-P215),"N/A")</f>
        <v/>
      </c>
      <c r="R215" s="385">
        <f>IFERROR((O215-P215)/ABS(P215),"N/A")</f>
        <v/>
      </c>
      <c r="S215" s="400">
        <f>IFERROR((O215-N215),"N/A")</f>
        <v/>
      </c>
      <c r="T215" s="385">
        <f>IFERROR((O215-N215)/ABS(N215),"N/A")</f>
        <v/>
      </c>
    </row>
    <row r="216" outlineLevel="1" ht="25.5" customFormat="1" customHeight="1" s="30">
      <c r="A216" s="373">
        <f>$C$190&amp;" "&amp;C216&amp;" Revenue"&amp;" "&amp; $C$143</f>
        <v/>
      </c>
      <c r="B216" s="887" t="n"/>
      <c r="C216" s="887">
        <f>C170</f>
        <v/>
      </c>
      <c r="D216" s="887">
        <f>D170</f>
        <v/>
      </c>
      <c r="E216" s="396">
        <f>"thsd</f>
        <v/>
      </c>
      <c r="F216" s="375" t="inlineStr">
        <is>
          <t>+</t>
        </is>
      </c>
      <c r="G216" s="158" t="n"/>
      <c r="H216" s="158" t="n"/>
      <c r="I216" s="158" t="n"/>
      <c r="J216" s="184">
        <f>IFERROR((H216-I216),"N/A")</f>
        <v/>
      </c>
      <c r="K216" s="384">
        <f>IFERROR((H216-I216)/ABS(I216),"N/A")</f>
        <v/>
      </c>
      <c r="L216" s="184">
        <f>IFERROR((H216-G216),"N/A")</f>
        <v/>
      </c>
      <c r="M216" s="384">
        <f>IFERROR((H216-G216)/ABS(G216),"N/A")</f>
        <v/>
      </c>
      <c r="N216" s="158" t="n"/>
      <c r="O216" s="158" t="n"/>
      <c r="P216" s="158" t="n"/>
      <c r="Q216" s="184">
        <f>IFERROR((O216-P216),"N/A")</f>
        <v/>
      </c>
      <c r="R216" s="385">
        <f>IFERROR((O216-P216)/ABS(P216),"N/A")</f>
        <v/>
      </c>
      <c r="S216" s="184">
        <f>IFERROR((O216-N216),"N/A")</f>
        <v/>
      </c>
      <c r="T216" s="385">
        <f>IFERROR((O216-N216)/ABS(N216),"N/A")</f>
        <v/>
      </c>
    </row>
    <row r="217" outlineLevel="1" ht="12.75" customFormat="1" customHeight="1" s="30">
      <c r="A217" s="373">
        <f>$C$190&amp;" "&amp;C216&amp;" "&amp;C217&amp;" "&amp; $C$143</f>
        <v/>
      </c>
      <c r="B217" s="397" t="n"/>
      <c r="C217" s="397" t="inlineStr">
        <is>
          <t>Sales volume</t>
        </is>
      </c>
      <c r="D217" s="397" t="n"/>
      <c r="E217" s="396" t="inlineStr">
        <is>
          <t>thsd</t>
        </is>
      </c>
      <c r="F217" s="375" t="inlineStr">
        <is>
          <t>+</t>
        </is>
      </c>
      <c r="G217" s="158" t="n"/>
      <c r="H217" s="158" t="n"/>
      <c r="I217" s="158" t="n"/>
      <c r="J217" s="184">
        <f>IFERROR((H217-I217),"N/A")</f>
        <v/>
      </c>
      <c r="K217" s="384">
        <f>IFERROR((H217-I217)/ABS(I217),"N/A")</f>
        <v/>
      </c>
      <c r="L217" s="184">
        <f>IFERROR((H217-G217),"N/A")</f>
        <v/>
      </c>
      <c r="M217" s="384">
        <f>IFERROR((H217-G217)/ABS(G217),"N/A")</f>
        <v/>
      </c>
      <c r="N217" s="158" t="n"/>
      <c r="O217" s="158" t="n"/>
      <c r="P217" s="158" t="n"/>
      <c r="Q217" s="184">
        <f>IFERROR((O217-P217),"N/A")</f>
        <v/>
      </c>
      <c r="R217" s="385">
        <f>IFERROR((O217-P217)/ABS(P217),"N/A")</f>
        <v/>
      </c>
      <c r="S217" s="184">
        <f>IFERROR((O217-N217),"N/A")</f>
        <v/>
      </c>
      <c r="T217" s="385">
        <f>IFERROR((O217-N217)/ABS(N217),"N/A")</f>
        <v/>
      </c>
    </row>
    <row r="218" outlineLevel="1" ht="12.75" customFormat="1" customHeight="1" s="30">
      <c r="A218" s="373">
        <f>$C$190&amp;" "&amp;C216&amp;" "&amp;C218&amp;" "&amp; $C$143</f>
        <v/>
      </c>
      <c r="B218" s="397" t="n"/>
      <c r="C218" s="397" t="inlineStr">
        <is>
          <t>Price</t>
        </is>
      </c>
      <c r="D218" s="397" t="inlineStr">
        <is>
          <t>Qiyməti</t>
        </is>
      </c>
      <c r="E218" s="396">
        <f>$D$9&amp;"</f>
        <v/>
      </c>
      <c r="F218" s="375" t="inlineStr">
        <is>
          <t>+</t>
        </is>
      </c>
      <c r="G218" s="184">
        <f>IF(G217=0,0,IFERROR(G216/G217,"N/A"))</f>
        <v/>
      </c>
      <c r="H218" s="184">
        <f>IF(H217=0,0,IFERROR(H216/H217,"N/A"))</f>
        <v/>
      </c>
      <c r="I218" s="184">
        <f>IF(I217=0,0,IFERROR(I216/I217,"N/A"))</f>
        <v/>
      </c>
      <c r="J218" s="184">
        <f>IFERROR((H218-I218),"N/A")</f>
        <v/>
      </c>
      <c r="K218" s="384">
        <f>IFERROR((H218-I218)/ABS(I218),"N/A")</f>
        <v/>
      </c>
      <c r="L218" s="184">
        <f>IFERROR((H218-G218),"N/A")</f>
        <v/>
      </c>
      <c r="M218" s="384">
        <f>IFERROR((H218-G218)/ABS(G218),"N/A")</f>
        <v/>
      </c>
      <c r="N218" s="184">
        <f>IF(N217=0,0,IFERROR(N216/N217,"N/A"))</f>
        <v/>
      </c>
      <c r="O218" s="184">
        <f>IF(O217=0,0,IFERROR(O216/O217,"N/A"))</f>
        <v/>
      </c>
      <c r="P218" s="184">
        <f>IF(P217=0,0,IFERROR(P216/P217,"N/A"))</f>
        <v/>
      </c>
      <c r="Q218" s="184">
        <f>IFERROR((O218-P218),"N/A")</f>
        <v/>
      </c>
      <c r="R218" s="385">
        <f>IFERROR((O218-P218)/ABS(P218),"N/A")</f>
        <v/>
      </c>
      <c r="S218" s="184">
        <f>IFERROR((O218-N218),"N/A")</f>
        <v/>
      </c>
      <c r="T218" s="385">
        <f>IFERROR((O218-N218)/ABS(N218),"N/A")</f>
        <v/>
      </c>
    </row>
    <row r="219" outlineLevel="1" ht="12.75" customFormat="1" customHeight="1" s="30">
      <c r="A219" s="373">
        <f>$C$190&amp;" "&amp;C216&amp;" "&amp;C219&amp;" "&amp; $C$143</f>
        <v/>
      </c>
      <c r="B219" s="397" t="n"/>
      <c r="C219" s="436" t="inlineStr">
        <is>
          <t>COGs</t>
        </is>
      </c>
      <c r="D219" s="397" t="n"/>
      <c r="E219" s="396">
        <f>$D$9&amp;"</f>
        <v/>
      </c>
      <c r="F219" s="375" t="inlineStr">
        <is>
          <t>+</t>
        </is>
      </c>
      <c r="G219" s="399">
        <f>IF(G217=0,0,IFERROR(G220/G217,"N/A"))</f>
        <v/>
      </c>
      <c r="H219" s="399">
        <f>IF(H217=0,0,IFERROR(H220/H217,"N/A"))</f>
        <v/>
      </c>
      <c r="I219" s="399">
        <f>IF(I217=0,0,IFERROR(I220/I217,"N/A"))</f>
        <v/>
      </c>
      <c r="J219" s="400">
        <f>IFERROR((H219-I219),"N/A")</f>
        <v/>
      </c>
      <c r="K219" s="385">
        <f>IFERROR((H219-I219)/ABS(I219),"N/A")</f>
        <v/>
      </c>
      <c r="L219" s="400">
        <f>IFERROR((H219-G219),"N/A")</f>
        <v/>
      </c>
      <c r="M219" s="385">
        <f>IFERROR((H219-G219)/ABS(G219),"N/A")</f>
        <v/>
      </c>
      <c r="N219" s="399">
        <f>IF(N217=0,0,IFERROR(N220/N217,"N/A"))</f>
        <v/>
      </c>
      <c r="O219" s="399">
        <f>IF(O217=0,0,IFERROR(O220/O217,"N/A"))</f>
        <v/>
      </c>
      <c r="P219" s="399">
        <f>IF(P217=0,0,IFERROR(P220/P217,"N/A"))</f>
        <v/>
      </c>
      <c r="Q219" s="184">
        <f>IFERROR((O219-P219),"N/A")</f>
        <v/>
      </c>
      <c r="R219" s="385">
        <f>IFERROR((O219-P219)/ABS(P219),"N/A")</f>
        <v/>
      </c>
      <c r="S219" s="400">
        <f>IFERROR((O219-N219),"N/A")</f>
        <v/>
      </c>
      <c r="T219" s="385">
        <f>IFERROR((O219-N219)/ABS(N219),"N/A")</f>
        <v/>
      </c>
    </row>
    <row r="220" outlineLevel="1" ht="12.75" customFormat="1" customHeight="1" s="30">
      <c r="A220" s="373" t="n"/>
      <c r="B220" s="397" t="n"/>
      <c r="C220" s="436" t="inlineStr">
        <is>
          <t>Total COGs</t>
        </is>
      </c>
      <c r="D220" s="397" t="n"/>
      <c r="E220" s="396">
        <f>"thsd</f>
        <v/>
      </c>
      <c r="F220" s="375" t="inlineStr">
        <is>
          <t>+</t>
        </is>
      </c>
      <c r="G220" s="158" t="n"/>
      <c r="H220" s="158" t="n"/>
      <c r="I220" s="158" t="n"/>
      <c r="J220" s="400">
        <f>IFERROR((H220-I220),"N/A")</f>
        <v/>
      </c>
      <c r="K220" s="385">
        <f>IFERROR((H220-I220)/ABS(I220),"N/A")</f>
        <v/>
      </c>
      <c r="L220" s="400">
        <f>IFERROR((H220-G220),"N/A")</f>
        <v/>
      </c>
      <c r="M220" s="385">
        <f>IFERROR((H220-G220)/ABS(G220),"N/A")</f>
        <v/>
      </c>
      <c r="N220" s="158" t="n"/>
      <c r="O220" s="158" t="n"/>
      <c r="P220" s="158" t="n"/>
      <c r="Q220" s="184">
        <f>IFERROR((O220-P220),"N/A")</f>
        <v/>
      </c>
      <c r="R220" s="385">
        <f>IFERROR((O220-P220)/ABS(P220),"N/A")</f>
        <v/>
      </c>
      <c r="S220" s="400">
        <f>IFERROR((O220-N220),"N/A")</f>
        <v/>
      </c>
      <c r="T220" s="385">
        <f>IFERROR((O220-N220)/ABS(N220),"N/A")</f>
        <v/>
      </c>
    </row>
    <row r="221" outlineLevel="1" ht="12.75" customFormat="1" customHeight="1" s="30">
      <c r="A221" s="373">
        <f>$C$190&amp;" "&amp;C221&amp;" Revenue"&amp;" "&amp; $C$143</f>
        <v/>
      </c>
      <c r="B221" s="887" t="n"/>
      <c r="C221" s="887">
        <f>C175</f>
        <v/>
      </c>
      <c r="D221" s="887">
        <f>D175</f>
        <v/>
      </c>
      <c r="E221" s="396">
        <f>"thsd</f>
        <v/>
      </c>
      <c r="F221" s="375" t="inlineStr">
        <is>
          <t>+</t>
        </is>
      </c>
      <c r="G221" s="158" t="n"/>
      <c r="H221" s="158" t="n"/>
      <c r="I221" s="158" t="n"/>
      <c r="J221" s="184">
        <f>IFERROR((H221-I221),"N/A")</f>
        <v/>
      </c>
      <c r="K221" s="384">
        <f>IFERROR((H221-I221)/ABS(I221),"N/A")</f>
        <v/>
      </c>
      <c r="L221" s="184">
        <f>IFERROR((H221-G221),"N/A")</f>
        <v/>
      </c>
      <c r="M221" s="384">
        <f>IFERROR((H221-G221)/ABS(G221),"N/A")</f>
        <v/>
      </c>
      <c r="N221" s="158" t="n"/>
      <c r="O221" s="158" t="n"/>
      <c r="P221" s="158" t="n"/>
      <c r="Q221" s="184">
        <f>IFERROR((O221-P221),"N/A")</f>
        <v/>
      </c>
      <c r="R221" s="385">
        <f>IFERROR((O221-P221)/ABS(P221),"N/A")</f>
        <v/>
      </c>
      <c r="S221" s="184">
        <f>IFERROR((O221-N221),"N/A")</f>
        <v/>
      </c>
      <c r="T221" s="385">
        <f>IFERROR((O221-N221)/ABS(N221),"N/A")</f>
        <v/>
      </c>
    </row>
    <row r="222" outlineLevel="1" ht="12.75" customFormat="1" customHeight="1" s="30">
      <c r="A222" s="373">
        <f>$C$190&amp;" "&amp;C221&amp;" "&amp;C222&amp;" "&amp; $C$143</f>
        <v/>
      </c>
      <c r="B222" s="397" t="n"/>
      <c r="C222" s="397" t="inlineStr">
        <is>
          <t>Sales volume</t>
        </is>
      </c>
      <c r="D222" s="397" t="n"/>
      <c r="E222" s="396" t="inlineStr">
        <is>
          <t>thsd</t>
        </is>
      </c>
      <c r="F222" s="375" t="inlineStr">
        <is>
          <t>+</t>
        </is>
      </c>
      <c r="G222" s="158" t="n"/>
      <c r="H222" s="158" t="n"/>
      <c r="I222" s="158" t="n"/>
      <c r="J222" s="184">
        <f>IFERROR((H222-I222),"N/A")</f>
        <v/>
      </c>
      <c r="K222" s="384">
        <f>IFERROR((H222-I222)/ABS(I222),"N/A")</f>
        <v/>
      </c>
      <c r="L222" s="184">
        <f>IFERROR((H222-G222),"N/A")</f>
        <v/>
      </c>
      <c r="M222" s="384">
        <f>IFERROR((H222-G222)/ABS(G222),"N/A")</f>
        <v/>
      </c>
      <c r="N222" s="158" t="n"/>
      <c r="O222" s="158" t="n"/>
      <c r="P222" s="158" t="n"/>
      <c r="Q222" s="184">
        <f>IFERROR((O222-P222),"N/A")</f>
        <v/>
      </c>
      <c r="R222" s="385">
        <f>IFERROR((O222-P222)/ABS(P222),"N/A")</f>
        <v/>
      </c>
      <c r="S222" s="184">
        <f>IFERROR((O222-N222),"N/A")</f>
        <v/>
      </c>
      <c r="T222" s="385">
        <f>IFERROR((O222-N222)/ABS(N222),"N/A")</f>
        <v/>
      </c>
    </row>
    <row r="223" outlineLevel="1" ht="12.75" customFormat="1" customHeight="1" s="30">
      <c r="A223" s="373">
        <f>$C$190&amp;" "&amp;C221&amp;" "&amp;C223&amp;" "&amp; $C$143</f>
        <v/>
      </c>
      <c r="B223" s="397" t="n"/>
      <c r="C223" s="397" t="inlineStr">
        <is>
          <t>Price</t>
        </is>
      </c>
      <c r="D223" s="397" t="inlineStr">
        <is>
          <t>Qiyməti</t>
        </is>
      </c>
      <c r="E223" s="396">
        <f>$D$9&amp;"</f>
        <v/>
      </c>
      <c r="F223" s="375" t="inlineStr">
        <is>
          <t>+</t>
        </is>
      </c>
      <c r="G223" s="184">
        <f>IF(G222=0,0,IFERROR(G221/G222,"N/A"))</f>
        <v/>
      </c>
      <c r="H223" s="184">
        <f>IF(H222=0,0,IFERROR(H221/H222,"N/A"))</f>
        <v/>
      </c>
      <c r="I223" s="184">
        <f>IF(I222=0,0,IFERROR(I221/I222,"N/A"))</f>
        <v/>
      </c>
      <c r="J223" s="184">
        <f>IFERROR((H223-I223),"N/A")</f>
        <v/>
      </c>
      <c r="K223" s="384">
        <f>IFERROR((H223-I223)/ABS(I223),"N/A")</f>
        <v/>
      </c>
      <c r="L223" s="184">
        <f>IFERROR((H223-G223),"N/A")</f>
        <v/>
      </c>
      <c r="M223" s="384">
        <f>IFERROR((H223-G223)/ABS(G223),"N/A")</f>
        <v/>
      </c>
      <c r="N223" s="184">
        <f>IF(N222=0,0,IFERROR(N221/N222,"N/A"))</f>
        <v/>
      </c>
      <c r="O223" s="184">
        <f>IF(O222=0,0,IFERROR(O221/O222,"N/A"))</f>
        <v/>
      </c>
      <c r="P223" s="184">
        <f>IF(P222=0,0,IFERROR(P221/P222,"N/A"))</f>
        <v/>
      </c>
      <c r="Q223" s="184">
        <f>IFERROR((O223-P223),"N/A")</f>
        <v/>
      </c>
      <c r="R223" s="385">
        <f>IFERROR((O223-P223)/ABS(P223),"N/A")</f>
        <v/>
      </c>
      <c r="S223" s="184">
        <f>IFERROR((O223-N223),"N/A")</f>
        <v/>
      </c>
      <c r="T223" s="385">
        <f>IFERROR((O223-N223)/ABS(N223),"N/A")</f>
        <v/>
      </c>
    </row>
    <row r="224" outlineLevel="1" ht="12.75" customFormat="1" customHeight="1" s="30">
      <c r="A224" s="373">
        <f>$C$190&amp;" "&amp;C221&amp;" "&amp;C224&amp;" "&amp; $C$143</f>
        <v/>
      </c>
      <c r="B224" s="397" t="n"/>
      <c r="C224" s="436" t="inlineStr">
        <is>
          <t>COGs</t>
        </is>
      </c>
      <c r="D224" s="397" t="n"/>
      <c r="E224" s="396">
        <f>$D$9&amp;"</f>
        <v/>
      </c>
      <c r="F224" s="375" t="inlineStr">
        <is>
          <t>+</t>
        </is>
      </c>
      <c r="G224" s="399">
        <f>IF(G222=0,0,IFERROR(G225/G222,"N/A"))</f>
        <v/>
      </c>
      <c r="H224" s="399">
        <f>IF(H222=0,0,IFERROR(H225/H222,"N/A"))</f>
        <v/>
      </c>
      <c r="I224" s="399">
        <f>IF(I222=0,0,IFERROR(I225/I222,"N/A"))</f>
        <v/>
      </c>
      <c r="J224" s="400">
        <f>IFERROR((H224-I224),"N/A")</f>
        <v/>
      </c>
      <c r="K224" s="385">
        <f>IFERROR((H224-I224)/ABS(I224),"N/A")</f>
        <v/>
      </c>
      <c r="L224" s="400">
        <f>IFERROR((H224-G224),"N/A")</f>
        <v/>
      </c>
      <c r="M224" s="385">
        <f>IFERROR((H224-G224)/ABS(G224),"N/A")</f>
        <v/>
      </c>
      <c r="N224" s="399">
        <f>IF(N222=0,0,IFERROR(N225/N222,"N/A"))</f>
        <v/>
      </c>
      <c r="O224" s="399">
        <f>IF(O222=0,0,IFERROR(O225/O222,"N/A"))</f>
        <v/>
      </c>
      <c r="P224" s="399">
        <f>IF(P222=0,0,IFERROR(P225/P222,"N/A"))</f>
        <v/>
      </c>
      <c r="Q224" s="184">
        <f>IFERROR((O224-P224),"N/A")</f>
        <v/>
      </c>
      <c r="R224" s="385">
        <f>IFERROR((O224-P224)/ABS(P224),"N/A")</f>
        <v/>
      </c>
      <c r="S224" s="400">
        <f>IFERROR((O224-N224),"N/A")</f>
        <v/>
      </c>
      <c r="T224" s="385">
        <f>IFERROR((O224-N224)/ABS(N224),"N/A")</f>
        <v/>
      </c>
    </row>
    <row r="225" outlineLevel="1" ht="12.75" customFormat="1" customHeight="1" s="30">
      <c r="A225" s="373" t="n"/>
      <c r="B225" s="397" t="n"/>
      <c r="C225" s="436" t="inlineStr">
        <is>
          <t>Total COGs</t>
        </is>
      </c>
      <c r="D225" s="397" t="n"/>
      <c r="E225" s="396">
        <f>"thsd</f>
        <v/>
      </c>
      <c r="F225" s="375" t="inlineStr">
        <is>
          <t>+</t>
        </is>
      </c>
      <c r="G225" s="158" t="n"/>
      <c r="H225" s="158" t="n"/>
      <c r="I225" s="158" t="n"/>
      <c r="J225" s="400">
        <f>IFERROR((H225-I225),"N/A")</f>
        <v/>
      </c>
      <c r="K225" s="385">
        <f>IFERROR((H225-I225)/ABS(I225),"N/A")</f>
        <v/>
      </c>
      <c r="L225" s="400">
        <f>IFERROR((H225-G225),"N/A")</f>
        <v/>
      </c>
      <c r="M225" s="385">
        <f>IFERROR((H225-G225)/ABS(G225),"N/A")</f>
        <v/>
      </c>
      <c r="N225" s="158" t="n"/>
      <c r="O225" s="158" t="n"/>
      <c r="P225" s="158" t="n"/>
      <c r="Q225" s="184">
        <f>IFERROR((O225-P225),"N/A")</f>
        <v/>
      </c>
      <c r="R225" s="385">
        <f>IFERROR((O225-P225)/ABS(P225),"N/A")</f>
        <v/>
      </c>
      <c r="S225" s="400">
        <f>IFERROR((O225-N225),"N/A")</f>
        <v/>
      </c>
      <c r="T225" s="385">
        <f>IFERROR((O225-N225)/ABS(N225),"N/A")</f>
        <v/>
      </c>
    </row>
    <row r="226" outlineLevel="1" ht="12.75" customFormat="1" customHeight="1" s="30">
      <c r="A226" s="373">
        <f>$C$190&amp;" "&amp;C226&amp;" Revenue"&amp;" "&amp; $C$143</f>
        <v/>
      </c>
      <c r="B226" s="395" t="n"/>
      <c r="C226" s="395">
        <f>C180</f>
        <v/>
      </c>
      <c r="D226" s="395">
        <f>D180</f>
        <v/>
      </c>
      <c r="E226" s="396">
        <f>"thsd</f>
        <v/>
      </c>
      <c r="F226" s="375" t="inlineStr">
        <is>
          <t>+</t>
        </is>
      </c>
      <c r="G226" s="158" t="n"/>
      <c r="H226" s="158" t="n"/>
      <c r="I226" s="158" t="n"/>
      <c r="J226" s="184">
        <f>IFERROR((H226-I226),"N/A")</f>
        <v/>
      </c>
      <c r="K226" s="384">
        <f>IFERROR((H226-I226)/ABS(I226),"N/A")</f>
        <v/>
      </c>
      <c r="L226" s="184">
        <f>IFERROR((H226-G226),"N/A")</f>
        <v/>
      </c>
      <c r="M226" s="384">
        <f>IFERROR((H226-G226)/ABS(G226),"N/A")</f>
        <v/>
      </c>
      <c r="N226" s="158" t="n"/>
      <c r="O226" s="158" t="n"/>
      <c r="P226" s="158" t="n"/>
      <c r="Q226" s="184">
        <f>IFERROR((O226-P226),"N/A")</f>
        <v/>
      </c>
      <c r="R226" s="385">
        <f>IFERROR((O226-P226)/ABS(P226),"N/A")</f>
        <v/>
      </c>
      <c r="S226" s="184">
        <f>IFERROR((O226-N226),"N/A")</f>
        <v/>
      </c>
      <c r="T226" s="385">
        <f>IFERROR((O226-N226)/ABS(N226),"N/A")</f>
        <v/>
      </c>
    </row>
    <row r="227" outlineLevel="1" ht="12.75" customFormat="1" customHeight="1" s="30">
      <c r="A227" s="373">
        <f>$C$190&amp;" "&amp;C226&amp;" "&amp;C227&amp;" "&amp; $C$143</f>
        <v/>
      </c>
      <c r="B227" s="397" t="n"/>
      <c r="C227" s="397" t="inlineStr">
        <is>
          <t>Sales volume</t>
        </is>
      </c>
      <c r="D227" s="397" t="n"/>
      <c r="E227" s="396" t="inlineStr">
        <is>
          <t>thsd</t>
        </is>
      </c>
      <c r="F227" s="375" t="inlineStr">
        <is>
          <t>+</t>
        </is>
      </c>
      <c r="G227" s="158" t="n"/>
      <c r="H227" s="158" t="n"/>
      <c r="I227" s="158" t="n"/>
      <c r="J227" s="184">
        <f>IFERROR((H227-I227),"N/A")</f>
        <v/>
      </c>
      <c r="K227" s="384">
        <f>IFERROR((H227-I227)/ABS(I227),"N/A")</f>
        <v/>
      </c>
      <c r="L227" s="184">
        <f>IFERROR((H227-G227),"N/A")</f>
        <v/>
      </c>
      <c r="M227" s="384">
        <f>IFERROR((H227-G227)/ABS(G227),"N/A")</f>
        <v/>
      </c>
      <c r="N227" s="158" t="n"/>
      <c r="O227" s="158" t="n"/>
      <c r="P227" s="158" t="n"/>
      <c r="Q227" s="184">
        <f>IFERROR((O227-P227),"N/A")</f>
        <v/>
      </c>
      <c r="R227" s="385">
        <f>IFERROR((O227-P227)/ABS(P227),"N/A")</f>
        <v/>
      </c>
      <c r="S227" s="184">
        <f>IFERROR((O227-N227),"N/A")</f>
        <v/>
      </c>
      <c r="T227" s="385">
        <f>IFERROR((O227-N227)/ABS(N227),"N/A")</f>
        <v/>
      </c>
    </row>
    <row r="228" outlineLevel="1" ht="12.75" customFormat="1" customHeight="1" s="30">
      <c r="A228" s="373">
        <f>$C$190&amp;" "&amp;C226&amp;" "&amp;C228&amp;" "&amp; $C$143</f>
        <v/>
      </c>
      <c r="B228" s="397" t="n"/>
      <c r="C228" s="397" t="inlineStr">
        <is>
          <t>Price</t>
        </is>
      </c>
      <c r="D228" s="397" t="inlineStr">
        <is>
          <t>Qiyməti</t>
        </is>
      </c>
      <c r="E228" s="396">
        <f>$D$9&amp;"</f>
        <v/>
      </c>
      <c r="F228" s="375" t="inlineStr">
        <is>
          <t>+</t>
        </is>
      </c>
      <c r="G228" s="184">
        <f>IF(G227=0,0,IFERROR(G226/G227,"N/A"))</f>
        <v/>
      </c>
      <c r="H228" s="184">
        <f>IF(H227=0,0,IFERROR(H226/H227,"N/A"))</f>
        <v/>
      </c>
      <c r="I228" s="184">
        <f>IF(I227=0,0,IFERROR(I226/I227,"N/A"))</f>
        <v/>
      </c>
      <c r="J228" s="184">
        <f>IFERROR((H228-I228),"N/A")</f>
        <v/>
      </c>
      <c r="K228" s="384">
        <f>IFERROR((H228-I228)/ABS(I228),"N/A")</f>
        <v/>
      </c>
      <c r="L228" s="184">
        <f>IFERROR((H228-G228),"N/A")</f>
        <v/>
      </c>
      <c r="M228" s="384">
        <f>IFERROR((H228-G228)/ABS(G228),"N/A")</f>
        <v/>
      </c>
      <c r="N228" s="184">
        <f>IF(N227=0,0,IFERROR(N226/N227,"N/A"))</f>
        <v/>
      </c>
      <c r="O228" s="184">
        <f>IF(O227=0,0,IFERROR(O226/O227,"N/A"))</f>
        <v/>
      </c>
      <c r="P228" s="184">
        <f>IF(P227=0,0,IFERROR(P226/P227,"N/A"))</f>
        <v/>
      </c>
      <c r="Q228" s="184">
        <f>IFERROR((O228-P228),"N/A")</f>
        <v/>
      </c>
      <c r="R228" s="385">
        <f>IFERROR((O228-P228)/ABS(P228),"N/A")</f>
        <v/>
      </c>
      <c r="S228" s="184">
        <f>IFERROR((O228-N228),"N/A")</f>
        <v/>
      </c>
      <c r="T228" s="385">
        <f>IFERROR((O228-N228)/ABS(N228),"N/A")</f>
        <v/>
      </c>
    </row>
    <row r="229" outlineLevel="1" ht="12.75" customFormat="1" customHeight="1" s="30">
      <c r="A229" s="373">
        <f>$C$190&amp;" "&amp;C226&amp;" "&amp;C229&amp;" "&amp; $C$143</f>
        <v/>
      </c>
      <c r="B229" s="397" t="n"/>
      <c r="C229" s="436" t="inlineStr">
        <is>
          <t>COGs</t>
        </is>
      </c>
      <c r="D229" s="397" t="n"/>
      <c r="E229" s="396">
        <f>$D$9&amp;"</f>
        <v/>
      </c>
      <c r="F229" s="375" t="inlineStr">
        <is>
          <t>+</t>
        </is>
      </c>
      <c r="G229" s="399">
        <f>IF(G227=0,0,IFERROR(G230/G227,"N/A"))</f>
        <v/>
      </c>
      <c r="H229" s="399">
        <f>IF(H227=0,0,IFERROR(H230/H227,"N/A"))</f>
        <v/>
      </c>
      <c r="I229" s="399">
        <f>IF(I227=0,0,IFERROR(I230/I227,"N/A"))</f>
        <v/>
      </c>
      <c r="J229" s="400">
        <f>IFERROR((H229-I229),"N/A")</f>
        <v/>
      </c>
      <c r="K229" s="385">
        <f>IFERROR((H229-I229)/ABS(I229),"N/A")</f>
        <v/>
      </c>
      <c r="L229" s="400">
        <f>IFERROR((H229-G229),"N/A")</f>
        <v/>
      </c>
      <c r="M229" s="385">
        <f>IFERROR((H229-G229)/ABS(G229),"N/A")</f>
        <v/>
      </c>
      <c r="N229" s="399">
        <f>IF(N227=0,0,IFERROR(N230/N227,"N/A"))</f>
        <v/>
      </c>
      <c r="O229" s="399">
        <f>IF(O227=0,0,IFERROR(O230/O227,"N/A"))</f>
        <v/>
      </c>
      <c r="P229" s="399">
        <f>IF(P227=0,0,IFERROR(P230/P227,"N/A"))</f>
        <v/>
      </c>
      <c r="Q229" s="184">
        <f>IFERROR((O229-P229),"N/A")</f>
        <v/>
      </c>
      <c r="R229" s="385">
        <f>IFERROR((O229-P229)/ABS(P229),"N/A")</f>
        <v/>
      </c>
      <c r="S229" s="400">
        <f>IFERROR((O229-N229),"N/A")</f>
        <v/>
      </c>
      <c r="T229" s="385">
        <f>IFERROR((O229-N229)/ABS(N229),"N/A")</f>
        <v/>
      </c>
    </row>
    <row r="230" outlineLevel="1" ht="12.75" customFormat="1" customHeight="1" s="30">
      <c r="A230" s="373" t="n"/>
      <c r="B230" s="397" t="n"/>
      <c r="C230" s="436" t="inlineStr">
        <is>
          <t>Total COGs</t>
        </is>
      </c>
      <c r="D230" s="397" t="n"/>
      <c r="E230" s="396">
        <f>"thsd</f>
        <v/>
      </c>
      <c r="F230" s="375" t="inlineStr">
        <is>
          <t>+</t>
        </is>
      </c>
      <c r="G230" s="158" t="n"/>
      <c r="H230" s="158" t="n"/>
      <c r="I230" s="158" t="n"/>
      <c r="J230" s="400">
        <f>IFERROR((H230-I230),"N/A")</f>
        <v/>
      </c>
      <c r="K230" s="385">
        <f>IFERROR((H230-I230)/ABS(I230),"N/A")</f>
        <v/>
      </c>
      <c r="L230" s="400">
        <f>IFERROR((H230-G230),"N/A")</f>
        <v/>
      </c>
      <c r="M230" s="385">
        <f>IFERROR((H230-G230)/ABS(G230),"N/A")</f>
        <v/>
      </c>
      <c r="N230" s="158" t="n"/>
      <c r="O230" s="158" t="n"/>
      <c r="P230" s="158" t="n"/>
      <c r="Q230" s="184">
        <f>IFERROR((O230-P230),"N/A")</f>
        <v/>
      </c>
      <c r="R230" s="385">
        <f>IFERROR((O230-P230)/ABS(P230),"N/A")</f>
        <v/>
      </c>
      <c r="S230" s="400">
        <f>IFERROR((O230-N230),"N/A")</f>
        <v/>
      </c>
      <c r="T230" s="385">
        <f>IFERROR((O230-N230)/ABS(N230),"N/A")</f>
        <v/>
      </c>
    </row>
    <row r="231" outlineLevel="1" ht="12.75" customFormat="1" customHeight="1" s="30">
      <c r="A231" s="373">
        <f>$C$190&amp;" "&amp;C231&amp;" Revenue"&amp;" "&amp; $C$143</f>
        <v/>
      </c>
      <c r="B231" s="395" t="n"/>
      <c r="C231" s="395">
        <f>C185</f>
        <v/>
      </c>
      <c r="D231" s="395">
        <f>D185</f>
        <v/>
      </c>
      <c r="E231" s="396">
        <f>"thsd</f>
        <v/>
      </c>
      <c r="F231" s="375" t="inlineStr">
        <is>
          <t>+</t>
        </is>
      </c>
      <c r="G231" s="158" t="n"/>
      <c r="H231" s="158" t="n"/>
      <c r="I231" s="158" t="n"/>
      <c r="J231" s="184">
        <f>IFERROR((H231-I231),"N/A")</f>
        <v/>
      </c>
      <c r="K231" s="384">
        <f>IFERROR((H231-I231)/ABS(I231),"N/A")</f>
        <v/>
      </c>
      <c r="L231" s="184">
        <f>IFERROR((H231-G231),"N/A")</f>
        <v/>
      </c>
      <c r="M231" s="384">
        <f>IFERROR((H231-G231)/ABS(G231),"N/A")</f>
        <v/>
      </c>
      <c r="N231" s="158" t="n"/>
      <c r="O231" s="158" t="n"/>
      <c r="P231" s="158" t="n"/>
      <c r="Q231" s="184">
        <f>IFERROR((O231-P231),"N/A")</f>
        <v/>
      </c>
      <c r="R231" s="385">
        <f>IFERROR((O231-P231)/ABS(P231),"N/A")</f>
        <v/>
      </c>
      <c r="S231" s="184">
        <f>IFERROR((O231-N231),"N/A")</f>
        <v/>
      </c>
      <c r="T231" s="385">
        <f>IFERROR((O231-N231)/ABS(N231),"N/A")</f>
        <v/>
      </c>
    </row>
    <row r="232" outlineLevel="1" ht="12.75" customFormat="1" customHeight="1" s="30">
      <c r="A232" s="373">
        <f>$C$190&amp;" "&amp;C231&amp;" "&amp;C232&amp;" "&amp; $C$143</f>
        <v/>
      </c>
      <c r="B232" s="397" t="n"/>
      <c r="C232" s="397" t="inlineStr">
        <is>
          <t>Sales volume</t>
        </is>
      </c>
      <c r="D232" s="397" t="n"/>
      <c r="E232" s="396" t="inlineStr">
        <is>
          <t>thsd</t>
        </is>
      </c>
      <c r="F232" s="375" t="inlineStr">
        <is>
          <t>+</t>
        </is>
      </c>
      <c r="G232" s="158" t="n"/>
      <c r="H232" s="158" t="n"/>
      <c r="I232" s="158" t="n"/>
      <c r="J232" s="184">
        <f>IFERROR((H232-I232),"N/A")</f>
        <v/>
      </c>
      <c r="K232" s="384">
        <f>IFERROR((H232-I232)/ABS(I232),"N/A")</f>
        <v/>
      </c>
      <c r="L232" s="184">
        <f>IFERROR((H232-G232),"N/A")</f>
        <v/>
      </c>
      <c r="M232" s="384">
        <f>IFERROR((H232-G232)/ABS(G232),"N/A")</f>
        <v/>
      </c>
      <c r="N232" s="158" t="n"/>
      <c r="O232" s="158" t="n"/>
      <c r="P232" s="158" t="n"/>
      <c r="Q232" s="184">
        <f>IFERROR((O232-P232),"N/A")</f>
        <v/>
      </c>
      <c r="R232" s="385">
        <f>IFERROR((O232-P232)/ABS(P232),"N/A")</f>
        <v/>
      </c>
      <c r="S232" s="184">
        <f>IFERROR((O232-N232),"N/A")</f>
        <v/>
      </c>
      <c r="T232" s="385">
        <f>IFERROR((O232-N232)/ABS(N232),"N/A")</f>
        <v/>
      </c>
    </row>
    <row r="233" outlineLevel="1" ht="12.75" customFormat="1" customHeight="1" s="30">
      <c r="A233" s="373">
        <f>$C$190&amp;" "&amp;C231&amp;" "&amp;C233&amp;" "&amp; $C$143</f>
        <v/>
      </c>
      <c r="B233" s="397" t="n"/>
      <c r="C233" s="397" t="inlineStr">
        <is>
          <t>Price</t>
        </is>
      </c>
      <c r="D233" s="397" t="inlineStr">
        <is>
          <t>Qiyməti</t>
        </is>
      </c>
      <c r="E233" s="396">
        <f>$D$9&amp;"</f>
        <v/>
      </c>
      <c r="F233" s="375" t="inlineStr">
        <is>
          <t>+</t>
        </is>
      </c>
      <c r="G233" s="184">
        <f>IF(G232=0,0,IFERROR(G231/G232,"N/A"))</f>
        <v/>
      </c>
      <c r="H233" s="184">
        <f>IF(H232=0,0,IFERROR(H231/H232,"N/A"))</f>
        <v/>
      </c>
      <c r="I233" s="184">
        <f>IF(I232=0,0,IFERROR(I231/I232,"N/A"))</f>
        <v/>
      </c>
      <c r="J233" s="184">
        <f>IFERROR((H233-I233),"N/A")</f>
        <v/>
      </c>
      <c r="K233" s="384">
        <f>IFERROR((H233-I233)/ABS(I233),"N/A")</f>
        <v/>
      </c>
      <c r="L233" s="184">
        <f>IFERROR((H233-G233),"N/A")</f>
        <v/>
      </c>
      <c r="M233" s="384">
        <f>IFERROR((H233-G233)/ABS(G233),"N/A")</f>
        <v/>
      </c>
      <c r="N233" s="184">
        <f>IF(N232=0,0,IFERROR(N231/N232,"N/A"))</f>
        <v/>
      </c>
      <c r="O233" s="184">
        <f>IF(O232=0,0,IFERROR(O231/O232,"N/A"))</f>
        <v/>
      </c>
      <c r="P233" s="184">
        <f>IF(P232=0,0,IFERROR(P231/P232,"N/A"))</f>
        <v/>
      </c>
      <c r="Q233" s="184">
        <f>IFERROR((O233-P233),"N/A")</f>
        <v/>
      </c>
      <c r="R233" s="385">
        <f>IFERROR((O233-P233)/ABS(P233),"N/A")</f>
        <v/>
      </c>
      <c r="S233" s="184">
        <f>IFERROR((O233-N233),"N/A")</f>
        <v/>
      </c>
      <c r="T233" s="385">
        <f>IFERROR((O233-N233)/ABS(N233),"N/A")</f>
        <v/>
      </c>
    </row>
    <row r="234" outlineLevel="1" ht="12.75" customFormat="1" customHeight="1" s="30">
      <c r="A234" s="373">
        <f>$C$190&amp;" "&amp;C231&amp;" "&amp;C234&amp;" "&amp; $C$143</f>
        <v/>
      </c>
      <c r="B234" s="397" t="n"/>
      <c r="C234" s="436" t="inlineStr">
        <is>
          <t>COGs</t>
        </is>
      </c>
      <c r="D234" s="397" t="n"/>
      <c r="E234" s="396">
        <f>$D$9&amp;"</f>
        <v/>
      </c>
      <c r="F234" s="375" t="inlineStr">
        <is>
          <t>+</t>
        </is>
      </c>
      <c r="G234" s="399">
        <f>IF(G232=0,0,IFERROR(G235/G232,"N/A"))</f>
        <v/>
      </c>
      <c r="H234" s="399">
        <f>IF(H232=0,0,IFERROR(H235/H232,"N/A"))</f>
        <v/>
      </c>
      <c r="I234" s="399">
        <f>IF(I232=0,0,IFERROR(I235/I232,"N/A"))</f>
        <v/>
      </c>
      <c r="J234" s="400">
        <f>IFERROR((H234-I234),"N/A")</f>
        <v/>
      </c>
      <c r="K234" s="385">
        <f>IFERROR((H234-I234)/ABS(I234),"N/A")</f>
        <v/>
      </c>
      <c r="L234" s="400">
        <f>IFERROR((H234-G234),"N/A")</f>
        <v/>
      </c>
      <c r="M234" s="385">
        <f>IFERROR((H234-G234)/ABS(G234),"N/A")</f>
        <v/>
      </c>
      <c r="N234" s="399">
        <f>IF(N232=0,0,IFERROR(N235/N232,"N/A"))</f>
        <v/>
      </c>
      <c r="O234" s="399">
        <f>IF(O232=0,0,IFERROR(O235/O232,"N/A"))</f>
        <v/>
      </c>
      <c r="P234" s="399">
        <f>IF(P232=0,0,IFERROR(P235/P232,"N/A"))</f>
        <v/>
      </c>
      <c r="Q234" s="184">
        <f>IFERROR((O234-P234),"N/A")</f>
        <v/>
      </c>
      <c r="R234" s="385">
        <f>IFERROR((O234-P234)/ABS(P234),"N/A")</f>
        <v/>
      </c>
      <c r="S234" s="400">
        <f>IFERROR((O234-N234),"N/A")</f>
        <v/>
      </c>
      <c r="T234" s="385">
        <f>IFERROR((O234-N234)/ABS(N234),"N/A")</f>
        <v/>
      </c>
    </row>
    <row r="235" outlineLevel="1" ht="12.75" customFormat="1" customHeight="1" s="30">
      <c r="A235" s="373" t="n"/>
      <c r="B235" s="397" t="n"/>
      <c r="C235" s="436" t="inlineStr">
        <is>
          <t>Total COGs</t>
        </is>
      </c>
      <c r="D235" s="397" t="n"/>
      <c r="E235" s="396">
        <f>"thsd</f>
        <v/>
      </c>
      <c r="F235" s="375" t="inlineStr">
        <is>
          <t>+</t>
        </is>
      </c>
      <c r="G235" s="158" t="n"/>
      <c r="H235" s="158" t="n"/>
      <c r="I235" s="158" t="n"/>
      <c r="J235" s="400">
        <f>IFERROR((H235-I235),"N/A")</f>
        <v/>
      </c>
      <c r="K235" s="385">
        <f>IFERROR((H235-I235)/ABS(I235),"N/A")</f>
        <v/>
      </c>
      <c r="L235" s="400">
        <f>IFERROR((H235-G235),"N/A")</f>
        <v/>
      </c>
      <c r="M235" s="385">
        <f>IFERROR((H235-G235)/ABS(G235),"N/A")</f>
        <v/>
      </c>
      <c r="N235" s="158" t="n"/>
      <c r="O235" s="158" t="n"/>
      <c r="P235" s="158" t="n"/>
      <c r="Q235" s="184">
        <f>IFERROR((O235-P235),"N/A")</f>
        <v/>
      </c>
      <c r="R235" s="385">
        <f>IFERROR((O235-P235)/ABS(P235),"N/A")</f>
        <v/>
      </c>
      <c r="S235" s="400">
        <f>IFERROR((O235-N235),"N/A")</f>
        <v/>
      </c>
      <c r="T235" s="385">
        <f>IFERROR((O235-N235)/ABS(N235),"N/A")</f>
        <v/>
      </c>
    </row>
    <row r="236" ht="15" customFormat="1" customHeight="1" s="30">
      <c r="A236" s="373" t="n"/>
      <c r="B236" s="386" t="n"/>
      <c r="C236" s="413" t="inlineStr">
        <is>
          <t>Gas products</t>
        </is>
      </c>
      <c r="D236" s="413" t="n"/>
      <c r="E236" s="375">
        <f>"thsd</f>
        <v/>
      </c>
      <c r="F236" s="375" t="inlineStr">
        <is>
          <t>+</t>
        </is>
      </c>
      <c r="G236" s="376">
        <f>SUM(G237,G263)</f>
        <v/>
      </c>
      <c r="H236" s="376">
        <f>SUM(H237,H263)</f>
        <v/>
      </c>
      <c r="I236" s="376">
        <f>SUM(I237,I263)</f>
        <v/>
      </c>
      <c r="J236" s="376">
        <f>IFERROR((H236-I236),"N/A")</f>
        <v/>
      </c>
      <c r="K236" s="388">
        <f>IFERROR((H236-I236)/ABS(I236),"N/A")</f>
        <v/>
      </c>
      <c r="L236" s="376">
        <f>IFERROR((H236-G236),"N/A")</f>
        <v/>
      </c>
      <c r="M236" s="388">
        <f>IFERROR((H236-G236)/ABS(G236),"N/A")</f>
        <v/>
      </c>
      <c r="N236" s="376">
        <f>SUM(N237,N263)</f>
        <v/>
      </c>
      <c r="O236" s="376">
        <f>SUM(O237,O263)</f>
        <v/>
      </c>
      <c r="P236" s="376">
        <f>SUM(P237,P263)</f>
        <v/>
      </c>
      <c r="Q236" s="376">
        <f>IFERROR((O236-P236),"N/A")</f>
        <v/>
      </c>
      <c r="R236" s="389">
        <f>IFERROR((O236-P236)/ABS(P236),"N/A")</f>
        <v/>
      </c>
      <c r="S236" s="376">
        <f>IFERROR((O236-N236),"N/A")</f>
        <v/>
      </c>
      <c r="T236" s="389">
        <f>IFERROR((O236-N236)/ABS(N236),"N/A")</f>
        <v/>
      </c>
    </row>
    <row r="237" outlineLevel="1" ht="25.5" customFormat="1" customHeight="1" s="30">
      <c r="A237" s="373" t="n"/>
      <c r="B237" s="390" t="n"/>
      <c r="C237" s="390" t="inlineStr">
        <is>
          <t>Local revenue (for Entity location)</t>
        </is>
      </c>
      <c r="D237" s="390" t="n"/>
      <c r="E237" s="391">
        <f>"thsd</f>
        <v/>
      </c>
      <c r="F237" s="375" t="inlineStr">
        <is>
          <t>+</t>
        </is>
      </c>
      <c r="G237" s="392">
        <f>SUM(G238,G243,G258,G248,G253)</f>
        <v/>
      </c>
      <c r="H237" s="392">
        <f>SUM(H238,H243,H258,H248,H253)</f>
        <v/>
      </c>
      <c r="I237" s="392">
        <f>SUM(I238,I243,I258,I248,I253)</f>
        <v/>
      </c>
      <c r="J237" s="392">
        <f>IFERROR((H237-I237),"N/A")</f>
        <v/>
      </c>
      <c r="K237" s="393">
        <f>IFERROR((H237-I237)/ABS(I237),"N/A")</f>
        <v/>
      </c>
      <c r="L237" s="392">
        <f>IFERROR((H237-G237),"N/A")</f>
        <v/>
      </c>
      <c r="M237" s="393">
        <f>IFERROR((H237-G237)/ABS(G237),"N/A")</f>
        <v/>
      </c>
      <c r="N237" s="392">
        <f>SUM(N238,N243,N258,N248,N253)</f>
        <v/>
      </c>
      <c r="O237" s="392">
        <f>SUM(O238,O243,O258,O248,O253)</f>
        <v/>
      </c>
      <c r="P237" s="392">
        <f>SUM(P238,P243,P258,P248,P253)</f>
        <v/>
      </c>
      <c r="Q237" s="392">
        <f>IFERROR((O237-P237),"N/A")</f>
        <v/>
      </c>
      <c r="R237" s="394">
        <f>IFERROR((O237-P237)/ABS(P237),"N/A")</f>
        <v/>
      </c>
      <c r="S237" s="392">
        <f>IFERROR((O237-N237),"N/A")</f>
        <v/>
      </c>
      <c r="T237" s="394">
        <f>IFERROR((O237-N237)/ABS(N237),"N/A")</f>
        <v/>
      </c>
    </row>
    <row r="238" outlineLevel="1" ht="12.75" customFormat="1" customHeight="1" s="30">
      <c r="A238" s="373">
        <f>$C$237&amp;" "&amp;C238&amp;" Revenue"&amp;" "&amp; $C$236</f>
        <v/>
      </c>
      <c r="B238" s="395" t="n"/>
      <c r="C238" s="407" t="inlineStr">
        <is>
          <t>Methanol</t>
        </is>
      </c>
      <c r="D238" s="407" t="inlineStr">
        <is>
          <t>Metanol</t>
        </is>
      </c>
      <c r="E238" s="396">
        <f>"thsd</f>
        <v/>
      </c>
      <c r="F238" s="375" t="inlineStr">
        <is>
          <t>+</t>
        </is>
      </c>
      <c r="G238" s="158" t="n"/>
      <c r="H238" s="158" t="n"/>
      <c r="I238" s="158" t="n"/>
      <c r="J238" s="184">
        <f>IFERROR((H238-I238),"N/A")</f>
        <v/>
      </c>
      <c r="K238" s="384">
        <f>IFERROR((H238-I238)/ABS(I238),"N/A")</f>
        <v/>
      </c>
      <c r="L238" s="184">
        <f>IFERROR((H238-G238),"N/A")</f>
        <v/>
      </c>
      <c r="M238" s="384">
        <f>IFERROR((H238-G238)/ABS(G238),"N/A")</f>
        <v/>
      </c>
      <c r="N238" s="158" t="n"/>
      <c r="O238" s="158" t="n"/>
      <c r="P238" s="158" t="n"/>
      <c r="Q238" s="184">
        <f>IFERROR((O238-P238),"N/A")</f>
        <v/>
      </c>
      <c r="R238" s="385">
        <f>IFERROR((O238-P238)/ABS(P238),"N/A")</f>
        <v/>
      </c>
      <c r="S238" s="184">
        <f>IFERROR((O238-N238),"N/A")</f>
        <v/>
      </c>
      <c r="T238" s="385">
        <f>IFERROR((O238-N238)/ABS(N238),"N/A")</f>
        <v/>
      </c>
    </row>
    <row r="239" outlineLevel="1" ht="12.75" customFormat="1" customHeight="1" s="30">
      <c r="A239" s="373">
        <f>$C$237&amp;" "&amp;C238&amp;" "&amp;C239&amp;" "&amp; $C$236</f>
        <v/>
      </c>
      <c r="B239" s="397" t="n"/>
      <c r="C239" s="397" t="inlineStr">
        <is>
          <t>Sales volume</t>
        </is>
      </c>
      <c r="D239" s="397" t="n"/>
      <c r="E239" s="396" t="inlineStr">
        <is>
          <t>thsd</t>
        </is>
      </c>
      <c r="F239" s="375" t="inlineStr">
        <is>
          <t>+</t>
        </is>
      </c>
      <c r="G239" s="158" t="n"/>
      <c r="H239" s="158" t="n"/>
      <c r="I239" s="158" t="n"/>
      <c r="J239" s="184">
        <f>IFERROR((H239-I239),"N/A")</f>
        <v/>
      </c>
      <c r="K239" s="384">
        <f>IFERROR((H239-I239)/ABS(I239),"N/A")</f>
        <v/>
      </c>
      <c r="L239" s="184">
        <f>IFERROR((H239-G239),"N/A")</f>
        <v/>
      </c>
      <c r="M239" s="384">
        <f>IFERROR((H239-G239)/ABS(G239),"N/A")</f>
        <v/>
      </c>
      <c r="N239" s="158" t="n"/>
      <c r="O239" s="158" t="n"/>
      <c r="P239" s="158" t="n"/>
      <c r="Q239" s="184">
        <f>IFERROR((O239-P239),"N/A")</f>
        <v/>
      </c>
      <c r="R239" s="385">
        <f>IFERROR((O239-P239)/ABS(P239),"N/A")</f>
        <v/>
      </c>
      <c r="S239" s="184">
        <f>IFERROR((O239-N239),"N/A")</f>
        <v/>
      </c>
      <c r="T239" s="385">
        <f>IFERROR((O239-N239)/ABS(N239),"N/A")</f>
        <v/>
      </c>
    </row>
    <row r="240" outlineLevel="1" ht="12.75" customFormat="1" customHeight="1" s="30">
      <c r="A240" s="373">
        <f>$C$237&amp;" "&amp;C238&amp;" "&amp;C240&amp;" "&amp; $C$236</f>
        <v/>
      </c>
      <c r="B240" s="397" t="n"/>
      <c r="C240" s="397" t="inlineStr">
        <is>
          <t>Price</t>
        </is>
      </c>
      <c r="D240" s="397" t="inlineStr">
        <is>
          <t>Qiyməti</t>
        </is>
      </c>
      <c r="E240" s="396">
        <f>$D$9&amp;"</f>
        <v/>
      </c>
      <c r="F240" s="375" t="inlineStr">
        <is>
          <t>+</t>
        </is>
      </c>
      <c r="G240" s="184">
        <f>IF(G239=0,0,IFERROR(G238/G239,"N/A"))</f>
        <v/>
      </c>
      <c r="H240" s="184">
        <f>IF(H239=0,0,IFERROR(H238/H239,"N/A"))</f>
        <v/>
      </c>
      <c r="I240" s="184">
        <f>IF(I239=0,0,IFERROR(I238/I239,"N/A"))</f>
        <v/>
      </c>
      <c r="J240" s="184">
        <f>IFERROR((H240-I240),"N/A")</f>
        <v/>
      </c>
      <c r="K240" s="384">
        <f>IFERROR((H240-I240)/ABS(I240),"N/A")</f>
        <v/>
      </c>
      <c r="L240" s="184">
        <f>IFERROR((H240-G240),"N/A")</f>
        <v/>
      </c>
      <c r="M240" s="384">
        <f>IFERROR((H240-G240)/ABS(G240),"N/A")</f>
        <v/>
      </c>
      <c r="N240" s="184">
        <f>IF(N239=0,0,IFERROR(N238/N239,"N/A"))</f>
        <v/>
      </c>
      <c r="O240" s="184">
        <f>IF(O239=0,0,IFERROR(O238/O239,"N/A"))</f>
        <v/>
      </c>
      <c r="P240" s="184">
        <f>IF(P239=0,0,IFERROR(P238/P239,"N/A"))</f>
        <v/>
      </c>
      <c r="Q240" s="184">
        <f>IFERROR((O240-P240),"N/A")</f>
        <v/>
      </c>
      <c r="R240" s="385">
        <f>IFERROR((O240-P240)/ABS(P240),"N/A")</f>
        <v/>
      </c>
      <c r="S240" s="184">
        <f>IFERROR((O240-N240),"N/A")</f>
        <v/>
      </c>
      <c r="T240" s="385">
        <f>IFERROR((O240-N240)/ABS(N240),"N/A")</f>
        <v/>
      </c>
    </row>
    <row r="241" outlineLevel="1" ht="12.75" customFormat="1" customHeight="1" s="30">
      <c r="A241" s="373">
        <f>$C$237&amp;" "&amp;C238&amp;" "&amp;C241&amp;" "&amp; $C$236</f>
        <v/>
      </c>
      <c r="B241" s="397" t="n"/>
      <c r="C241" s="436" t="inlineStr">
        <is>
          <t>COGs</t>
        </is>
      </c>
      <c r="D241" s="397" t="n"/>
      <c r="E241" s="396">
        <f>$D$9&amp;"</f>
        <v/>
      </c>
      <c r="F241" s="375" t="inlineStr">
        <is>
          <t>+</t>
        </is>
      </c>
      <c r="G241" s="399">
        <f>IF(G239=0,0,IFERROR(G242/G239,"N/A"))</f>
        <v/>
      </c>
      <c r="H241" s="399">
        <f>IF(H239=0,0,IFERROR(H242/H239,"N/A"))</f>
        <v/>
      </c>
      <c r="I241" s="399">
        <f>IF(I239=0,0,IFERROR(I242/I239,"N/A"))</f>
        <v/>
      </c>
      <c r="J241" s="400">
        <f>IFERROR((H241-I241),"N/A")</f>
        <v/>
      </c>
      <c r="K241" s="385">
        <f>IFERROR((H241-I241)/ABS(I241),"N/A")</f>
        <v/>
      </c>
      <c r="L241" s="400">
        <f>IFERROR((H241-G241),"N/A")</f>
        <v/>
      </c>
      <c r="M241" s="385">
        <f>IFERROR((H241-G241)/ABS(G241),"N/A")</f>
        <v/>
      </c>
      <c r="N241" s="399">
        <f>IF(N239=0,0,IFERROR(N242/N239,"N/A"))</f>
        <v/>
      </c>
      <c r="O241" s="399">
        <f>IF(O239=0,0,IFERROR(O242/O239,"N/A"))</f>
        <v/>
      </c>
      <c r="P241" s="399">
        <f>IF(P239=0,0,IFERROR(P242/P239,"N/A"))</f>
        <v/>
      </c>
      <c r="Q241" s="184">
        <f>IFERROR((O241-P241),"N/A")</f>
        <v/>
      </c>
      <c r="R241" s="385">
        <f>IFERROR((O241-P241)/ABS(P241),"N/A")</f>
        <v/>
      </c>
      <c r="S241" s="400">
        <f>IFERROR((O241-N241),"N/A")</f>
        <v/>
      </c>
      <c r="T241" s="385">
        <f>IFERROR((O241-N241)/ABS(N241),"N/A")</f>
        <v/>
      </c>
    </row>
    <row r="242" outlineLevel="1" ht="12.75" customFormat="1" customHeight="1" s="30">
      <c r="A242" s="373" t="n"/>
      <c r="B242" s="397" t="n"/>
      <c r="C242" s="436" t="inlineStr">
        <is>
          <t>Total COGs</t>
        </is>
      </c>
      <c r="D242" s="397" t="n"/>
      <c r="E242" s="396">
        <f>"thsd</f>
        <v/>
      </c>
      <c r="F242" s="375" t="inlineStr">
        <is>
          <t>+</t>
        </is>
      </c>
      <c r="G242" s="158" t="n"/>
      <c r="H242" s="158" t="n"/>
      <c r="I242" s="158" t="n"/>
      <c r="J242" s="400">
        <f>IFERROR((H242-I242),"N/A")</f>
        <v/>
      </c>
      <c r="K242" s="385">
        <f>IFERROR((H242-I242)/ABS(I242),"N/A")</f>
        <v/>
      </c>
      <c r="L242" s="400">
        <f>IFERROR((H242-G242),"N/A")</f>
        <v/>
      </c>
      <c r="M242" s="385">
        <f>IFERROR((H242-G242)/ABS(G242),"N/A")</f>
        <v/>
      </c>
      <c r="N242" s="158" t="n"/>
      <c r="O242" s="158" t="n"/>
      <c r="P242" s="158" t="n"/>
      <c r="Q242" s="184">
        <f>IFERROR((O242-P242),"N/A")</f>
        <v/>
      </c>
      <c r="R242" s="385">
        <f>IFERROR((O242-P242)/ABS(P242),"N/A")</f>
        <v/>
      </c>
      <c r="S242" s="400">
        <f>IFERROR((O242-N242),"N/A")</f>
        <v/>
      </c>
      <c r="T242" s="385">
        <f>IFERROR((O242-N242)/ABS(N242),"N/A")</f>
        <v/>
      </c>
    </row>
    <row r="243" outlineLevel="1" ht="12.75" customFormat="1" customHeight="1" s="30">
      <c r="A243" s="373">
        <f>$C$237&amp;" "&amp;C243&amp;" Revenue"&amp;" "&amp; $C$236</f>
        <v/>
      </c>
      <c r="B243" s="395" t="n"/>
      <c r="C243" s="407" t="inlineStr">
        <is>
          <t>Urea (Karbamid)</t>
        </is>
      </c>
      <c r="D243" s="407" t="inlineStr">
        <is>
          <t>Karbamid</t>
        </is>
      </c>
      <c r="E243" s="396">
        <f>"thsd</f>
        <v/>
      </c>
      <c r="F243" s="375" t="inlineStr">
        <is>
          <t>+</t>
        </is>
      </c>
      <c r="G243" s="158" t="n"/>
      <c r="H243" s="158" t="n"/>
      <c r="I243" s="158" t="n"/>
      <c r="J243" s="184">
        <f>IFERROR((H243-I243),"N/A")</f>
        <v/>
      </c>
      <c r="K243" s="384">
        <f>IFERROR((H243-I243)/ABS(I243),"N/A")</f>
        <v/>
      </c>
      <c r="L243" s="184">
        <f>IFERROR((H243-G243),"N/A")</f>
        <v/>
      </c>
      <c r="M243" s="384">
        <f>IFERROR((H243-G243)/ABS(G243),"N/A")</f>
        <v/>
      </c>
      <c r="N243" s="158" t="n">
        <v>235.9865293478904</v>
      </c>
      <c r="O243" s="158" t="n">
        <v>197.8444758644393</v>
      </c>
      <c r="P243" s="158" t="n">
        <v>0</v>
      </c>
      <c r="Q243" s="184">
        <f>IFERROR((O243-P243),"N/A")</f>
        <v/>
      </c>
      <c r="R243" s="385">
        <f>IFERROR((O243-P243)/ABS(P243),"N/A")</f>
        <v/>
      </c>
      <c r="S243" s="184">
        <f>IFERROR((O243-N243),"N/A")</f>
        <v/>
      </c>
      <c r="T243" s="385">
        <f>IFERROR((O243-N243)/ABS(N243),"N/A")</f>
        <v/>
      </c>
    </row>
    <row r="244" outlineLevel="1" ht="12.75" customFormat="1" customHeight="1" s="30">
      <c r="A244" s="373">
        <f>$C$237&amp;" "&amp;C243&amp;" "&amp;C244&amp;" "&amp; $C$236</f>
        <v/>
      </c>
      <c r="B244" s="397" t="n"/>
      <c r="C244" s="397" t="inlineStr">
        <is>
          <t>Sales volume</t>
        </is>
      </c>
      <c r="D244" s="397" t="n"/>
      <c r="E244" s="396" t="inlineStr">
        <is>
          <t>thsd</t>
        </is>
      </c>
      <c r="F244" s="375" t="inlineStr">
        <is>
          <t>+</t>
        </is>
      </c>
      <c r="G244" s="158" t="n"/>
      <c r="H244" s="158" t="n"/>
      <c r="I244" s="158" t="n"/>
      <c r="J244" s="184">
        <f>IFERROR((H244-I244),"N/A")</f>
        <v/>
      </c>
      <c r="K244" s="384">
        <f>IFERROR((H244-I244)/ABS(I244),"N/A")</f>
        <v/>
      </c>
      <c r="L244" s="184">
        <f>IFERROR((H244-G244),"N/A")</f>
        <v/>
      </c>
      <c r="M244" s="384">
        <f>IFERROR((H244-G244)/ABS(G244),"N/A")</f>
        <v/>
      </c>
      <c r="N244" s="158" t="n">
        <v>0.3192</v>
      </c>
      <c r="O244" s="158" t="n">
        <v>0.5244</v>
      </c>
      <c r="P244" s="158" t="n">
        <v>0</v>
      </c>
      <c r="Q244" s="184">
        <f>IFERROR((O244-P244),"N/A")</f>
        <v/>
      </c>
      <c r="R244" s="385">
        <f>IFERROR((O244-P244)/ABS(P244),"N/A")</f>
        <v/>
      </c>
      <c r="S244" s="184">
        <f>IFERROR((O244-N244),"N/A")</f>
        <v/>
      </c>
      <c r="T244" s="385">
        <f>IFERROR((O244-N244)/ABS(N244),"N/A")</f>
        <v/>
      </c>
    </row>
    <row r="245" outlineLevel="1" ht="12.75" customFormat="1" customHeight="1" s="30">
      <c r="A245" s="373">
        <f>$C$237&amp;" "&amp;C243&amp;" "&amp;C245&amp;" "&amp; $C$236</f>
        <v/>
      </c>
      <c r="B245" s="397" t="n"/>
      <c r="C245" s="397" t="inlineStr">
        <is>
          <t>Price</t>
        </is>
      </c>
      <c r="D245" s="397" t="inlineStr">
        <is>
          <t>Qiyməti</t>
        </is>
      </c>
      <c r="E245" s="396">
        <f>$D$9&amp;"</f>
        <v/>
      </c>
      <c r="F245" s="375" t="inlineStr">
        <is>
          <t>+</t>
        </is>
      </c>
      <c r="G245" s="184">
        <f>IF(G244=0,0,IFERROR(G243/G244,"N/A"))</f>
        <v/>
      </c>
      <c r="H245" s="184">
        <f>IF(H244=0,0,IFERROR(H243/H244,"N/A"))</f>
        <v/>
      </c>
      <c r="I245" s="184">
        <f>IF(I244=0,0,IFERROR(I243/I244,"N/A"))</f>
        <v/>
      </c>
      <c r="J245" s="184">
        <f>IFERROR((H245-I245),"N/A")</f>
        <v/>
      </c>
      <c r="K245" s="384">
        <f>IFERROR((H245-I245)/ABS(I245),"N/A")</f>
        <v/>
      </c>
      <c r="L245" s="184">
        <f>IFERROR((H245-G245),"N/A")</f>
        <v/>
      </c>
      <c r="M245" s="384">
        <f>IFERROR((H245-G245)/ABS(G245),"N/A")</f>
        <v/>
      </c>
      <c r="N245" s="184">
        <f>IF(N244=0,0,IFERROR(N243/N244,"N/A"))</f>
        <v/>
      </c>
      <c r="O245" s="184">
        <f>IF(O244=0,0,IFERROR(O243/O244,"N/A"))</f>
        <v/>
      </c>
      <c r="P245" s="184">
        <f>IF(P244=0,0,IFERROR(P243/P244,"N/A"))</f>
        <v/>
      </c>
      <c r="Q245" s="184">
        <f>IFERROR((O245-P245),"N/A")</f>
        <v/>
      </c>
      <c r="R245" s="385">
        <f>IFERROR((O245-P245)/ABS(P245),"N/A")</f>
        <v/>
      </c>
      <c r="S245" s="184">
        <f>IFERROR((O245-N245),"N/A")</f>
        <v/>
      </c>
      <c r="T245" s="385">
        <f>IFERROR((O245-N245)/ABS(N245),"N/A")</f>
        <v/>
      </c>
    </row>
    <row r="246" outlineLevel="1" ht="12.75" customFormat="1" customHeight="1" s="30">
      <c r="A246" s="373">
        <f>$C$237&amp;" "&amp;C243&amp;" "&amp;C246&amp;" "&amp; $C$236</f>
        <v/>
      </c>
      <c r="B246" s="397" t="n"/>
      <c r="C246" s="436" t="inlineStr">
        <is>
          <t>COGs</t>
        </is>
      </c>
      <c r="D246" s="397" t="n"/>
      <c r="E246" s="396">
        <f>$D$9&amp;"</f>
        <v/>
      </c>
      <c r="F246" s="375" t="inlineStr">
        <is>
          <t>+</t>
        </is>
      </c>
      <c r="G246" s="399">
        <f>IF(G244=0,0,IFERROR(G247/G244,"N/A"))</f>
        <v/>
      </c>
      <c r="H246" s="399">
        <f>IF(H244=0,0,IFERROR(H247/H244,"N/A"))</f>
        <v/>
      </c>
      <c r="I246" s="399">
        <f>IF(I244=0,0,IFERROR(I247/I244,"N/A"))</f>
        <v/>
      </c>
      <c r="J246" s="400">
        <f>IFERROR((H246-I246),"N/A")</f>
        <v/>
      </c>
      <c r="K246" s="385">
        <f>IFERROR((H246-I246)/ABS(I246),"N/A")</f>
        <v/>
      </c>
      <c r="L246" s="400">
        <f>IFERROR((H246-G246),"N/A")</f>
        <v/>
      </c>
      <c r="M246" s="385">
        <f>IFERROR((H246-G246)/ABS(G246),"N/A")</f>
        <v/>
      </c>
      <c r="N246" s="399">
        <f>IF(N244=0,0,IFERROR(N247/N244,"N/A"))</f>
        <v/>
      </c>
      <c r="O246" s="399">
        <f>IF(O244=0,0,IFERROR(O247/O244,"N/A"))</f>
        <v/>
      </c>
      <c r="P246" s="399">
        <f>IF(P244=0,0,IFERROR(P247/P244,"N/A"))</f>
        <v/>
      </c>
      <c r="Q246" s="184">
        <f>IFERROR((O246-P246),"N/A")</f>
        <v/>
      </c>
      <c r="R246" s="385">
        <f>IFERROR((O246-P246)/ABS(P246),"N/A")</f>
        <v/>
      </c>
      <c r="S246" s="400">
        <f>IFERROR((O246-N246),"N/A")</f>
        <v/>
      </c>
      <c r="T246" s="385">
        <f>IFERROR((O246-N246)/ABS(N246),"N/A")</f>
        <v/>
      </c>
    </row>
    <row r="247" outlineLevel="1" ht="12.75" customFormat="1" customHeight="1" s="30">
      <c r="A247" s="373" t="n"/>
      <c r="B247" s="397" t="n"/>
      <c r="C247" s="436" t="inlineStr">
        <is>
          <t>Total COGs</t>
        </is>
      </c>
      <c r="D247" s="397" t="n"/>
      <c r="E247" s="396">
        <f>"thsd</f>
        <v/>
      </c>
      <c r="F247" s="375" t="inlineStr">
        <is>
          <t>+</t>
        </is>
      </c>
      <c r="G247" s="158" t="n"/>
      <c r="H247" s="158" t="n"/>
      <c r="I247" s="158" t="n"/>
      <c r="J247" s="400">
        <f>IFERROR((H247-I247),"N/A")</f>
        <v/>
      </c>
      <c r="K247" s="385">
        <f>IFERROR((H247-I247)/ABS(I247),"N/A")</f>
        <v/>
      </c>
      <c r="L247" s="400">
        <f>IFERROR((H247-G247),"N/A")</f>
        <v/>
      </c>
      <c r="M247" s="385">
        <f>IFERROR((H247-G247)/ABS(G247),"N/A")</f>
        <v/>
      </c>
      <c r="N247" s="158" t="n">
        <v>232.6600222057735</v>
      </c>
      <c r="O247" s="158" t="n">
        <v>191.8360786792593</v>
      </c>
      <c r="P247" s="158" t="n">
        <v>0</v>
      </c>
      <c r="Q247" s="184">
        <f>IFERROR((O247-P247),"N/A")</f>
        <v/>
      </c>
      <c r="R247" s="385">
        <f>IFERROR((O247-P247)/ABS(P247),"N/A")</f>
        <v/>
      </c>
      <c r="S247" s="400">
        <f>IFERROR((O247-N247),"N/A")</f>
        <v/>
      </c>
      <c r="T247" s="385">
        <f>IFERROR((O247-N247)/ABS(N247),"N/A")</f>
        <v/>
      </c>
    </row>
    <row r="248" outlineLevel="1" ht="12.75" customFormat="1" customHeight="1" s="30">
      <c r="A248" s="373">
        <f>$C$237&amp;" "&amp;C248&amp;" Revenue"&amp;" "&amp; $C$236</f>
        <v/>
      </c>
      <c r="B248" s="395" t="n"/>
      <c r="C248" s="407" t="inlineStr">
        <is>
          <t>Natural gas liquids (NGL)</t>
        </is>
      </c>
      <c r="D248" s="407" t="n"/>
      <c r="E248" s="396">
        <f>"thsd</f>
        <v/>
      </c>
      <c r="F248" s="375" t="inlineStr">
        <is>
          <t>+</t>
        </is>
      </c>
      <c r="G248" s="158" t="n"/>
      <c r="H248" s="158" t="n"/>
      <c r="I248" s="158" t="n"/>
      <c r="J248" s="184">
        <f>IFERROR((H248-I248),"N/A")</f>
        <v/>
      </c>
      <c r="K248" s="384">
        <f>IFERROR((H248-I248)/ABS(I248),"N/A")</f>
        <v/>
      </c>
      <c r="L248" s="184">
        <f>IFERROR((H248-G248),"N/A")</f>
        <v/>
      </c>
      <c r="M248" s="384">
        <f>IFERROR((H248-G248)/ABS(G248),"N/A")</f>
        <v/>
      </c>
      <c r="N248" s="158" t="n"/>
      <c r="O248" s="158" t="n"/>
      <c r="P248" s="158" t="n"/>
      <c r="Q248" s="184">
        <f>IFERROR((O248-P248),"N/A")</f>
        <v/>
      </c>
      <c r="R248" s="385">
        <f>IFERROR((O248-P248)/ABS(P248),"N/A")</f>
        <v/>
      </c>
      <c r="S248" s="184">
        <f>IFERROR((O248-N248),"N/A")</f>
        <v/>
      </c>
      <c r="T248" s="385">
        <f>IFERROR((O248-N248)/ABS(N248),"N/A")</f>
        <v/>
      </c>
    </row>
    <row r="249" outlineLevel="1" ht="12.75" customFormat="1" customHeight="1" s="30">
      <c r="A249" s="373">
        <f>$C$237&amp;" "&amp;C248&amp;" "&amp;C249&amp;" "&amp; $C$236</f>
        <v/>
      </c>
      <c r="B249" s="397" t="n"/>
      <c r="C249" s="397" t="inlineStr">
        <is>
          <t>Sales volume</t>
        </is>
      </c>
      <c r="D249" s="397" t="n"/>
      <c r="E249" s="396" t="inlineStr">
        <is>
          <t>thsd</t>
        </is>
      </c>
      <c r="F249" s="375" t="inlineStr">
        <is>
          <t>+</t>
        </is>
      </c>
      <c r="G249" s="158" t="n"/>
      <c r="H249" s="158" t="n"/>
      <c r="I249" s="158" t="n"/>
      <c r="J249" s="184">
        <f>IFERROR((H249-I249),"N/A")</f>
        <v/>
      </c>
      <c r="K249" s="384">
        <f>IFERROR((H249-I249)/ABS(I249),"N/A")</f>
        <v/>
      </c>
      <c r="L249" s="184">
        <f>IFERROR((H249-G249),"N/A")</f>
        <v/>
      </c>
      <c r="M249" s="384">
        <f>IFERROR((H249-G249)/ABS(G249),"N/A")</f>
        <v/>
      </c>
      <c r="N249" s="158" t="n"/>
      <c r="O249" s="158" t="n"/>
      <c r="P249" s="158" t="n"/>
      <c r="Q249" s="184">
        <f>IFERROR((O249-P249),"N/A")</f>
        <v/>
      </c>
      <c r="R249" s="385">
        <f>IFERROR((O249-P249)/ABS(P249),"N/A")</f>
        <v/>
      </c>
      <c r="S249" s="184">
        <f>IFERROR((O249-N249),"N/A")</f>
        <v/>
      </c>
      <c r="T249" s="385">
        <f>IFERROR((O249-N249)/ABS(N249),"N/A")</f>
        <v/>
      </c>
    </row>
    <row r="250" outlineLevel="1" ht="12.75" customFormat="1" customHeight="1" s="30">
      <c r="A250" s="373">
        <f>$C$237&amp;" "&amp;C248&amp;" "&amp;C250&amp;" "&amp; $C$236</f>
        <v/>
      </c>
      <c r="B250" s="397" t="n"/>
      <c r="C250" s="397" t="inlineStr">
        <is>
          <t>Price</t>
        </is>
      </c>
      <c r="D250" s="397" t="inlineStr">
        <is>
          <t>Qiyməti</t>
        </is>
      </c>
      <c r="E250" s="396">
        <f>$D$9&amp;"</f>
        <v/>
      </c>
      <c r="F250" s="375" t="inlineStr">
        <is>
          <t>+</t>
        </is>
      </c>
      <c r="G250" s="184">
        <f>IF(G249=0,0,IFERROR(G248/G249,"N/A"))</f>
        <v/>
      </c>
      <c r="H250" s="184">
        <f>IF(H249=0,0,IFERROR(H248/H249,"N/A"))</f>
        <v/>
      </c>
      <c r="I250" s="184">
        <f>IF(I249=0,0,IFERROR(I248/I249,"N/A"))</f>
        <v/>
      </c>
      <c r="J250" s="184">
        <f>IFERROR((H250-I250),"N/A")</f>
        <v/>
      </c>
      <c r="K250" s="384">
        <f>IFERROR((H250-I250)/ABS(I250),"N/A")</f>
        <v/>
      </c>
      <c r="L250" s="184">
        <f>IFERROR((H250-G250),"N/A")</f>
        <v/>
      </c>
      <c r="M250" s="384">
        <f>IFERROR((H250-G250)/ABS(G250),"N/A")</f>
        <v/>
      </c>
      <c r="N250" s="184">
        <f>IF(N249=0,0,IFERROR(N248/N249,"N/A"))</f>
        <v/>
      </c>
      <c r="O250" s="184">
        <f>IF(O249=0,0,IFERROR(O248/O249,"N/A"))</f>
        <v/>
      </c>
      <c r="P250" s="184">
        <f>IF(P249=0,0,IFERROR(P248/P249,"N/A"))</f>
        <v/>
      </c>
      <c r="Q250" s="184">
        <f>IFERROR((O250-P250),"N/A")</f>
        <v/>
      </c>
      <c r="R250" s="385">
        <f>IFERROR((O250-P250)/ABS(P250),"N/A")</f>
        <v/>
      </c>
      <c r="S250" s="184">
        <f>IFERROR((O250-N250),"N/A")</f>
        <v/>
      </c>
      <c r="T250" s="385">
        <f>IFERROR((O250-N250)/ABS(N250),"N/A")</f>
        <v/>
      </c>
    </row>
    <row r="251" outlineLevel="1" ht="12.75" customFormat="1" customHeight="1" s="30">
      <c r="A251" s="373">
        <f>$C$237&amp;" "&amp;C248&amp;" "&amp;C251&amp;" "&amp; $C$236</f>
        <v/>
      </c>
      <c r="B251" s="397" t="n"/>
      <c r="C251" s="436" t="inlineStr">
        <is>
          <t>COGs</t>
        </is>
      </c>
      <c r="D251" s="397" t="n"/>
      <c r="E251" s="396">
        <f>$D$9&amp;"</f>
        <v/>
      </c>
      <c r="F251" s="375" t="inlineStr">
        <is>
          <t>+</t>
        </is>
      </c>
      <c r="G251" s="399">
        <f>IF(G249=0,0,IFERROR(G252/G249,"N/A"))</f>
        <v/>
      </c>
      <c r="H251" s="399">
        <f>IF(H249=0,0,IFERROR(H252/H249,"N/A"))</f>
        <v/>
      </c>
      <c r="I251" s="399">
        <f>IF(I249=0,0,IFERROR(I252/I249,"N/A"))</f>
        <v/>
      </c>
      <c r="J251" s="400">
        <f>IFERROR((H251-I251),"N/A")</f>
        <v/>
      </c>
      <c r="K251" s="385">
        <f>IFERROR((H251-I251)/ABS(I251),"N/A")</f>
        <v/>
      </c>
      <c r="L251" s="400">
        <f>IFERROR((H251-G251),"N/A")</f>
        <v/>
      </c>
      <c r="M251" s="385">
        <f>IFERROR((H251-G251)/ABS(G251),"N/A")</f>
        <v/>
      </c>
      <c r="N251" s="399">
        <f>IF(N249=0,0,IFERROR(N252/N249,"N/A"))</f>
        <v/>
      </c>
      <c r="O251" s="399">
        <f>IF(O249=0,0,IFERROR(O252/O249,"N/A"))</f>
        <v/>
      </c>
      <c r="P251" s="399">
        <f>IF(P249=0,0,IFERROR(P252/P249,"N/A"))</f>
        <v/>
      </c>
      <c r="Q251" s="184">
        <f>IFERROR((O251-P251),"N/A")</f>
        <v/>
      </c>
      <c r="R251" s="385">
        <f>IFERROR((O251-P251)/ABS(P251),"N/A")</f>
        <v/>
      </c>
      <c r="S251" s="400">
        <f>IFERROR((O251-N251),"N/A")</f>
        <v/>
      </c>
      <c r="T251" s="385">
        <f>IFERROR((O251-N251)/ABS(N251),"N/A")</f>
        <v/>
      </c>
    </row>
    <row r="252" outlineLevel="1" ht="12.75" customFormat="1" customHeight="1" s="30">
      <c r="A252" s="373" t="n"/>
      <c r="B252" s="397" t="n"/>
      <c r="C252" s="436" t="inlineStr">
        <is>
          <t>Total COGs</t>
        </is>
      </c>
      <c r="D252" s="397" t="n"/>
      <c r="E252" s="396">
        <f>"thsd</f>
        <v/>
      </c>
      <c r="F252" s="375" t="inlineStr">
        <is>
          <t>+</t>
        </is>
      </c>
      <c r="G252" s="158" t="n"/>
      <c r="H252" s="158" t="n"/>
      <c r="I252" s="158" t="n"/>
      <c r="J252" s="400">
        <f>IFERROR((H252-I252),"N/A")</f>
        <v/>
      </c>
      <c r="K252" s="385">
        <f>IFERROR((H252-I252)/ABS(I252),"N/A")</f>
        <v/>
      </c>
      <c r="L252" s="400">
        <f>IFERROR((H252-G252),"N/A")</f>
        <v/>
      </c>
      <c r="M252" s="385">
        <f>IFERROR((H252-G252)/ABS(G252),"N/A")</f>
        <v/>
      </c>
      <c r="N252" s="158" t="n"/>
      <c r="O252" s="158" t="n"/>
      <c r="P252" s="158" t="n"/>
      <c r="Q252" s="184">
        <f>IFERROR((O252-P252),"N/A")</f>
        <v/>
      </c>
      <c r="R252" s="385">
        <f>IFERROR((O252-P252)/ABS(P252),"N/A")</f>
        <v/>
      </c>
      <c r="S252" s="400">
        <f>IFERROR((O252-N252),"N/A")</f>
        <v/>
      </c>
      <c r="T252" s="385">
        <f>IFERROR((O252-N252)/ABS(N252),"N/A")</f>
        <v/>
      </c>
    </row>
    <row r="253" outlineLevel="1" ht="12.75" customFormat="1" customHeight="1" s="30">
      <c r="A253" s="373">
        <f>$C$237&amp;" "&amp;C253&amp;" Revenue"&amp;" "&amp; $C$236</f>
        <v/>
      </c>
      <c r="B253" s="397" t="n"/>
      <c r="C253" s="407" t="inlineStr">
        <is>
          <t>Naphtha (all types)</t>
        </is>
      </c>
      <c r="D253" s="407" t="n"/>
      <c r="E253" s="396">
        <f>"thsd</f>
        <v/>
      </c>
      <c r="F253" s="375" t="inlineStr">
        <is>
          <t>+</t>
        </is>
      </c>
      <c r="G253" s="158" t="n"/>
      <c r="H253" s="158" t="n"/>
      <c r="I253" s="158" t="n"/>
      <c r="J253" s="184">
        <f>IFERROR((H253-I253),"N/A")</f>
        <v/>
      </c>
      <c r="K253" s="384">
        <f>IFERROR((H253-I253)/ABS(I253),"N/A")</f>
        <v/>
      </c>
      <c r="L253" s="184">
        <f>IFERROR((H253-G253),"N/A")</f>
        <v/>
      </c>
      <c r="M253" s="384">
        <f>IFERROR((H253-G253)/ABS(G253),"N/A")</f>
        <v/>
      </c>
      <c r="N253" s="158" t="n"/>
      <c r="O253" s="158" t="n"/>
      <c r="P253" s="158" t="n"/>
      <c r="Q253" s="184">
        <f>IFERROR((O253-P253),"N/A")</f>
        <v/>
      </c>
      <c r="R253" s="385">
        <f>IFERROR((O253-P253)/ABS(P253),"N/A")</f>
        <v/>
      </c>
      <c r="S253" s="184">
        <f>IFERROR((O253-N253),"N/A")</f>
        <v/>
      </c>
      <c r="T253" s="385">
        <f>IFERROR((O253-N253)/ABS(N253),"N/A")</f>
        <v/>
      </c>
    </row>
    <row r="254" outlineLevel="1" ht="12.75" customFormat="1" customHeight="1" s="30">
      <c r="A254" s="373">
        <f>$C$237&amp;" "&amp;C253&amp;" "&amp;C254&amp;" "&amp; $C$236</f>
        <v/>
      </c>
      <c r="B254" s="397" t="n"/>
      <c r="C254" s="397" t="inlineStr">
        <is>
          <t>Sales volume</t>
        </is>
      </c>
      <c r="D254" s="397" t="n"/>
      <c r="E254" s="396" t="inlineStr">
        <is>
          <t>thsd</t>
        </is>
      </c>
      <c r="F254" s="375" t="inlineStr">
        <is>
          <t>+</t>
        </is>
      </c>
      <c r="G254" s="158" t="n"/>
      <c r="H254" s="158" t="n"/>
      <c r="I254" s="158" t="n"/>
      <c r="J254" s="184">
        <f>IFERROR((H254-I254),"N/A")</f>
        <v/>
      </c>
      <c r="K254" s="384">
        <f>IFERROR((H254-I254)/ABS(I254),"N/A")</f>
        <v/>
      </c>
      <c r="L254" s="184">
        <f>IFERROR((H254-G254),"N/A")</f>
        <v/>
      </c>
      <c r="M254" s="384">
        <f>IFERROR((H254-G254)/ABS(G254),"N/A")</f>
        <v/>
      </c>
      <c r="N254" s="158" t="n"/>
      <c r="O254" s="158" t="n"/>
      <c r="P254" s="158" t="n"/>
      <c r="Q254" s="184">
        <f>IFERROR((O254-P254),"N/A")</f>
        <v/>
      </c>
      <c r="R254" s="385">
        <f>IFERROR((O254-P254)/ABS(P254),"N/A")</f>
        <v/>
      </c>
      <c r="S254" s="184">
        <f>IFERROR((O254-N254),"N/A")</f>
        <v/>
      </c>
      <c r="T254" s="385">
        <f>IFERROR((O254-N254)/ABS(N254),"N/A")</f>
        <v/>
      </c>
    </row>
    <row r="255" outlineLevel="1" ht="12.75" customFormat="1" customHeight="1" s="30">
      <c r="A255" s="373">
        <f>$C$237&amp;" "&amp;C253&amp;" "&amp;C255&amp;" "&amp; $C$236</f>
        <v/>
      </c>
      <c r="B255" s="397" t="n"/>
      <c r="C255" s="397" t="inlineStr">
        <is>
          <t>Price</t>
        </is>
      </c>
      <c r="D255" s="397" t="inlineStr">
        <is>
          <t>Qiyməti</t>
        </is>
      </c>
      <c r="E255" s="396">
        <f>$D$9&amp;"</f>
        <v/>
      </c>
      <c r="F255" s="375" t="inlineStr">
        <is>
          <t>+</t>
        </is>
      </c>
      <c r="G255" s="184">
        <f>IF(G254=0,0,IFERROR(G253/G254,"N/A"))</f>
        <v/>
      </c>
      <c r="H255" s="184">
        <f>IF(H254=0,0,IFERROR(H253/H254,"N/A"))</f>
        <v/>
      </c>
      <c r="I255" s="184">
        <f>IF(I254=0,0,IFERROR(I253/I254,"N/A"))</f>
        <v/>
      </c>
      <c r="J255" s="184">
        <f>IFERROR((H255-I255),"N/A")</f>
        <v/>
      </c>
      <c r="K255" s="384">
        <f>IFERROR((H255-I255)/ABS(I255),"N/A")</f>
        <v/>
      </c>
      <c r="L255" s="184">
        <f>IFERROR((H255-G255),"N/A")</f>
        <v/>
      </c>
      <c r="M255" s="384">
        <f>IFERROR((H255-G255)/ABS(G255),"N/A")</f>
        <v/>
      </c>
      <c r="N255" s="184">
        <f>IF(N254=0,0,IFERROR(N253/N254,"N/A"))</f>
        <v/>
      </c>
      <c r="O255" s="184">
        <f>IF(O254=0,0,IFERROR(O253/O254,"N/A"))</f>
        <v/>
      </c>
      <c r="P255" s="184">
        <f>IF(P254=0,0,IFERROR(P253/P254,"N/A"))</f>
        <v/>
      </c>
      <c r="Q255" s="184">
        <f>IFERROR((O255-P255),"N/A")</f>
        <v/>
      </c>
      <c r="R255" s="385">
        <f>IFERROR((O255-P255)/ABS(P255),"N/A")</f>
        <v/>
      </c>
      <c r="S255" s="184">
        <f>IFERROR((O255-N255),"N/A")</f>
        <v/>
      </c>
      <c r="T255" s="385">
        <f>IFERROR((O255-N255)/ABS(N255),"N/A")</f>
        <v/>
      </c>
    </row>
    <row r="256" outlineLevel="1" ht="12.75" customFormat="1" customHeight="1" s="30">
      <c r="A256" s="373">
        <f>$C$237&amp;" "&amp;C253&amp;" "&amp;C256&amp;" "&amp; $C$236</f>
        <v/>
      </c>
      <c r="B256" s="397" t="n"/>
      <c r="C256" s="436" t="inlineStr">
        <is>
          <t>COGs</t>
        </is>
      </c>
      <c r="D256" s="397" t="n"/>
      <c r="E256" s="396">
        <f>$D$9&amp;"</f>
        <v/>
      </c>
      <c r="F256" s="375" t="inlineStr">
        <is>
          <t>+</t>
        </is>
      </c>
      <c r="G256" s="399">
        <f>IF(G254=0,0,IFERROR(G257/G254,"N/A"))</f>
        <v/>
      </c>
      <c r="H256" s="399">
        <f>IF(H254=0,0,IFERROR(H257/H254,"N/A"))</f>
        <v/>
      </c>
      <c r="I256" s="399">
        <f>IF(I254=0,0,IFERROR(I257/I254,"N/A"))</f>
        <v/>
      </c>
      <c r="J256" s="400">
        <f>IFERROR((H256-I256),"N/A")</f>
        <v/>
      </c>
      <c r="K256" s="385">
        <f>IFERROR((H256-I256)/ABS(I256),"N/A")</f>
        <v/>
      </c>
      <c r="L256" s="400">
        <f>IFERROR((H256-G256),"N/A")</f>
        <v/>
      </c>
      <c r="M256" s="385">
        <f>IFERROR((H256-G256)/ABS(G256),"N/A")</f>
        <v/>
      </c>
      <c r="N256" s="399">
        <f>IF(N254=0,0,IFERROR(N257/N254,"N/A"))</f>
        <v/>
      </c>
      <c r="O256" s="399">
        <f>IF(O254=0,0,IFERROR(O257/O254,"N/A"))</f>
        <v/>
      </c>
      <c r="P256" s="399">
        <f>IF(P254=0,0,IFERROR(P257/P254,"N/A"))</f>
        <v/>
      </c>
      <c r="Q256" s="184">
        <f>IFERROR((O256-P256),"N/A")</f>
        <v/>
      </c>
      <c r="R256" s="385">
        <f>IFERROR((O256-P256)/ABS(P256),"N/A")</f>
        <v/>
      </c>
      <c r="S256" s="400">
        <f>IFERROR((O256-N256),"N/A")</f>
        <v/>
      </c>
      <c r="T256" s="385">
        <f>IFERROR((O256-N256)/ABS(N256),"N/A")</f>
        <v/>
      </c>
    </row>
    <row r="257" outlineLevel="1" ht="12.75" customFormat="1" customHeight="1" s="30">
      <c r="A257" s="373" t="n"/>
      <c r="B257" s="397" t="n"/>
      <c r="C257" s="436" t="inlineStr">
        <is>
          <t>Total COGs</t>
        </is>
      </c>
      <c r="D257" s="397" t="n"/>
      <c r="E257" s="396">
        <f>"thsd</f>
        <v/>
      </c>
      <c r="F257" s="375" t="inlineStr">
        <is>
          <t>+</t>
        </is>
      </c>
      <c r="G257" s="158" t="n"/>
      <c r="H257" s="158" t="n"/>
      <c r="I257" s="158" t="n"/>
      <c r="J257" s="400">
        <f>IFERROR((H257-I257),"N/A")</f>
        <v/>
      </c>
      <c r="K257" s="385">
        <f>IFERROR((H257-I257)/ABS(I257),"N/A")</f>
        <v/>
      </c>
      <c r="L257" s="400">
        <f>IFERROR((H257-G257),"N/A")</f>
        <v/>
      </c>
      <c r="M257" s="385">
        <f>IFERROR((H257-G257)/ABS(G257),"N/A")</f>
        <v/>
      </c>
      <c r="N257" s="158" t="n"/>
      <c r="O257" s="158" t="n"/>
      <c r="P257" s="158" t="n"/>
      <c r="Q257" s="184">
        <f>IFERROR((O257-P257),"N/A")</f>
        <v/>
      </c>
      <c r="R257" s="385">
        <f>IFERROR((O257-P257)/ABS(P257),"N/A")</f>
        <v/>
      </c>
      <c r="S257" s="400">
        <f>IFERROR((O257-N257),"N/A")</f>
        <v/>
      </c>
      <c r="T257" s="385">
        <f>IFERROR((O257-N257)/ABS(N257),"N/A")</f>
        <v/>
      </c>
    </row>
    <row r="258" outlineLevel="1" ht="12.75" customFormat="1" customHeight="1" s="30">
      <c r="A258" s="373">
        <f>$C$237&amp;" "&amp;C258&amp;" Revenue"&amp;" "&amp; $C$236</f>
        <v/>
      </c>
      <c r="B258" s="395" t="n"/>
      <c r="C258" s="407" t="inlineStr">
        <is>
          <t>Other gas products</t>
        </is>
      </c>
      <c r="D258" s="407" t="n"/>
      <c r="E258" s="396">
        <f>"thsd</f>
        <v/>
      </c>
      <c r="F258" s="375" t="inlineStr">
        <is>
          <t>+</t>
        </is>
      </c>
      <c r="G258" s="158" t="n"/>
      <c r="H258" s="158" t="n"/>
      <c r="I258" s="158" t="n"/>
      <c r="J258" s="184">
        <f>IFERROR((H258-I258),"N/A")</f>
        <v/>
      </c>
      <c r="K258" s="384">
        <f>IFERROR((H258-I258)/ABS(I258),"N/A")</f>
        <v/>
      </c>
      <c r="L258" s="184">
        <f>IFERROR((H258-G258),"N/A")</f>
        <v/>
      </c>
      <c r="M258" s="384">
        <f>IFERROR((H258-G258)/ABS(G258),"N/A")</f>
        <v/>
      </c>
      <c r="N258" s="158" t="n"/>
      <c r="O258" s="158" t="n"/>
      <c r="P258" s="158" t="n"/>
      <c r="Q258" s="184">
        <f>IFERROR((O258-P258),"N/A")</f>
        <v/>
      </c>
      <c r="R258" s="385">
        <f>IFERROR((O258-P258)/ABS(P258),"N/A")</f>
        <v/>
      </c>
      <c r="S258" s="184">
        <f>IFERROR((O258-N258),"N/A")</f>
        <v/>
      </c>
      <c r="T258" s="385">
        <f>IFERROR((O258-N258)/ABS(N258),"N/A")</f>
        <v/>
      </c>
    </row>
    <row r="259" outlineLevel="1" ht="12.75" customFormat="1" customHeight="1" s="30">
      <c r="A259" s="373">
        <f>$C$237&amp;" "&amp;C258&amp;" "&amp;C259&amp;" "&amp; $C$236</f>
        <v/>
      </c>
      <c r="B259" s="397" t="n"/>
      <c r="C259" s="397" t="inlineStr">
        <is>
          <t>Sales volume</t>
        </is>
      </c>
      <c r="D259" s="397" t="n"/>
      <c r="E259" s="396" t="inlineStr">
        <is>
          <t>thsd</t>
        </is>
      </c>
      <c r="F259" s="375" t="inlineStr">
        <is>
          <t>+</t>
        </is>
      </c>
      <c r="G259" s="158" t="n"/>
      <c r="H259" s="158" t="n"/>
      <c r="I259" s="158" t="n"/>
      <c r="J259" s="184">
        <f>IFERROR((H259-I259),"N/A")</f>
        <v/>
      </c>
      <c r="K259" s="384">
        <f>IFERROR((H259-I259)/ABS(I259),"N/A")</f>
        <v/>
      </c>
      <c r="L259" s="184">
        <f>IFERROR((H259-G259),"N/A")</f>
        <v/>
      </c>
      <c r="M259" s="384">
        <f>IFERROR((H259-G259)/ABS(G259),"N/A")</f>
        <v/>
      </c>
      <c r="N259" s="158" t="n"/>
      <c r="O259" s="158" t="n"/>
      <c r="P259" s="158" t="n"/>
      <c r="Q259" s="184">
        <f>IFERROR((O259-P259),"N/A")</f>
        <v/>
      </c>
      <c r="R259" s="385">
        <f>IFERROR((O259-P259)/ABS(P259),"N/A")</f>
        <v/>
      </c>
      <c r="S259" s="184">
        <f>IFERROR((O259-N259),"N/A")</f>
        <v/>
      </c>
      <c r="T259" s="385">
        <f>IFERROR((O259-N259)/ABS(N259),"N/A")</f>
        <v/>
      </c>
    </row>
    <row r="260" outlineLevel="1" ht="12.75" customFormat="1" customHeight="1" s="30">
      <c r="A260" s="373">
        <f>$C$237&amp;" "&amp;C258&amp;" "&amp;C260&amp;" "&amp; $C$236</f>
        <v/>
      </c>
      <c r="B260" s="397" t="n"/>
      <c r="C260" s="397" t="inlineStr">
        <is>
          <t>Price</t>
        </is>
      </c>
      <c r="D260" s="397" t="inlineStr">
        <is>
          <t>Qiyməti</t>
        </is>
      </c>
      <c r="E260" s="396">
        <f>$D$9&amp;"</f>
        <v/>
      </c>
      <c r="F260" s="375" t="inlineStr">
        <is>
          <t>+</t>
        </is>
      </c>
      <c r="G260" s="184">
        <f>IF(G259=0,0,IFERROR(G258/G259,"N/A"))</f>
        <v/>
      </c>
      <c r="H260" s="184">
        <f>IF(H259=0,0,IFERROR(H258/H259,"N/A"))</f>
        <v/>
      </c>
      <c r="I260" s="184">
        <f>IF(I259=0,0,IFERROR(I258/I259,"N/A"))</f>
        <v/>
      </c>
      <c r="J260" s="184">
        <f>IFERROR((H260-I260),"N/A")</f>
        <v/>
      </c>
      <c r="K260" s="384">
        <f>IFERROR((H260-I260)/ABS(I260),"N/A")</f>
        <v/>
      </c>
      <c r="L260" s="184">
        <f>IFERROR((H260-G260),"N/A")</f>
        <v/>
      </c>
      <c r="M260" s="384">
        <f>IFERROR((H260-G260)/ABS(G260),"N/A")</f>
        <v/>
      </c>
      <c r="N260" s="184">
        <f>IF(N259=0,0,IFERROR(N258/N259,"N/A"))</f>
        <v/>
      </c>
      <c r="O260" s="184">
        <f>IF(O259=0,0,IFERROR(O258/O259,"N/A"))</f>
        <v/>
      </c>
      <c r="P260" s="184">
        <f>IF(P259=0,0,IFERROR(P258/P259,"N/A"))</f>
        <v/>
      </c>
      <c r="Q260" s="184">
        <f>IFERROR((O260-P260),"N/A")</f>
        <v/>
      </c>
      <c r="R260" s="385">
        <f>IFERROR((O260-P260)/ABS(P260),"N/A")</f>
        <v/>
      </c>
      <c r="S260" s="184">
        <f>IFERROR((O260-N260),"N/A")</f>
        <v/>
      </c>
      <c r="T260" s="385">
        <f>IFERROR((O260-N260)/ABS(N260),"N/A")</f>
        <v/>
      </c>
    </row>
    <row r="261" outlineLevel="1" ht="12.75" customFormat="1" customHeight="1" s="30">
      <c r="A261" s="373">
        <f>$C$237&amp;" "&amp;C258&amp;" "&amp;C261&amp;" "&amp; $C$236</f>
        <v/>
      </c>
      <c r="B261" s="397" t="n"/>
      <c r="C261" s="436" t="inlineStr">
        <is>
          <t>COGs</t>
        </is>
      </c>
      <c r="D261" s="397" t="n"/>
      <c r="E261" s="396">
        <f>$D$9&amp;"</f>
        <v/>
      </c>
      <c r="F261" s="375" t="inlineStr">
        <is>
          <t>+</t>
        </is>
      </c>
      <c r="G261" s="399">
        <f>IF(G259=0,0,IFERROR(G262/G259,"N/A"))</f>
        <v/>
      </c>
      <c r="H261" s="399">
        <f>IF(H259=0,0,IFERROR(H262/H259,"N/A"))</f>
        <v/>
      </c>
      <c r="I261" s="399">
        <f>IF(I259=0,0,IFERROR(I262/I259,"N/A"))</f>
        <v/>
      </c>
      <c r="J261" s="400">
        <f>IFERROR((H261-I261),"N/A")</f>
        <v/>
      </c>
      <c r="K261" s="385">
        <f>IFERROR((H261-I261)/ABS(I261),"N/A")</f>
        <v/>
      </c>
      <c r="L261" s="400">
        <f>IFERROR((H261-G261),"N/A")</f>
        <v/>
      </c>
      <c r="M261" s="385">
        <f>IFERROR((H261-G261)/ABS(G261),"N/A")</f>
        <v/>
      </c>
      <c r="N261" s="399">
        <f>IF(N259=0,0,IFERROR(N262/N259,"N/A"))</f>
        <v/>
      </c>
      <c r="O261" s="399">
        <f>IF(O259=0,0,IFERROR(O262/O259,"N/A"))</f>
        <v/>
      </c>
      <c r="P261" s="399">
        <f>IF(P259=0,0,IFERROR(P262/P259,"N/A"))</f>
        <v/>
      </c>
      <c r="Q261" s="184">
        <f>IFERROR((O261-P261),"N/A")</f>
        <v/>
      </c>
      <c r="R261" s="385">
        <f>IFERROR((O261-P261)/ABS(P261),"N/A")</f>
        <v/>
      </c>
      <c r="S261" s="400">
        <f>IFERROR((O261-N261),"N/A")</f>
        <v/>
      </c>
      <c r="T261" s="385">
        <f>IFERROR((O261-N261)/ABS(N261),"N/A")</f>
        <v/>
      </c>
    </row>
    <row r="262" outlineLevel="1" ht="12.75" customFormat="1" customHeight="1" s="30">
      <c r="A262" s="373" t="n"/>
      <c r="B262" s="397" t="n"/>
      <c r="C262" s="436" t="inlineStr">
        <is>
          <t>Total COGs</t>
        </is>
      </c>
      <c r="D262" s="397" t="n"/>
      <c r="E262" s="396">
        <f>"thsd</f>
        <v/>
      </c>
      <c r="F262" s="375" t="inlineStr">
        <is>
          <t>+</t>
        </is>
      </c>
      <c r="G262" s="158" t="n"/>
      <c r="H262" s="158" t="n"/>
      <c r="I262" s="158" t="n"/>
      <c r="J262" s="400">
        <f>IFERROR((H262-I262),"N/A")</f>
        <v/>
      </c>
      <c r="K262" s="385">
        <f>IFERROR((H262-I262)/ABS(I262),"N/A")</f>
        <v/>
      </c>
      <c r="L262" s="400">
        <f>IFERROR((H262-G262),"N/A")</f>
        <v/>
      </c>
      <c r="M262" s="385">
        <f>IFERROR((H262-G262)/ABS(G262),"N/A")</f>
        <v/>
      </c>
      <c r="N262" s="158" t="n"/>
      <c r="O262" s="158" t="n"/>
      <c r="P262" s="158" t="n"/>
      <c r="Q262" s="184">
        <f>IFERROR((O262-P262),"N/A")</f>
        <v/>
      </c>
      <c r="R262" s="385">
        <f>IFERROR((O262-P262)/ABS(P262),"N/A")</f>
        <v/>
      </c>
      <c r="S262" s="400">
        <f>IFERROR((O262-N262),"N/A")</f>
        <v/>
      </c>
      <c r="T262" s="385">
        <f>IFERROR((O262-N262)/ABS(N262),"N/A")</f>
        <v/>
      </c>
    </row>
    <row r="263" outlineLevel="1" ht="28.35" customFormat="1" customHeight="1" s="30">
      <c r="A263" s="373" t="n"/>
      <c r="B263" s="401" t="n"/>
      <c r="C263" s="401" t="inlineStr">
        <is>
          <t>Overseas revenue (for Entity location)</t>
        </is>
      </c>
      <c r="D263" s="401" t="n"/>
      <c r="E263" s="402">
        <f>"thsd</f>
        <v/>
      </c>
      <c r="F263" s="375" t="inlineStr">
        <is>
          <t>+</t>
        </is>
      </c>
      <c r="G263" s="403">
        <f>SUM(G264,G269,G284,G274,G279)</f>
        <v/>
      </c>
      <c r="H263" s="403">
        <f>SUM(H264,H269,H284,H274,H279)</f>
        <v/>
      </c>
      <c r="I263" s="403">
        <f>SUM(I264,I269,I284,I274,I279)</f>
        <v/>
      </c>
      <c r="J263" s="403">
        <f>IFERROR((H263-I263),"N/A")</f>
        <v/>
      </c>
      <c r="K263" s="404">
        <f>IFERROR((H263-I263)/ABS(I263),"N/A")</f>
        <v/>
      </c>
      <c r="L263" s="403">
        <f>IFERROR((H263-G263),"N/A")</f>
        <v/>
      </c>
      <c r="M263" s="404">
        <f>IFERROR((H263-G263)/ABS(G263),"N/A")</f>
        <v/>
      </c>
      <c r="N263" s="403">
        <f>SUM(N264,N269,N284,N274,N279)</f>
        <v/>
      </c>
      <c r="O263" s="403">
        <f>SUM(O264,O269,O284,O274,O279)</f>
        <v/>
      </c>
      <c r="P263" s="403">
        <f>SUM(P264,P269,P284,P274,P279)</f>
        <v/>
      </c>
      <c r="Q263" s="403">
        <f>IFERROR((O263-P263),"N/A")</f>
        <v/>
      </c>
      <c r="R263" s="405">
        <f>IFERROR((O263-P263)/ABS(P263),"N/A")</f>
        <v/>
      </c>
      <c r="S263" s="403">
        <f>IFERROR((O263-N263),"N/A")</f>
        <v/>
      </c>
      <c r="T263" s="405">
        <f>IFERROR((O263-N263)/ABS(N263),"N/A")</f>
        <v/>
      </c>
    </row>
    <row r="264" outlineLevel="1" ht="12.75" customFormat="1" customHeight="1" s="30">
      <c r="A264" s="373">
        <f>$C$263&amp;" "&amp;C264&amp;" Revenue"&amp;" "&amp; $C$236</f>
        <v/>
      </c>
      <c r="B264" s="395" t="n"/>
      <c r="C264" s="407">
        <f>C238</f>
        <v/>
      </c>
      <c r="D264" s="395">
        <f>D238</f>
        <v/>
      </c>
      <c r="E264" s="396">
        <f>"thsd</f>
        <v/>
      </c>
      <c r="F264" s="375" t="inlineStr">
        <is>
          <t>+</t>
        </is>
      </c>
      <c r="G264" s="158" t="n"/>
      <c r="H264" s="158" t="n"/>
      <c r="I264" s="158" t="n"/>
      <c r="J264" s="184">
        <f>IFERROR((H264-I264),"N/A")</f>
        <v/>
      </c>
      <c r="K264" s="384">
        <f>IFERROR((H264-I264)/ABS(I264),"N/A")</f>
        <v/>
      </c>
      <c r="L264" s="184">
        <f>IFERROR((H264-G264),"N/A")</f>
        <v/>
      </c>
      <c r="M264" s="384">
        <f>IFERROR((H264-G264)/ABS(G264),"N/A")</f>
        <v/>
      </c>
      <c r="N264" s="158" t="n"/>
      <c r="O264" s="158" t="n"/>
      <c r="P264" s="158" t="n"/>
      <c r="Q264" s="184">
        <f>IFERROR((O264-P264),"N/A")</f>
        <v/>
      </c>
      <c r="R264" s="385">
        <f>IFERROR((O264-P264)/ABS(P264),"N/A")</f>
        <v/>
      </c>
      <c r="S264" s="184">
        <f>IFERROR((O264-N264),"N/A")</f>
        <v/>
      </c>
      <c r="T264" s="385">
        <f>IFERROR((O264-N264)/ABS(N264),"N/A")</f>
        <v/>
      </c>
    </row>
    <row r="265" outlineLevel="1" ht="12.75" customFormat="1" customHeight="1" s="30">
      <c r="A265" s="373">
        <f>$C$263&amp;" "&amp;C264&amp;" "&amp;C265&amp;" "&amp; $C$236</f>
        <v/>
      </c>
      <c r="B265" s="397" t="n"/>
      <c r="C265" s="397" t="inlineStr">
        <is>
          <t>Sales volume</t>
        </is>
      </c>
      <c r="D265" s="397" t="n"/>
      <c r="E265" s="396" t="inlineStr">
        <is>
          <t>thsd</t>
        </is>
      </c>
      <c r="F265" s="375" t="inlineStr">
        <is>
          <t>+</t>
        </is>
      </c>
      <c r="G265" s="158" t="n"/>
      <c r="H265" s="158" t="n"/>
      <c r="I265" s="158" t="n"/>
      <c r="J265" s="184">
        <f>IFERROR((H265-I265),"N/A")</f>
        <v/>
      </c>
      <c r="K265" s="384">
        <f>IFERROR((H265-I265)/ABS(I265),"N/A")</f>
        <v/>
      </c>
      <c r="L265" s="184">
        <f>IFERROR((H265-G265),"N/A")</f>
        <v/>
      </c>
      <c r="M265" s="384">
        <f>IFERROR((H265-G265)/ABS(G265),"N/A")</f>
        <v/>
      </c>
      <c r="N265" s="158" t="n"/>
      <c r="O265" s="158" t="n"/>
      <c r="P265" s="158" t="n"/>
      <c r="Q265" s="184">
        <f>IFERROR((O265-P265),"N/A")</f>
        <v/>
      </c>
      <c r="R265" s="385">
        <f>IFERROR((O265-P265)/ABS(P265),"N/A")</f>
        <v/>
      </c>
      <c r="S265" s="184">
        <f>IFERROR((O265-N265),"N/A")</f>
        <v/>
      </c>
      <c r="T265" s="385">
        <f>IFERROR((O265-N265)/ABS(N265),"N/A")</f>
        <v/>
      </c>
    </row>
    <row r="266" outlineLevel="1" ht="12.75" customFormat="1" customHeight="1" s="30">
      <c r="A266" s="373">
        <f>$C$263&amp;" "&amp;C264&amp;" "&amp;C266&amp;" "&amp; $C$236</f>
        <v/>
      </c>
      <c r="B266" s="397" t="n"/>
      <c r="C266" s="397" t="inlineStr">
        <is>
          <t>Price</t>
        </is>
      </c>
      <c r="D266" s="397" t="inlineStr">
        <is>
          <t>Qiyməti</t>
        </is>
      </c>
      <c r="E266" s="396">
        <f>$D$9&amp;"</f>
        <v/>
      </c>
      <c r="F266" s="375" t="inlineStr">
        <is>
          <t>+</t>
        </is>
      </c>
      <c r="G266" s="184">
        <f>IF(G265=0,0,IFERROR(G264/G265,"N/A"))</f>
        <v/>
      </c>
      <c r="H266" s="184">
        <f>IF(H265=0,0,IFERROR(H264/H265,"N/A"))</f>
        <v/>
      </c>
      <c r="I266" s="184">
        <f>IF(I265=0,0,IFERROR(I264/I265,"N/A"))</f>
        <v/>
      </c>
      <c r="J266" s="184">
        <f>IFERROR((H266-I266),"N/A")</f>
        <v/>
      </c>
      <c r="K266" s="384">
        <f>IFERROR((H266-I266)/ABS(I266),"N/A")</f>
        <v/>
      </c>
      <c r="L266" s="184">
        <f>IFERROR((H266-G266),"N/A")</f>
        <v/>
      </c>
      <c r="M266" s="384">
        <f>IFERROR((H266-G266)/ABS(G266),"N/A")</f>
        <v/>
      </c>
      <c r="N266" s="184">
        <f>IF(N265=0,0,IFERROR(N264/N265,"N/A"))</f>
        <v/>
      </c>
      <c r="O266" s="184">
        <f>IF(O265=0,0,IFERROR(O264/O265,"N/A"))</f>
        <v/>
      </c>
      <c r="P266" s="184">
        <f>IF(P265=0,0,IFERROR(P264/P265,"N/A"))</f>
        <v/>
      </c>
      <c r="Q266" s="184">
        <f>IFERROR((O266-P266),"N/A")</f>
        <v/>
      </c>
      <c r="R266" s="385">
        <f>IFERROR((O266-P266)/ABS(P266),"N/A")</f>
        <v/>
      </c>
      <c r="S266" s="184">
        <f>IFERROR((O266-N266),"N/A")</f>
        <v/>
      </c>
      <c r="T266" s="385">
        <f>IFERROR((O266-N266)/ABS(N266),"N/A")</f>
        <v/>
      </c>
    </row>
    <row r="267" outlineLevel="1" ht="12.75" customFormat="1" customHeight="1" s="30">
      <c r="A267" s="373">
        <f>$C$263&amp;" "&amp;C264&amp;" "&amp;C267&amp;" "&amp; $C$236</f>
        <v/>
      </c>
      <c r="B267" s="397" t="n"/>
      <c r="C267" s="436" t="inlineStr">
        <is>
          <t>COGs</t>
        </is>
      </c>
      <c r="D267" s="397" t="n"/>
      <c r="E267" s="396">
        <f>$D$9&amp;"</f>
        <v/>
      </c>
      <c r="F267" s="375" t="inlineStr">
        <is>
          <t>+</t>
        </is>
      </c>
      <c r="G267" s="399">
        <f>IF(G265=0,0,IFERROR(G268/G265,"N/A"))</f>
        <v/>
      </c>
      <c r="H267" s="399">
        <f>IF(H265=0,0,IFERROR(H268/H265,"N/A"))</f>
        <v/>
      </c>
      <c r="I267" s="399">
        <f>IF(I265=0,0,IFERROR(I268/I265,"N/A"))</f>
        <v/>
      </c>
      <c r="J267" s="400">
        <f>IFERROR((H267-I267),"N/A")</f>
        <v/>
      </c>
      <c r="K267" s="385">
        <f>IFERROR((H267-I267)/ABS(I267),"N/A")</f>
        <v/>
      </c>
      <c r="L267" s="400">
        <f>IFERROR((H267-G267),"N/A")</f>
        <v/>
      </c>
      <c r="M267" s="385">
        <f>IFERROR((H267-G267)/ABS(G267),"N/A")</f>
        <v/>
      </c>
      <c r="N267" s="399">
        <f>IF(N265=0,0,IFERROR(N268/N265,"N/A"))</f>
        <v/>
      </c>
      <c r="O267" s="399">
        <f>IF(O265=0,0,IFERROR(O268/O265,"N/A"))</f>
        <v/>
      </c>
      <c r="P267" s="399">
        <f>IF(P265=0,0,IFERROR(P268/P265,"N/A"))</f>
        <v/>
      </c>
      <c r="Q267" s="184">
        <f>IFERROR((O267-P267),"N/A")</f>
        <v/>
      </c>
      <c r="R267" s="385">
        <f>IFERROR((O267-P267)/ABS(P267),"N/A")</f>
        <v/>
      </c>
      <c r="S267" s="400">
        <f>IFERROR((O267-N267),"N/A")</f>
        <v/>
      </c>
      <c r="T267" s="385">
        <f>IFERROR((O267-N267)/ABS(N267),"N/A")</f>
        <v/>
      </c>
    </row>
    <row r="268" outlineLevel="1" ht="12.75" customFormat="1" customHeight="1" s="30">
      <c r="A268" s="373" t="n"/>
      <c r="B268" s="397" t="n"/>
      <c r="C268" s="436" t="inlineStr">
        <is>
          <t>Total COGs</t>
        </is>
      </c>
      <c r="D268" s="397" t="n"/>
      <c r="E268" s="396">
        <f>"thsd</f>
        <v/>
      </c>
      <c r="F268" s="375" t="inlineStr">
        <is>
          <t>+</t>
        </is>
      </c>
      <c r="G268" s="158" t="n"/>
      <c r="H268" s="158" t="n"/>
      <c r="I268" s="158" t="n"/>
      <c r="J268" s="400">
        <f>IFERROR((H268-I268),"N/A")</f>
        <v/>
      </c>
      <c r="K268" s="385">
        <f>IFERROR((H268-I268)/ABS(I268),"N/A")</f>
        <v/>
      </c>
      <c r="L268" s="400">
        <f>IFERROR((H268-G268),"N/A")</f>
        <v/>
      </c>
      <c r="M268" s="385">
        <f>IFERROR((H268-G268)/ABS(G268),"N/A")</f>
        <v/>
      </c>
      <c r="N268" s="158" t="n"/>
      <c r="O268" s="158" t="n"/>
      <c r="P268" s="158" t="n"/>
      <c r="Q268" s="184">
        <f>IFERROR((O268-P268),"N/A")</f>
        <v/>
      </c>
      <c r="R268" s="385">
        <f>IFERROR((O268-P268)/ABS(P268),"N/A")</f>
        <v/>
      </c>
      <c r="S268" s="400">
        <f>IFERROR((O268-N268),"N/A")</f>
        <v/>
      </c>
      <c r="T268" s="385">
        <f>IFERROR((O268-N268)/ABS(N268),"N/A")</f>
        <v/>
      </c>
    </row>
    <row r="269" outlineLevel="1" ht="13.35" customFormat="1" customHeight="1" s="30">
      <c r="A269" s="373">
        <f>$C$263&amp;" "&amp;C269&amp;" Revenue"&amp;" "&amp; $C$236</f>
        <v/>
      </c>
      <c r="B269" s="395" t="n"/>
      <c r="C269" s="407">
        <f>C243</f>
        <v/>
      </c>
      <c r="D269" s="395">
        <f>D243</f>
        <v/>
      </c>
      <c r="E269" s="396">
        <f>"thsd</f>
        <v/>
      </c>
      <c r="F269" s="375" t="inlineStr">
        <is>
          <t>+</t>
        </is>
      </c>
      <c r="G269" s="158" t="n"/>
      <c r="H269" s="158" t="n"/>
      <c r="I269" s="158" t="n"/>
      <c r="J269" s="184">
        <f>IFERROR((H269-I269),"N/A")</f>
        <v/>
      </c>
      <c r="K269" s="384">
        <f>IFERROR((H269-I269)/ABS(I269),"N/A")</f>
        <v/>
      </c>
      <c r="L269" s="184">
        <f>IFERROR((H269-G269),"N/A")</f>
        <v/>
      </c>
      <c r="M269" s="384">
        <f>IFERROR((H269-G269)/ABS(G269),"N/A")</f>
        <v/>
      </c>
      <c r="N269" s="158" t="n"/>
      <c r="O269" s="158" t="n"/>
      <c r="P269" s="158" t="n"/>
      <c r="Q269" s="184">
        <f>IFERROR((O269-P269),"N/A")</f>
        <v/>
      </c>
      <c r="R269" s="385">
        <f>IFERROR((O269-P269)/ABS(P269),"N/A")</f>
        <v/>
      </c>
      <c r="S269" s="184">
        <f>IFERROR((O269-N269),"N/A")</f>
        <v/>
      </c>
      <c r="T269" s="385">
        <f>IFERROR((O269-N269)/ABS(N269),"N/A")</f>
        <v/>
      </c>
    </row>
    <row r="270" outlineLevel="1" ht="12.75" customFormat="1" customHeight="1" s="30">
      <c r="A270" s="373">
        <f>$C$263&amp;" "&amp;C269&amp;" "&amp;C270&amp;" "&amp; $C$236</f>
        <v/>
      </c>
      <c r="B270" s="397" t="n"/>
      <c r="C270" s="397" t="inlineStr">
        <is>
          <t>Sales volume</t>
        </is>
      </c>
      <c r="D270" s="397" t="n"/>
      <c r="E270" s="396" t="inlineStr">
        <is>
          <t>thsd</t>
        </is>
      </c>
      <c r="F270" s="375" t="inlineStr">
        <is>
          <t>+</t>
        </is>
      </c>
      <c r="G270" s="158" t="n"/>
      <c r="H270" s="158" t="n"/>
      <c r="I270" s="158" t="n"/>
      <c r="J270" s="184">
        <f>IFERROR((H270-I270),"N/A")</f>
        <v/>
      </c>
      <c r="K270" s="384">
        <f>IFERROR((H270-I270)/ABS(I270),"N/A")</f>
        <v/>
      </c>
      <c r="L270" s="184">
        <f>IFERROR((H270-G270),"N/A")</f>
        <v/>
      </c>
      <c r="M270" s="384">
        <f>IFERROR((H270-G270)/ABS(G270),"N/A")</f>
        <v/>
      </c>
      <c r="N270" s="158" t="n"/>
      <c r="O270" s="158" t="n"/>
      <c r="P270" s="158" t="n"/>
      <c r="Q270" s="184">
        <f>IFERROR((O270-P270),"N/A")</f>
        <v/>
      </c>
      <c r="R270" s="385">
        <f>IFERROR((O270-P270)/ABS(P270),"N/A")</f>
        <v/>
      </c>
      <c r="S270" s="184">
        <f>IFERROR((O270-N270),"N/A")</f>
        <v/>
      </c>
      <c r="T270" s="385">
        <f>IFERROR((O270-N270)/ABS(N270),"N/A")</f>
        <v/>
      </c>
    </row>
    <row r="271" outlineLevel="1" ht="12.75" customFormat="1" customHeight="1" s="30">
      <c r="A271" s="373">
        <f>$C$263&amp;" "&amp;C269&amp;" "&amp;C271&amp;" "&amp; $C$236</f>
        <v/>
      </c>
      <c r="B271" s="397" t="n"/>
      <c r="C271" s="397" t="inlineStr">
        <is>
          <t>Price</t>
        </is>
      </c>
      <c r="D271" s="397" t="inlineStr">
        <is>
          <t>Qiyməti</t>
        </is>
      </c>
      <c r="E271" s="396">
        <f>$D$9&amp;"</f>
        <v/>
      </c>
      <c r="F271" s="375" t="inlineStr">
        <is>
          <t>+</t>
        </is>
      </c>
      <c r="G271" s="184">
        <f>IF(G270=0,0,IFERROR(G269/G270,"N/A"))</f>
        <v/>
      </c>
      <c r="H271" s="184">
        <f>IF(H270=0,0,IFERROR(H269/H270,"N/A"))</f>
        <v/>
      </c>
      <c r="I271" s="184">
        <f>IF(I270=0,0,IFERROR(I269/I270,"N/A"))</f>
        <v/>
      </c>
      <c r="J271" s="184">
        <f>IFERROR((H271-I271),"N/A")</f>
        <v/>
      </c>
      <c r="K271" s="384">
        <f>IFERROR((H271-I271)/ABS(I271),"N/A")</f>
        <v/>
      </c>
      <c r="L271" s="184">
        <f>IFERROR((H271-G271),"N/A")</f>
        <v/>
      </c>
      <c r="M271" s="384">
        <f>IFERROR((H271-G271)/ABS(G271),"N/A")</f>
        <v/>
      </c>
      <c r="N271" s="184">
        <f>IF(N270=0,0,IFERROR(N269/N270,"N/A"))</f>
        <v/>
      </c>
      <c r="O271" s="184">
        <f>IF(O270=0,0,IFERROR(O269/O270,"N/A"))</f>
        <v/>
      </c>
      <c r="P271" s="184">
        <f>IF(P270=0,0,IFERROR(P269/P270,"N/A"))</f>
        <v/>
      </c>
      <c r="Q271" s="184">
        <f>IFERROR((O271-P271),"N/A")</f>
        <v/>
      </c>
      <c r="R271" s="385">
        <f>IFERROR((O271-P271)/ABS(P271),"N/A")</f>
        <v/>
      </c>
      <c r="S271" s="184">
        <f>IFERROR((O271-N271),"N/A")</f>
        <v/>
      </c>
      <c r="T271" s="385">
        <f>IFERROR((O271-N271)/ABS(N271),"N/A")</f>
        <v/>
      </c>
    </row>
    <row r="272" outlineLevel="1" ht="12.75" customFormat="1" customHeight="1" s="30">
      <c r="A272" s="373">
        <f>$C$263&amp;" "&amp;C269&amp;" "&amp;C272&amp;" "&amp; $C$236</f>
        <v/>
      </c>
      <c r="B272" s="397" t="n"/>
      <c r="C272" s="436" t="inlineStr">
        <is>
          <t>COGs</t>
        </is>
      </c>
      <c r="D272" s="397" t="n"/>
      <c r="E272" s="396">
        <f>$D$9&amp;"</f>
        <v/>
      </c>
      <c r="F272" s="375" t="inlineStr">
        <is>
          <t>+</t>
        </is>
      </c>
      <c r="G272" s="399">
        <f>IF(G270=0,0,IFERROR(G273/G270,"N/A"))</f>
        <v/>
      </c>
      <c r="H272" s="399">
        <f>IF(H270=0,0,IFERROR(H273/H270,"N/A"))</f>
        <v/>
      </c>
      <c r="I272" s="399">
        <f>IF(I270=0,0,IFERROR(I273/I270,"N/A"))</f>
        <v/>
      </c>
      <c r="J272" s="400">
        <f>IFERROR((H272-I272),"N/A")</f>
        <v/>
      </c>
      <c r="K272" s="385">
        <f>IFERROR((H272-I272)/ABS(I272),"N/A")</f>
        <v/>
      </c>
      <c r="L272" s="400">
        <f>IFERROR((H272-G272),"N/A")</f>
        <v/>
      </c>
      <c r="M272" s="385">
        <f>IFERROR((H272-G272)/ABS(G272),"N/A")</f>
        <v/>
      </c>
      <c r="N272" s="399">
        <f>IF(N270=0,0,IFERROR(N273/N270,"N/A"))</f>
        <v/>
      </c>
      <c r="O272" s="399">
        <f>IF(O270=0,0,IFERROR(O273/O270,"N/A"))</f>
        <v/>
      </c>
      <c r="P272" s="399">
        <f>IF(P270=0,0,IFERROR(P273/P270,"N/A"))</f>
        <v/>
      </c>
      <c r="Q272" s="184">
        <f>IFERROR((O272-P272),"N/A")</f>
        <v/>
      </c>
      <c r="R272" s="385">
        <f>IFERROR((O272-P272)/ABS(P272),"N/A")</f>
        <v/>
      </c>
      <c r="S272" s="400">
        <f>IFERROR((O272-N272),"N/A")</f>
        <v/>
      </c>
      <c r="T272" s="385">
        <f>IFERROR((O272-N272)/ABS(N272),"N/A")</f>
        <v/>
      </c>
    </row>
    <row r="273" outlineLevel="1" ht="12.75" customFormat="1" customHeight="1" s="30">
      <c r="A273" s="373" t="n"/>
      <c r="B273" s="397" t="n"/>
      <c r="C273" s="436" t="inlineStr">
        <is>
          <t>Total COGs</t>
        </is>
      </c>
      <c r="D273" s="397" t="n"/>
      <c r="E273" s="396">
        <f>"thsd</f>
        <v/>
      </c>
      <c r="F273" s="375" t="inlineStr">
        <is>
          <t>+</t>
        </is>
      </c>
      <c r="G273" s="158" t="n"/>
      <c r="H273" s="158" t="n"/>
      <c r="I273" s="158" t="n"/>
      <c r="J273" s="400">
        <f>IFERROR((H273-I273),"N/A")</f>
        <v/>
      </c>
      <c r="K273" s="385">
        <f>IFERROR((H273-I273)/ABS(I273),"N/A")</f>
        <v/>
      </c>
      <c r="L273" s="400">
        <f>IFERROR((H273-G273),"N/A")</f>
        <v/>
      </c>
      <c r="M273" s="385">
        <f>IFERROR((H273-G273)/ABS(G273),"N/A")</f>
        <v/>
      </c>
      <c r="N273" s="158" t="n"/>
      <c r="O273" s="158" t="n"/>
      <c r="P273" s="158" t="n"/>
      <c r="Q273" s="184">
        <f>IFERROR((O273-P273),"N/A")</f>
        <v/>
      </c>
      <c r="R273" s="385">
        <f>IFERROR((O273-P273)/ABS(P273),"N/A")</f>
        <v/>
      </c>
      <c r="S273" s="400">
        <f>IFERROR((O273-N273),"N/A")</f>
        <v/>
      </c>
      <c r="T273" s="385">
        <f>IFERROR((O273-N273)/ABS(N273),"N/A")</f>
        <v/>
      </c>
    </row>
    <row r="274" outlineLevel="1" ht="12.75" customFormat="1" customHeight="1" s="30">
      <c r="A274" s="373">
        <f>$C$263&amp;" "&amp;C274&amp;" Revenue"&amp;" "&amp; $C$236</f>
        <v/>
      </c>
      <c r="B274" s="395" t="n"/>
      <c r="C274" s="407">
        <f>C248</f>
        <v/>
      </c>
      <c r="D274" s="395">
        <f>D248</f>
        <v/>
      </c>
      <c r="E274" s="396">
        <f>"thsd</f>
        <v/>
      </c>
      <c r="F274" s="375" t="inlineStr">
        <is>
          <t>+</t>
        </is>
      </c>
      <c r="G274" s="158" t="n"/>
      <c r="H274" s="158" t="n"/>
      <c r="I274" s="158" t="n"/>
      <c r="J274" s="184">
        <f>IFERROR((H274-I274),"N/A")</f>
        <v/>
      </c>
      <c r="K274" s="384">
        <f>IFERROR((H274-I274)/ABS(I274),"N/A")</f>
        <v/>
      </c>
      <c r="L274" s="184">
        <f>IFERROR((H274-G274),"N/A")</f>
        <v/>
      </c>
      <c r="M274" s="384">
        <f>IFERROR((H274-G274)/ABS(G274),"N/A")</f>
        <v/>
      </c>
      <c r="N274" s="158" t="n"/>
      <c r="O274" s="158" t="n"/>
      <c r="P274" s="158" t="n"/>
      <c r="Q274" s="184">
        <f>IFERROR((O274-P274),"N/A")</f>
        <v/>
      </c>
      <c r="R274" s="385">
        <f>IFERROR((O274-P274)/ABS(P274),"N/A")</f>
        <v/>
      </c>
      <c r="S274" s="184">
        <f>IFERROR((O274-N274),"N/A")</f>
        <v/>
      </c>
      <c r="T274" s="385">
        <f>IFERROR((O274-N274)/ABS(N274),"N/A")</f>
        <v/>
      </c>
    </row>
    <row r="275" outlineLevel="1" ht="12.75" customFormat="1" customHeight="1" s="30">
      <c r="A275" s="373">
        <f>$C$263&amp;" "&amp;C274&amp;" "&amp;C275&amp;" "&amp; $C$236</f>
        <v/>
      </c>
      <c r="B275" s="397" t="n"/>
      <c r="C275" s="397" t="inlineStr">
        <is>
          <t>Sales volume</t>
        </is>
      </c>
      <c r="D275" s="397" t="n"/>
      <c r="E275" s="396" t="inlineStr">
        <is>
          <t>thsd</t>
        </is>
      </c>
      <c r="F275" s="375" t="inlineStr">
        <is>
          <t>+</t>
        </is>
      </c>
      <c r="G275" s="158" t="n"/>
      <c r="H275" s="158" t="n"/>
      <c r="I275" s="158" t="n"/>
      <c r="J275" s="184">
        <f>IFERROR((H275-I275),"N/A")</f>
        <v/>
      </c>
      <c r="K275" s="384">
        <f>IFERROR((H275-I275)/ABS(I275),"N/A")</f>
        <v/>
      </c>
      <c r="L275" s="184">
        <f>IFERROR((H275-G275),"N/A")</f>
        <v/>
      </c>
      <c r="M275" s="384">
        <f>IFERROR((H275-G275)/ABS(G275),"N/A")</f>
        <v/>
      </c>
      <c r="N275" s="158" t="n"/>
      <c r="O275" s="158" t="n"/>
      <c r="P275" s="158" t="n"/>
      <c r="Q275" s="184">
        <f>IFERROR((O275-P275),"N/A")</f>
        <v/>
      </c>
      <c r="R275" s="385">
        <f>IFERROR((O275-P275)/ABS(P275),"N/A")</f>
        <v/>
      </c>
      <c r="S275" s="184">
        <f>IFERROR((O275-N275),"N/A")</f>
        <v/>
      </c>
      <c r="T275" s="385">
        <f>IFERROR((O275-N275)/ABS(N275),"N/A")</f>
        <v/>
      </c>
    </row>
    <row r="276" outlineLevel="1" ht="12.75" customFormat="1" customHeight="1" s="30">
      <c r="A276" s="373">
        <f>$C$263&amp;" "&amp;C274&amp;" "&amp;C276&amp;" "&amp; $C$236</f>
        <v/>
      </c>
      <c r="B276" s="397" t="n"/>
      <c r="C276" s="397" t="inlineStr">
        <is>
          <t>Price</t>
        </is>
      </c>
      <c r="D276" s="397" t="inlineStr">
        <is>
          <t>Qiyməti</t>
        </is>
      </c>
      <c r="E276" s="396">
        <f>$D$9&amp;"</f>
        <v/>
      </c>
      <c r="F276" s="375" t="inlineStr">
        <is>
          <t>+</t>
        </is>
      </c>
      <c r="G276" s="184">
        <f>IF(G275=0,0,IFERROR(G274/G275,"N/A"))</f>
        <v/>
      </c>
      <c r="H276" s="184">
        <f>IF(H275=0,0,IFERROR(H274/H275,"N/A"))</f>
        <v/>
      </c>
      <c r="I276" s="184">
        <f>IF(I275=0,0,IFERROR(I274/I275,"N/A"))</f>
        <v/>
      </c>
      <c r="J276" s="184">
        <f>IFERROR((H276-I276),"N/A")</f>
        <v/>
      </c>
      <c r="K276" s="384">
        <f>IFERROR((H276-I276)/ABS(I276),"N/A")</f>
        <v/>
      </c>
      <c r="L276" s="184">
        <f>IFERROR((H276-G276),"N/A")</f>
        <v/>
      </c>
      <c r="M276" s="384">
        <f>IFERROR((H276-G276)/ABS(G276),"N/A")</f>
        <v/>
      </c>
      <c r="N276" s="184">
        <f>IF(N275=0,0,IFERROR(N274/N275,"N/A"))</f>
        <v/>
      </c>
      <c r="O276" s="184">
        <f>IF(O275=0,0,IFERROR(O274/O275,"N/A"))</f>
        <v/>
      </c>
      <c r="P276" s="184">
        <f>IF(P275=0,0,IFERROR(P274/P275,"N/A"))</f>
        <v/>
      </c>
      <c r="Q276" s="184">
        <f>IFERROR((O276-P276),"N/A")</f>
        <v/>
      </c>
      <c r="R276" s="385">
        <f>IFERROR((O276-P276)/ABS(P276),"N/A")</f>
        <v/>
      </c>
      <c r="S276" s="184">
        <f>IFERROR((O276-N276),"N/A")</f>
        <v/>
      </c>
      <c r="T276" s="385">
        <f>IFERROR((O276-N276)/ABS(N276),"N/A")</f>
        <v/>
      </c>
    </row>
    <row r="277" outlineLevel="1" ht="12.75" customFormat="1" customHeight="1" s="30">
      <c r="A277" s="373">
        <f>$C$263&amp;" "&amp;C274&amp;" "&amp;C277&amp;" "&amp; $C$236</f>
        <v/>
      </c>
      <c r="B277" s="397" t="n"/>
      <c r="C277" s="436" t="inlineStr">
        <is>
          <t>COGs</t>
        </is>
      </c>
      <c r="D277" s="397" t="n"/>
      <c r="E277" s="396">
        <f>$D$9&amp;"</f>
        <v/>
      </c>
      <c r="F277" s="375" t="inlineStr">
        <is>
          <t>+</t>
        </is>
      </c>
      <c r="G277" s="399">
        <f>IF(G275=0,0,IFERROR(G278/G275,"N/A"))</f>
        <v/>
      </c>
      <c r="H277" s="399">
        <f>IF(H275=0,0,IFERROR(H278/H275,"N/A"))</f>
        <v/>
      </c>
      <c r="I277" s="399">
        <f>IF(I275=0,0,IFERROR(I278/I275,"N/A"))</f>
        <v/>
      </c>
      <c r="J277" s="400">
        <f>IFERROR((H277-I277),"N/A")</f>
        <v/>
      </c>
      <c r="K277" s="385">
        <f>IFERROR((H277-I277)/ABS(I277),"N/A")</f>
        <v/>
      </c>
      <c r="L277" s="400">
        <f>IFERROR((H277-G277),"N/A")</f>
        <v/>
      </c>
      <c r="M277" s="385">
        <f>IFERROR((H277-G277)/ABS(G277),"N/A")</f>
        <v/>
      </c>
      <c r="N277" s="399">
        <f>IF(N275=0,0,IFERROR(N278/N275,"N/A"))</f>
        <v/>
      </c>
      <c r="O277" s="399">
        <f>IF(O275=0,0,IFERROR(O278/O275,"N/A"))</f>
        <v/>
      </c>
      <c r="P277" s="399">
        <f>IF(P275=0,0,IFERROR(P278/P275,"N/A"))</f>
        <v/>
      </c>
      <c r="Q277" s="184">
        <f>IFERROR((O277-P277),"N/A")</f>
        <v/>
      </c>
      <c r="R277" s="385">
        <f>IFERROR((O277-P277)/ABS(P277),"N/A")</f>
        <v/>
      </c>
      <c r="S277" s="400">
        <f>IFERROR((O277-N277),"N/A")</f>
        <v/>
      </c>
      <c r="T277" s="385">
        <f>IFERROR((O277-N277)/ABS(N277),"N/A")</f>
        <v/>
      </c>
    </row>
    <row r="278" outlineLevel="1" ht="12.75" customFormat="1" customHeight="1" s="30">
      <c r="A278" s="373" t="n"/>
      <c r="B278" s="397" t="n"/>
      <c r="C278" s="436" t="inlineStr">
        <is>
          <t>Total COGs</t>
        </is>
      </c>
      <c r="D278" s="397" t="n"/>
      <c r="E278" s="396">
        <f>"thsd</f>
        <v/>
      </c>
      <c r="F278" s="375" t="inlineStr">
        <is>
          <t>+</t>
        </is>
      </c>
      <c r="G278" s="158" t="n"/>
      <c r="H278" s="158" t="n"/>
      <c r="I278" s="158" t="n"/>
      <c r="J278" s="400">
        <f>IFERROR((H278-I278),"N/A")</f>
        <v/>
      </c>
      <c r="K278" s="385">
        <f>IFERROR((H278-I278)/ABS(I278),"N/A")</f>
        <v/>
      </c>
      <c r="L278" s="400">
        <f>IFERROR((H278-G278),"N/A")</f>
        <v/>
      </c>
      <c r="M278" s="385">
        <f>IFERROR((H278-G278)/ABS(G278),"N/A")</f>
        <v/>
      </c>
      <c r="N278" s="158" t="n"/>
      <c r="O278" s="158" t="n"/>
      <c r="P278" s="158" t="n"/>
      <c r="Q278" s="184">
        <f>IFERROR((O278-P278),"N/A")</f>
        <v/>
      </c>
      <c r="R278" s="385">
        <f>IFERROR((O278-P278)/ABS(P278),"N/A")</f>
        <v/>
      </c>
      <c r="S278" s="400">
        <f>IFERROR((O278-N278),"N/A")</f>
        <v/>
      </c>
      <c r="T278" s="385">
        <f>IFERROR((O278-N278)/ABS(N278),"N/A")</f>
        <v/>
      </c>
    </row>
    <row r="279" outlineLevel="1" ht="12.75" customFormat="1" customHeight="1" s="30">
      <c r="A279" s="373">
        <f>$C$263&amp;" "&amp;C279&amp;" Revenue"&amp;" "&amp; $C$236</f>
        <v/>
      </c>
      <c r="B279" s="397" t="n"/>
      <c r="C279" s="407" t="inlineStr">
        <is>
          <t>Naphtha (all types)</t>
        </is>
      </c>
      <c r="D279" s="407" t="n"/>
      <c r="E279" s="396">
        <f>"thsd</f>
        <v/>
      </c>
      <c r="F279" s="375" t="inlineStr">
        <is>
          <t>+</t>
        </is>
      </c>
      <c r="G279" s="158" t="n"/>
      <c r="H279" s="158" t="n"/>
      <c r="I279" s="158" t="n"/>
      <c r="J279" s="184">
        <f>IFERROR((H279-I279),"N/A")</f>
        <v/>
      </c>
      <c r="K279" s="384">
        <f>IFERROR((H279-I279)/ABS(I279),"N/A")</f>
        <v/>
      </c>
      <c r="L279" s="184">
        <f>IFERROR((H279-G279),"N/A")</f>
        <v/>
      </c>
      <c r="M279" s="384">
        <f>IFERROR((H279-G279)/ABS(G279),"N/A")</f>
        <v/>
      </c>
      <c r="N279" s="158" t="n"/>
      <c r="O279" s="158" t="n"/>
      <c r="P279" s="158" t="n"/>
      <c r="Q279" s="184">
        <f>IFERROR((O279-P279),"N/A")</f>
        <v/>
      </c>
      <c r="R279" s="385">
        <f>IFERROR((O279-P279)/ABS(P279),"N/A")</f>
        <v/>
      </c>
      <c r="S279" s="184">
        <f>IFERROR((O279-N279),"N/A")</f>
        <v/>
      </c>
      <c r="T279" s="385">
        <f>IFERROR((O279-N279)/ABS(N279),"N/A")</f>
        <v/>
      </c>
    </row>
    <row r="280" outlineLevel="1" ht="12.75" customFormat="1" customHeight="1" s="30">
      <c r="A280" s="373">
        <f>$C$263&amp;" "&amp;C279&amp;" "&amp;C280&amp;" "&amp; $C$236</f>
        <v/>
      </c>
      <c r="B280" s="397" t="n"/>
      <c r="C280" s="397" t="inlineStr">
        <is>
          <t>Sales volume</t>
        </is>
      </c>
      <c r="D280" s="397" t="n"/>
      <c r="E280" s="396" t="inlineStr">
        <is>
          <t>thsd</t>
        </is>
      </c>
      <c r="F280" s="375" t="inlineStr">
        <is>
          <t>+</t>
        </is>
      </c>
      <c r="G280" s="158" t="n"/>
      <c r="H280" s="158" t="n"/>
      <c r="I280" s="158" t="n"/>
      <c r="J280" s="184">
        <f>IFERROR((H280-I280),"N/A")</f>
        <v/>
      </c>
      <c r="K280" s="384">
        <f>IFERROR((H280-I280)/ABS(I280),"N/A")</f>
        <v/>
      </c>
      <c r="L280" s="184">
        <f>IFERROR((H280-G280),"N/A")</f>
        <v/>
      </c>
      <c r="M280" s="384">
        <f>IFERROR((H280-G280)/ABS(G280),"N/A")</f>
        <v/>
      </c>
      <c r="N280" s="158" t="n"/>
      <c r="O280" s="158" t="n"/>
      <c r="P280" s="158" t="n"/>
      <c r="Q280" s="184">
        <f>IFERROR((O280-P280),"N/A")</f>
        <v/>
      </c>
      <c r="R280" s="385">
        <f>IFERROR((O280-P280)/ABS(P280),"N/A")</f>
        <v/>
      </c>
      <c r="S280" s="184">
        <f>IFERROR((O280-N280),"N/A")</f>
        <v/>
      </c>
      <c r="T280" s="385">
        <f>IFERROR((O280-N280)/ABS(N280),"N/A")</f>
        <v/>
      </c>
    </row>
    <row r="281" outlineLevel="1" ht="12.75" customFormat="1" customHeight="1" s="30">
      <c r="A281" s="373">
        <f>$C$263&amp;" "&amp;C279&amp;" "&amp;C281&amp;" "&amp; $C$236</f>
        <v/>
      </c>
      <c r="B281" s="397" t="n"/>
      <c r="C281" s="397" t="inlineStr">
        <is>
          <t>Price</t>
        </is>
      </c>
      <c r="D281" s="397" t="inlineStr">
        <is>
          <t>Qiyməti</t>
        </is>
      </c>
      <c r="E281" s="396">
        <f>$D$9&amp;"</f>
        <v/>
      </c>
      <c r="F281" s="375" t="inlineStr">
        <is>
          <t>+</t>
        </is>
      </c>
      <c r="G281" s="184">
        <f>IF(G280=0,0,IFERROR(G279/G280,"N/A"))</f>
        <v/>
      </c>
      <c r="H281" s="184">
        <f>IF(H280=0,0,IFERROR(H279/H280,"N/A"))</f>
        <v/>
      </c>
      <c r="I281" s="184">
        <f>IF(I280=0,0,IFERROR(I279/I280,"N/A"))</f>
        <v/>
      </c>
      <c r="J281" s="184">
        <f>IFERROR((H281-I281),"N/A")</f>
        <v/>
      </c>
      <c r="K281" s="384">
        <f>IFERROR((H281-I281)/ABS(I281),"N/A")</f>
        <v/>
      </c>
      <c r="L281" s="184">
        <f>IFERROR((H281-G281),"N/A")</f>
        <v/>
      </c>
      <c r="M281" s="384">
        <f>IFERROR((H281-G281)/ABS(G281),"N/A")</f>
        <v/>
      </c>
      <c r="N281" s="184">
        <f>IF(N280=0,0,IFERROR(N279/N280,"N/A"))</f>
        <v/>
      </c>
      <c r="O281" s="184">
        <f>IF(O280=0,0,IFERROR(O279/O280,"N/A"))</f>
        <v/>
      </c>
      <c r="P281" s="184">
        <f>IF(P280=0,0,IFERROR(P279/P280,"N/A"))</f>
        <v/>
      </c>
      <c r="Q281" s="184">
        <f>IFERROR((O281-P281),"N/A")</f>
        <v/>
      </c>
      <c r="R281" s="385">
        <f>IFERROR((O281-P281)/ABS(P281),"N/A")</f>
        <v/>
      </c>
      <c r="S281" s="184">
        <f>IFERROR((O281-N281),"N/A")</f>
        <v/>
      </c>
      <c r="T281" s="385">
        <f>IFERROR((O281-N281)/ABS(N281),"N/A")</f>
        <v/>
      </c>
    </row>
    <row r="282" outlineLevel="1" ht="12.75" customFormat="1" customHeight="1" s="30">
      <c r="A282" s="373">
        <f>$C$263&amp;" "&amp;C279&amp;" "&amp;C282&amp;" "&amp; $C$236</f>
        <v/>
      </c>
      <c r="B282" s="397" t="n"/>
      <c r="C282" s="436" t="inlineStr">
        <is>
          <t>COGs</t>
        </is>
      </c>
      <c r="D282" s="397" t="n"/>
      <c r="E282" s="396">
        <f>$D$9&amp;"</f>
        <v/>
      </c>
      <c r="F282" s="375" t="inlineStr">
        <is>
          <t>+</t>
        </is>
      </c>
      <c r="G282" s="399">
        <f>IF(G280=0,0,IFERROR(G283/G280,"N/A"))</f>
        <v/>
      </c>
      <c r="H282" s="399">
        <f>IF(H280=0,0,IFERROR(H283/H280,"N/A"))</f>
        <v/>
      </c>
      <c r="I282" s="399">
        <f>IF(I280=0,0,IFERROR(I283/I280,"N/A"))</f>
        <v/>
      </c>
      <c r="J282" s="400">
        <f>IFERROR((H282-I282),"N/A")</f>
        <v/>
      </c>
      <c r="K282" s="385">
        <f>IFERROR((H282-I282)/ABS(I282),"N/A")</f>
        <v/>
      </c>
      <c r="L282" s="400">
        <f>IFERROR((H282-G282),"N/A")</f>
        <v/>
      </c>
      <c r="M282" s="385">
        <f>IFERROR((H282-G282)/ABS(G282),"N/A")</f>
        <v/>
      </c>
      <c r="N282" s="399">
        <f>IF(N280=0,0,IFERROR(N283/N280,"N/A"))</f>
        <v/>
      </c>
      <c r="O282" s="399">
        <f>IF(O280=0,0,IFERROR(O283/O280,"N/A"))</f>
        <v/>
      </c>
      <c r="P282" s="399">
        <f>IF(P280=0,0,IFERROR(P283/P280,"N/A"))</f>
        <v/>
      </c>
      <c r="Q282" s="184">
        <f>IFERROR((O282-P282),"N/A")</f>
        <v/>
      </c>
      <c r="R282" s="385">
        <f>IFERROR((O282-P282)/ABS(P282),"N/A")</f>
        <v/>
      </c>
      <c r="S282" s="400">
        <f>IFERROR((O282-N282),"N/A")</f>
        <v/>
      </c>
      <c r="T282" s="385">
        <f>IFERROR((O282-N282)/ABS(N282),"N/A")</f>
        <v/>
      </c>
    </row>
    <row r="283" outlineLevel="1" ht="12.75" customFormat="1" customHeight="1" s="30">
      <c r="A283" s="373" t="n"/>
      <c r="B283" s="397" t="n"/>
      <c r="C283" s="436" t="inlineStr">
        <is>
          <t>Total COGs</t>
        </is>
      </c>
      <c r="D283" s="397" t="n"/>
      <c r="E283" s="396">
        <f>"thsd</f>
        <v/>
      </c>
      <c r="F283" s="375" t="inlineStr">
        <is>
          <t>+</t>
        </is>
      </c>
      <c r="G283" s="158" t="n"/>
      <c r="H283" s="158" t="n"/>
      <c r="I283" s="158" t="n"/>
      <c r="J283" s="400">
        <f>IFERROR((H283-I283),"N/A")</f>
        <v/>
      </c>
      <c r="K283" s="385">
        <f>IFERROR((H283-I283)/ABS(I283),"N/A")</f>
        <v/>
      </c>
      <c r="L283" s="400">
        <f>IFERROR((H283-G283),"N/A")</f>
        <v/>
      </c>
      <c r="M283" s="385">
        <f>IFERROR((H283-G283)/ABS(G283),"N/A")</f>
        <v/>
      </c>
      <c r="N283" s="158" t="n"/>
      <c r="O283" s="158" t="n"/>
      <c r="P283" s="158" t="n"/>
      <c r="Q283" s="184">
        <f>IFERROR((O283-P283),"N/A")</f>
        <v/>
      </c>
      <c r="R283" s="385">
        <f>IFERROR((O283-P283)/ABS(P283),"N/A")</f>
        <v/>
      </c>
      <c r="S283" s="400">
        <f>IFERROR((O283-N283),"N/A")</f>
        <v/>
      </c>
      <c r="T283" s="385">
        <f>IFERROR((O283-N283)/ABS(N283),"N/A")</f>
        <v/>
      </c>
    </row>
    <row r="284" outlineLevel="1" ht="12.75" customFormat="1" customHeight="1" s="30">
      <c r="A284" s="373">
        <f>$C$263&amp;" "&amp;C284&amp;" Revenue"&amp;" "&amp; $C$236</f>
        <v/>
      </c>
      <c r="B284" s="395" t="n"/>
      <c r="C284" s="395">
        <f>C258</f>
        <v/>
      </c>
      <c r="D284" s="395">
        <f>D258</f>
        <v/>
      </c>
      <c r="E284" s="396">
        <f>"thsd</f>
        <v/>
      </c>
      <c r="F284" s="375" t="inlineStr">
        <is>
          <t>+</t>
        </is>
      </c>
      <c r="G284" s="158" t="n"/>
      <c r="H284" s="158" t="n"/>
      <c r="I284" s="158" t="n"/>
      <c r="J284" s="184">
        <f>IFERROR((H284-I284),"N/A")</f>
        <v/>
      </c>
      <c r="K284" s="384">
        <f>IFERROR((H284-I284)/ABS(I284),"N/A")</f>
        <v/>
      </c>
      <c r="L284" s="184">
        <f>IFERROR((H284-G284),"N/A")</f>
        <v/>
      </c>
      <c r="M284" s="384">
        <f>IFERROR((H284-G284)/ABS(G284),"N/A")</f>
        <v/>
      </c>
      <c r="N284" s="158" t="n"/>
      <c r="O284" s="158" t="n"/>
      <c r="P284" s="158" t="n"/>
      <c r="Q284" s="184">
        <f>IFERROR((O284-P284),"N/A")</f>
        <v/>
      </c>
      <c r="R284" s="385">
        <f>IFERROR((O284-P284)/ABS(P284),"N/A")</f>
        <v/>
      </c>
      <c r="S284" s="184">
        <f>IFERROR((O284-N284),"N/A")</f>
        <v/>
      </c>
      <c r="T284" s="385">
        <f>IFERROR((O284-N284)/ABS(N284),"N/A")</f>
        <v/>
      </c>
    </row>
    <row r="285" outlineLevel="1" ht="12.75" customFormat="1" customHeight="1" s="30">
      <c r="A285" s="373">
        <f>$C$263&amp;" "&amp;C284&amp;" "&amp;C285&amp;" "&amp; $C$236</f>
        <v/>
      </c>
      <c r="B285" s="397" t="n"/>
      <c r="C285" s="397" t="inlineStr">
        <is>
          <t>Sales volume</t>
        </is>
      </c>
      <c r="D285" s="397" t="n"/>
      <c r="E285" s="396" t="inlineStr">
        <is>
          <t>thsd</t>
        </is>
      </c>
      <c r="F285" s="375" t="inlineStr">
        <is>
          <t>+</t>
        </is>
      </c>
      <c r="G285" s="158" t="n"/>
      <c r="H285" s="158" t="n"/>
      <c r="I285" s="158" t="n"/>
      <c r="J285" s="184">
        <f>IFERROR((H285-I285),"N/A")</f>
        <v/>
      </c>
      <c r="K285" s="384">
        <f>IFERROR((H285-I285)/ABS(I285),"N/A")</f>
        <v/>
      </c>
      <c r="L285" s="184">
        <f>IFERROR((H285-G285),"N/A")</f>
        <v/>
      </c>
      <c r="M285" s="384">
        <f>IFERROR((H285-G285)/ABS(G285),"N/A")</f>
        <v/>
      </c>
      <c r="N285" s="158" t="n"/>
      <c r="O285" s="158" t="n"/>
      <c r="P285" s="158" t="n"/>
      <c r="Q285" s="184">
        <f>IFERROR((O285-P285),"N/A")</f>
        <v/>
      </c>
      <c r="R285" s="385">
        <f>IFERROR((O285-P285)/ABS(P285),"N/A")</f>
        <v/>
      </c>
      <c r="S285" s="184">
        <f>IFERROR((O285-N285),"N/A")</f>
        <v/>
      </c>
      <c r="T285" s="385">
        <f>IFERROR((O285-N285)/ABS(N285),"N/A")</f>
        <v/>
      </c>
    </row>
    <row r="286" outlineLevel="1" ht="12.75" customFormat="1" customHeight="1" s="30">
      <c r="A286" s="373">
        <f>$C$263&amp;" "&amp;C284&amp;" "&amp;C286&amp;" "&amp; $C$236</f>
        <v/>
      </c>
      <c r="B286" s="397" t="n"/>
      <c r="C286" s="397" t="inlineStr">
        <is>
          <t>Price</t>
        </is>
      </c>
      <c r="D286" s="397" t="inlineStr">
        <is>
          <t>Qiyməti</t>
        </is>
      </c>
      <c r="E286" s="396">
        <f>$D$9&amp;"</f>
        <v/>
      </c>
      <c r="F286" s="375" t="inlineStr">
        <is>
          <t>+</t>
        </is>
      </c>
      <c r="G286" s="184">
        <f>IF(G285=0,0,IFERROR(G284/G285,"N/A"))</f>
        <v/>
      </c>
      <c r="H286" s="184">
        <f>IF(H285=0,0,IFERROR(H284/H285,"N/A"))</f>
        <v/>
      </c>
      <c r="I286" s="184">
        <f>IF(I285=0,0,IFERROR(I284/I285,"N/A"))</f>
        <v/>
      </c>
      <c r="J286" s="184">
        <f>IFERROR((H286-I286),"N/A")</f>
        <v/>
      </c>
      <c r="K286" s="384">
        <f>IFERROR((H286-I286)/ABS(I286),"N/A")</f>
        <v/>
      </c>
      <c r="L286" s="184">
        <f>IFERROR((H286-G286),"N/A")</f>
        <v/>
      </c>
      <c r="M286" s="384">
        <f>IFERROR((H286-G286)/ABS(G286),"N/A")</f>
        <v/>
      </c>
      <c r="N286" s="184">
        <f>IF(N285=0,0,IFERROR(N284/N285,"N/A"))</f>
        <v/>
      </c>
      <c r="O286" s="184">
        <f>IF(O285=0,0,IFERROR(O284/O285,"N/A"))</f>
        <v/>
      </c>
      <c r="P286" s="184">
        <f>IF(P285=0,0,IFERROR(P284/P285,"N/A"))</f>
        <v/>
      </c>
      <c r="Q286" s="184">
        <f>IFERROR((O286-P286),"N/A")</f>
        <v/>
      </c>
      <c r="R286" s="385">
        <f>IFERROR((O286-P286)/ABS(P286),"N/A")</f>
        <v/>
      </c>
      <c r="S286" s="184">
        <f>IFERROR((O286-N286),"N/A")</f>
        <v/>
      </c>
      <c r="T286" s="385">
        <f>IFERROR((O286-N286)/ABS(N286),"N/A")</f>
        <v/>
      </c>
    </row>
    <row r="287" outlineLevel="1" ht="12.75" customFormat="1" customHeight="1" s="30">
      <c r="A287" s="373">
        <f>$C$263&amp;" "&amp;C284&amp;" "&amp;C287&amp;" "&amp; $C$236</f>
        <v/>
      </c>
      <c r="B287" s="397" t="n"/>
      <c r="C287" s="436" t="inlineStr">
        <is>
          <t>COGs</t>
        </is>
      </c>
      <c r="D287" s="397" t="n"/>
      <c r="E287" s="396">
        <f>$D$9&amp;"</f>
        <v/>
      </c>
      <c r="F287" s="375" t="inlineStr">
        <is>
          <t>+</t>
        </is>
      </c>
      <c r="G287" s="399">
        <f>IF(G285=0,0,IFERROR(G288/G285,"N/A"))</f>
        <v/>
      </c>
      <c r="H287" s="399">
        <f>IF(H285=0,0,IFERROR(H288/H285,"N/A"))</f>
        <v/>
      </c>
      <c r="I287" s="399">
        <f>IF(I285=0,0,IFERROR(I288/I285,"N/A"))</f>
        <v/>
      </c>
      <c r="J287" s="400">
        <f>IFERROR((H287-I287),"N/A")</f>
        <v/>
      </c>
      <c r="K287" s="385">
        <f>IFERROR((H287-I287)/ABS(I287),"N/A")</f>
        <v/>
      </c>
      <c r="L287" s="400">
        <f>IFERROR((H287-G287),"N/A")</f>
        <v/>
      </c>
      <c r="M287" s="385">
        <f>IFERROR((H287-G287)/ABS(G287),"N/A")</f>
        <v/>
      </c>
      <c r="N287" s="399">
        <f>IF(N285=0,0,IFERROR(N288/N285,"N/A"))</f>
        <v/>
      </c>
      <c r="O287" s="399">
        <f>IF(O285=0,0,IFERROR(O288/O285,"N/A"))</f>
        <v/>
      </c>
      <c r="P287" s="399">
        <f>IF(P285=0,0,IFERROR(P288/P285,"N/A"))</f>
        <v/>
      </c>
      <c r="Q287" s="184">
        <f>IFERROR((O287-P287),"N/A")</f>
        <v/>
      </c>
      <c r="R287" s="385">
        <f>IFERROR((O287-P287)/ABS(P287),"N/A")</f>
        <v/>
      </c>
      <c r="S287" s="400">
        <f>IFERROR((O287-N287),"N/A")</f>
        <v/>
      </c>
      <c r="T287" s="385">
        <f>IFERROR((O287-N287)/ABS(N287),"N/A")</f>
        <v/>
      </c>
    </row>
    <row r="288" outlineLevel="1" ht="12.75" customFormat="1" customHeight="1" s="30">
      <c r="A288" s="373" t="n"/>
      <c r="B288" s="397" t="n"/>
      <c r="C288" s="436" t="inlineStr">
        <is>
          <t>Total COGs</t>
        </is>
      </c>
      <c r="D288" s="397" t="n"/>
      <c r="E288" s="396">
        <f>"thsd</f>
        <v/>
      </c>
      <c r="F288" s="375" t="inlineStr">
        <is>
          <t>+</t>
        </is>
      </c>
      <c r="G288" s="158" t="n"/>
      <c r="H288" s="158" t="n"/>
      <c r="I288" s="158" t="n"/>
      <c r="J288" s="400">
        <f>IFERROR((H288-I288),"N/A")</f>
        <v/>
      </c>
      <c r="K288" s="385">
        <f>IFERROR((H288-I288)/ABS(I288),"N/A")</f>
        <v/>
      </c>
      <c r="L288" s="400">
        <f>IFERROR((H288-G288),"N/A")</f>
        <v/>
      </c>
      <c r="M288" s="385">
        <f>IFERROR((H288-G288)/ABS(G288),"N/A")</f>
        <v/>
      </c>
      <c r="N288" s="158" t="n"/>
      <c r="O288" s="158" t="n"/>
      <c r="P288" s="158" t="n"/>
      <c r="Q288" s="184">
        <f>IFERROR((O288-P288),"N/A")</f>
        <v/>
      </c>
      <c r="R288" s="385">
        <f>IFERROR((O288-P288)/ABS(P288),"N/A")</f>
        <v/>
      </c>
      <c r="S288" s="400">
        <f>IFERROR((O288-N288),"N/A")</f>
        <v/>
      </c>
      <c r="T288" s="385">
        <f>IFERROR((O288-N288)/ABS(N288),"N/A")</f>
        <v/>
      </c>
    </row>
    <row r="289" ht="15" customFormat="1" customHeight="1" s="30">
      <c r="A289" s="373" t="n"/>
      <c r="B289" s="386" t="n"/>
      <c r="C289" s="414" t="inlineStr">
        <is>
          <t>Natural gas</t>
        </is>
      </c>
      <c r="D289" s="414" t="inlineStr">
        <is>
          <t>Təbii qaz</t>
        </is>
      </c>
      <c r="E289" s="375">
        <f>"thsd</f>
        <v/>
      </c>
      <c r="F289" s="375" t="inlineStr">
        <is>
          <t>+</t>
        </is>
      </c>
      <c r="G289" s="376">
        <f>SUM(G290,G296)</f>
        <v/>
      </c>
      <c r="H289" s="376">
        <f>SUM(H290,H296)</f>
        <v/>
      </c>
      <c r="I289" s="376">
        <f>SUM(I290,I296)</f>
        <v/>
      </c>
      <c r="J289" s="376">
        <f>IFERROR((H289-I289),"N/A")</f>
        <v/>
      </c>
      <c r="K289" s="388">
        <f>IFERROR((H289-I289)/ABS(I289),"N/A")</f>
        <v/>
      </c>
      <c r="L289" s="376">
        <f>IFERROR((H289-G289),"N/A")</f>
        <v/>
      </c>
      <c r="M289" s="388">
        <f>IFERROR((H289-G289)/ABS(G289),"N/A")</f>
        <v/>
      </c>
      <c r="N289" s="376">
        <f>SUM(N290,N296)</f>
        <v/>
      </c>
      <c r="O289" s="376">
        <f>SUM(O290,O296)</f>
        <v/>
      </c>
      <c r="P289" s="376">
        <f>SUM(P290,P296)</f>
        <v/>
      </c>
      <c r="Q289" s="376">
        <f>IFERROR((O289-P289),"N/A")</f>
        <v/>
      </c>
      <c r="R289" s="389">
        <f>IFERROR((O289-P289)/ABS(P289),"N/A")</f>
        <v/>
      </c>
      <c r="S289" s="376">
        <f>IFERROR((O289-N289),"N/A")</f>
        <v/>
      </c>
      <c r="T289" s="389">
        <f>IFERROR((O289-N289)/ABS(N289),"N/A")</f>
        <v/>
      </c>
    </row>
    <row r="290" outlineLevel="1" ht="25.5" customFormat="1" customHeight="1" s="30">
      <c r="A290" s="373" t="n"/>
      <c r="B290" s="390" t="n"/>
      <c r="C290" s="390" t="inlineStr">
        <is>
          <t>Local revenue (for Entity location)</t>
        </is>
      </c>
      <c r="D290" s="390" t="n"/>
      <c r="E290" s="391">
        <f>"thsd</f>
        <v/>
      </c>
      <c r="F290" s="375" t="inlineStr">
        <is>
          <t>+</t>
        </is>
      </c>
      <c r="G290" s="392">
        <f>G291</f>
        <v/>
      </c>
      <c r="H290" s="392">
        <f>H291</f>
        <v/>
      </c>
      <c r="I290" s="392">
        <f>I291</f>
        <v/>
      </c>
      <c r="J290" s="392">
        <f>IFERROR((H290-I290),"N/A")</f>
        <v/>
      </c>
      <c r="K290" s="393">
        <f>IFERROR((H290-I290)/ABS(I290),"N/A")</f>
        <v/>
      </c>
      <c r="L290" s="392">
        <f>IFERROR((H290-G290),"N/A")</f>
        <v/>
      </c>
      <c r="M290" s="393">
        <f>IFERROR((H290-G290)/ABS(G290),"N/A")</f>
        <v/>
      </c>
      <c r="N290" s="392">
        <f>N291</f>
        <v/>
      </c>
      <c r="O290" s="392">
        <f>O291</f>
        <v/>
      </c>
      <c r="P290" s="392">
        <f>P291</f>
        <v/>
      </c>
      <c r="Q290" s="392">
        <f>IFERROR((O290-P290),"N/A")</f>
        <v/>
      </c>
      <c r="R290" s="394">
        <f>IFERROR((O290-P290)/ABS(P290),"N/A")</f>
        <v/>
      </c>
      <c r="S290" s="392">
        <f>IFERROR((O290-N290),"N/A")</f>
        <v/>
      </c>
      <c r="T290" s="394">
        <f>IFERROR((O290-N290)/ABS(N290),"N/A")</f>
        <v/>
      </c>
    </row>
    <row r="291" outlineLevel="1" ht="12.75" customFormat="1" customHeight="1" s="30">
      <c r="A291" s="373">
        <f>$C$290&amp;" "&amp;C291&amp;" Revenue"&amp;" "&amp; $C$289</f>
        <v/>
      </c>
      <c r="B291" s="395" t="n"/>
      <c r="C291" s="415" t="inlineStr">
        <is>
          <t>Natural gas</t>
        </is>
      </c>
      <c r="D291" s="415" t="inlineStr">
        <is>
          <t>Təbii qaz</t>
        </is>
      </c>
      <c r="E291" s="396">
        <f>"thsd</f>
        <v/>
      </c>
      <c r="F291" s="375" t="inlineStr">
        <is>
          <t>+</t>
        </is>
      </c>
      <c r="G291" s="158" t="n">
        <v>69776.44264850896</v>
      </c>
      <c r="H291" s="158" t="n">
        <v>43414.94514004558</v>
      </c>
      <c r="I291" s="158" t="n">
        <v>66853.52941176471</v>
      </c>
      <c r="J291" s="184">
        <f>IFERROR((H291-I291),"N/A")</f>
        <v/>
      </c>
      <c r="K291" s="384">
        <f>IFERROR((H291-I291)/ABS(I291),"N/A")</f>
        <v/>
      </c>
      <c r="L291" s="184">
        <f>IFERROR((H291-G291),"N/A")</f>
        <v/>
      </c>
      <c r="M291" s="384">
        <f>IFERROR((H291-G291)/ABS(G291),"N/A")</f>
        <v/>
      </c>
      <c r="N291" s="158" t="n">
        <v>403140.2590444617</v>
      </c>
      <c r="O291" s="158" t="n">
        <v>338956.6327011756</v>
      </c>
      <c r="P291" s="158" t="n">
        <v>427030.5882352941</v>
      </c>
      <c r="Q291" s="184">
        <f>IFERROR((O291-P291),"N/A")</f>
        <v/>
      </c>
      <c r="R291" s="385">
        <f>IFERROR((O291-P291)/ABS(P291),"N/A")</f>
        <v/>
      </c>
      <c r="S291" s="184">
        <f>IFERROR((O291-N291),"N/A")</f>
        <v/>
      </c>
      <c r="T291" s="385">
        <f>IFERROR((O291-N291)/ABS(N291),"N/A")</f>
        <v/>
      </c>
    </row>
    <row r="292" outlineLevel="1" ht="12.75" customFormat="1" customHeight="1" s="30">
      <c r="A292" s="373">
        <f>$C$290&amp;" "&amp;C291&amp;" "&amp;C292&amp;" "&amp; $C$289</f>
        <v/>
      </c>
      <c r="B292" s="397" t="n"/>
      <c r="C292" s="397" t="inlineStr">
        <is>
          <t>Sales volume</t>
        </is>
      </c>
      <c r="D292" s="397" t="n"/>
      <c r="E292" s="396" t="inlineStr">
        <is>
          <t>mln m3</t>
        </is>
      </c>
      <c r="F292" s="375" t="inlineStr">
        <is>
          <t>+</t>
        </is>
      </c>
      <c r="G292" s="158" t="n">
        <v>349.186762</v>
      </c>
      <c r="H292" s="158" t="n">
        <v>213.752254</v>
      </c>
      <c r="I292" s="158" t="n">
        <v>288.19246295</v>
      </c>
      <c r="J292" s="184">
        <f>IFERROR((H292-I292),"N/A")</f>
        <v/>
      </c>
      <c r="K292" s="384">
        <f>IFERROR((H292-I292)/ABS(I292),"N/A")</f>
        <v/>
      </c>
      <c r="L292" s="184">
        <f>IFERROR((H292-G292),"N/A")</f>
        <v/>
      </c>
      <c r="M292" s="384">
        <f>IFERROR((H292-G292)/ABS(G292),"N/A")</f>
        <v/>
      </c>
      <c r="N292" s="158" t="n">
        <v>1853.787923</v>
      </c>
      <c r="O292" s="158" t="n">
        <v>1603.861515</v>
      </c>
      <c r="P292" s="158" t="n">
        <v>1797.2534920625</v>
      </c>
      <c r="Q292" s="184">
        <f>IFERROR((O292-P292),"N/A")</f>
        <v/>
      </c>
      <c r="R292" s="385">
        <f>IFERROR((O292-P292)/ABS(P292),"N/A")</f>
        <v/>
      </c>
      <c r="S292" s="184">
        <f>IFERROR((O292-N292),"N/A")</f>
        <v/>
      </c>
      <c r="T292" s="385">
        <f>IFERROR((O292-N292)/ABS(N292),"N/A")</f>
        <v/>
      </c>
    </row>
    <row r="293" outlineLevel="1" ht="12.75" customFormat="1" customHeight="1" s="30">
      <c r="A293" s="373">
        <f>$C$290&amp;" "&amp;C291&amp;" "&amp;C293&amp;" "&amp; $C$289</f>
        <v/>
      </c>
      <c r="B293" s="397" t="n"/>
      <c r="C293" s="397" t="inlineStr">
        <is>
          <t>Price</t>
        </is>
      </c>
      <c r="D293" s="397" t="inlineStr">
        <is>
          <t>Qiyməti</t>
        </is>
      </c>
      <c r="E293" s="396">
        <f>$D$9&amp;"</f>
        <v/>
      </c>
      <c r="F293" s="375" t="inlineStr">
        <is>
          <t>+</t>
        </is>
      </c>
      <c r="G293" s="184">
        <f>IF(G292=0,0,IFERROR(G291/G292,"N/A"))</f>
        <v/>
      </c>
      <c r="H293" s="184">
        <f>IF(H292=0,0,IFERROR(H291/H292,"N/A"))</f>
        <v/>
      </c>
      <c r="I293" s="184">
        <f>IF(I292=0,0,IFERROR(I291/I292,"N/A"))</f>
        <v/>
      </c>
      <c r="J293" s="184">
        <f>IFERROR((H293-I293),"N/A")</f>
        <v/>
      </c>
      <c r="K293" s="384">
        <f>IFERROR((H293-I293)/ABS(I293),"N/A")</f>
        <v/>
      </c>
      <c r="L293" s="184">
        <f>IFERROR((H293-G293),"N/A")</f>
        <v/>
      </c>
      <c r="M293" s="384">
        <f>IFERROR((H293-G293)/ABS(G293),"N/A")</f>
        <v/>
      </c>
      <c r="N293" s="184">
        <f>IF(N292=0,0,IFERROR(N291/N292,"N/A"))</f>
        <v/>
      </c>
      <c r="O293" s="184">
        <f>IF(O292=0,0,IFERROR(O291/O292,"N/A"))</f>
        <v/>
      </c>
      <c r="P293" s="184">
        <f>IF(P292=0,0,IFERROR(P291/P292,"N/A"))</f>
        <v/>
      </c>
      <c r="Q293" s="184">
        <f>IFERROR((O293-P293),"N/A")</f>
        <v/>
      </c>
      <c r="R293" s="385">
        <f>IFERROR((O293-P293)/ABS(P293),"N/A")</f>
        <v/>
      </c>
      <c r="S293" s="184">
        <f>IFERROR((O293-N293),"N/A")</f>
        <v/>
      </c>
      <c r="T293" s="385">
        <f>IFERROR((O293-N293)/ABS(N293),"N/A")</f>
        <v/>
      </c>
    </row>
    <row r="294" outlineLevel="1" ht="12.75" customFormat="1" customHeight="1" s="30">
      <c r="A294" s="373">
        <f>$C$290&amp;" "&amp;C291&amp;" "&amp;C294&amp;" "&amp; $C$289</f>
        <v/>
      </c>
      <c r="B294" s="397" t="n"/>
      <c r="C294" s="436" t="inlineStr">
        <is>
          <t>COGs</t>
        </is>
      </c>
      <c r="D294" s="397" t="n"/>
      <c r="E294" s="396">
        <f>$D$9&amp;"</f>
        <v/>
      </c>
      <c r="F294" s="375" t="inlineStr">
        <is>
          <t>+</t>
        </is>
      </c>
      <c r="G294" s="399">
        <f>IF(G292=0,0,IFERROR(G295/G292,"N/A"))</f>
        <v/>
      </c>
      <c r="H294" s="399">
        <f>IF(H292=0,0,IFERROR(H295/H292,"N/A"))</f>
        <v/>
      </c>
      <c r="I294" s="399">
        <f>IF(I292=0,0,IFERROR(I295/I292,"N/A"))</f>
        <v/>
      </c>
      <c r="J294" s="400">
        <f>IFERROR((H294-I294),"N/A")</f>
        <v/>
      </c>
      <c r="K294" s="385">
        <f>IFERROR((H294-I294)/ABS(I294),"N/A")</f>
        <v/>
      </c>
      <c r="L294" s="400">
        <f>IFERROR((H294-G294),"N/A")</f>
        <v/>
      </c>
      <c r="M294" s="385">
        <f>IFERROR((H294-G294)/ABS(G294),"N/A")</f>
        <v/>
      </c>
      <c r="N294" s="399">
        <f>IF(N292=0,0,IFERROR(N295/N292,"N/A"))</f>
        <v/>
      </c>
      <c r="O294" s="399">
        <f>IF(O292=0,0,IFERROR(O295/O292,"N/A"))</f>
        <v/>
      </c>
      <c r="P294" s="399">
        <f>IF(P292=0,0,IFERROR(P295/P292,"N/A"))</f>
        <v/>
      </c>
      <c r="Q294" s="184">
        <f>IFERROR((O294-P294),"N/A")</f>
        <v/>
      </c>
      <c r="R294" s="385">
        <f>IFERROR((O294-P294)/ABS(P294),"N/A")</f>
        <v/>
      </c>
      <c r="S294" s="400">
        <f>IFERROR((O294-N294),"N/A")</f>
        <v/>
      </c>
      <c r="T294" s="385">
        <f>IFERROR((O294-N294)/ABS(N294),"N/A")</f>
        <v/>
      </c>
    </row>
    <row r="295" outlineLevel="1" ht="12.75" customFormat="1" customHeight="1" s="30">
      <c r="A295" s="373" t="n"/>
      <c r="B295" s="397" t="n"/>
      <c r="C295" s="436" t="inlineStr">
        <is>
          <t>Total COGs</t>
        </is>
      </c>
      <c r="D295" s="397" t="n"/>
      <c r="E295" s="396">
        <f>"thsd</f>
        <v/>
      </c>
      <c r="F295" s="375" t="inlineStr">
        <is>
          <t>+</t>
        </is>
      </c>
      <c r="G295" s="158" t="n">
        <v>72038.27925750682</v>
      </c>
      <c r="H295" s="158" t="n">
        <v>42143.05468245706</v>
      </c>
      <c r="I295" s="158" t="n">
        <v>66827.06766917292</v>
      </c>
      <c r="J295" s="400">
        <f>IFERROR((H295-I295),"N/A")</f>
        <v/>
      </c>
      <c r="K295" s="385">
        <f>IFERROR((H295-I295)/ABS(I295),"N/A")</f>
        <v/>
      </c>
      <c r="L295" s="400">
        <f>IFERROR((H295-G295),"N/A")</f>
        <v/>
      </c>
      <c r="M295" s="385">
        <f>IFERROR((H295-G295)/ABS(G295),"N/A")</f>
        <v/>
      </c>
      <c r="N295" s="158" t="n">
        <v>375405.6023600645</v>
      </c>
      <c r="O295" s="158" t="n">
        <v>322531.5644651228</v>
      </c>
      <c r="P295" s="158" t="n">
        <v>410393.984962406</v>
      </c>
      <c r="Q295" s="184">
        <f>IFERROR((O295-P295),"N/A")</f>
        <v/>
      </c>
      <c r="R295" s="385">
        <f>IFERROR((O295-P295)/ABS(P295),"N/A")</f>
        <v/>
      </c>
      <c r="S295" s="400">
        <f>IFERROR((O295-N295),"N/A")</f>
        <v/>
      </c>
      <c r="T295" s="385">
        <f>IFERROR((O295-N295)/ABS(N295),"N/A")</f>
        <v/>
      </c>
    </row>
    <row r="296" outlineLevel="1" ht="25.5" customFormat="1" customHeight="1" s="30">
      <c r="A296" s="373" t="n"/>
      <c r="B296" s="401" t="n"/>
      <c r="C296" s="401" t="inlineStr">
        <is>
          <t>Overseas revenue (for Entity location)</t>
        </is>
      </c>
      <c r="D296" s="401" t="n"/>
      <c r="E296" s="402">
        <f>"thsd</f>
        <v/>
      </c>
      <c r="F296" s="375" t="inlineStr">
        <is>
          <t>+</t>
        </is>
      </c>
      <c r="G296" s="403">
        <f>G297</f>
        <v/>
      </c>
      <c r="H296" s="403">
        <f>H297</f>
        <v/>
      </c>
      <c r="I296" s="403">
        <f>I297</f>
        <v/>
      </c>
      <c r="J296" s="403">
        <f>IFERROR((H296-I296),"N/A")</f>
        <v/>
      </c>
      <c r="K296" s="404">
        <f>IFERROR((H296-I296)/ABS(I296),"N/A")</f>
        <v/>
      </c>
      <c r="L296" s="403">
        <f>IFERROR((H296-G296),"N/A")</f>
        <v/>
      </c>
      <c r="M296" s="404">
        <f>IFERROR((H296-G296)/ABS(G296),"N/A")</f>
        <v/>
      </c>
      <c r="N296" s="403">
        <f>N297</f>
        <v/>
      </c>
      <c r="O296" s="403">
        <f>O297</f>
        <v/>
      </c>
      <c r="P296" s="403">
        <f>P297</f>
        <v/>
      </c>
      <c r="Q296" s="403">
        <f>IFERROR((O296-P296),"N/A")</f>
        <v/>
      </c>
      <c r="R296" s="405">
        <f>IFERROR((O296-P296)/ABS(P296),"N/A")</f>
        <v/>
      </c>
      <c r="S296" s="403">
        <f>IFERROR((O296-N296),"N/A")</f>
        <v/>
      </c>
      <c r="T296" s="405">
        <f>IFERROR((O296-N296)/ABS(N296),"N/A")</f>
        <v/>
      </c>
    </row>
    <row r="297" outlineLevel="1" ht="12.75" customFormat="1" customHeight="1" s="30">
      <c r="A297" s="373">
        <f>$C$296&amp;" "&amp;C297&amp;" Revenue"&amp;" "&amp; $C$289</f>
        <v/>
      </c>
      <c r="B297" s="395" t="n"/>
      <c r="C297" s="395">
        <f>C291</f>
        <v/>
      </c>
      <c r="D297" s="395">
        <f>D291</f>
        <v/>
      </c>
      <c r="E297" s="396">
        <f>"thsd</f>
        <v/>
      </c>
      <c r="F297" s="375" t="inlineStr">
        <is>
          <t>+</t>
        </is>
      </c>
      <c r="G297" s="158" t="n"/>
      <c r="H297" s="158" t="n"/>
      <c r="I297" s="158" t="n"/>
      <c r="J297" s="184">
        <f>IFERROR((H297-I297),"N/A")</f>
        <v/>
      </c>
      <c r="K297" s="384">
        <f>IFERROR((H297-I297)/ABS(I297),"N/A")</f>
        <v/>
      </c>
      <c r="L297" s="184">
        <f>IFERROR((H297-G297),"N/A")</f>
        <v/>
      </c>
      <c r="M297" s="384">
        <f>IFERROR((H297-G297)/ABS(G297),"N/A")</f>
        <v/>
      </c>
      <c r="N297" s="158" t="n"/>
      <c r="O297" s="158" t="n"/>
      <c r="P297" s="158" t="n"/>
      <c r="Q297" s="184">
        <f>IFERROR((O297-P297),"N/A")</f>
        <v/>
      </c>
      <c r="R297" s="385">
        <f>IFERROR((O297-P297)/ABS(P297),"N/A")</f>
        <v/>
      </c>
      <c r="S297" s="184">
        <f>IFERROR((O297-N297),"N/A")</f>
        <v/>
      </c>
      <c r="T297" s="385">
        <f>IFERROR((O297-N297)/ABS(N297),"N/A")</f>
        <v/>
      </c>
    </row>
    <row r="298" outlineLevel="1" ht="12.75" customFormat="1" customHeight="1" s="30">
      <c r="A298" s="373">
        <f>$C$296&amp;" "&amp;C297&amp;" "&amp;C298&amp;" "&amp; $C$289</f>
        <v/>
      </c>
      <c r="B298" s="397" t="n"/>
      <c r="C298" s="436" t="inlineStr">
        <is>
          <t>Sales volume</t>
        </is>
      </c>
      <c r="D298" s="436" t="n"/>
      <c r="E298" s="396" t="inlineStr">
        <is>
          <t>mln m3</t>
        </is>
      </c>
      <c r="F298" s="375" t="inlineStr">
        <is>
          <t>+</t>
        </is>
      </c>
      <c r="G298" s="158" t="n"/>
      <c r="H298" s="158" t="n"/>
      <c r="I298" s="158" t="n"/>
      <c r="J298" s="184">
        <f>IFERROR((H298-I298),"N/A")</f>
        <v/>
      </c>
      <c r="K298" s="384">
        <f>IFERROR((H298-I298)/ABS(I298),"N/A")</f>
        <v/>
      </c>
      <c r="L298" s="184">
        <f>IFERROR((H298-G298),"N/A")</f>
        <v/>
      </c>
      <c r="M298" s="384">
        <f>IFERROR((H298-G298)/ABS(G298),"N/A")</f>
        <v/>
      </c>
      <c r="N298" s="158" t="n"/>
      <c r="O298" s="158" t="n"/>
      <c r="P298" s="158" t="n"/>
      <c r="Q298" s="184">
        <f>IFERROR((O298-P298),"N/A")</f>
        <v/>
      </c>
      <c r="R298" s="385">
        <f>IFERROR((O298-P298)/ABS(P298),"N/A")</f>
        <v/>
      </c>
      <c r="S298" s="184">
        <f>IFERROR((O298-N298),"N/A")</f>
        <v/>
      </c>
      <c r="T298" s="385">
        <f>IFERROR((O298-N298)/ABS(N298),"N/A")</f>
        <v/>
      </c>
    </row>
    <row r="299" outlineLevel="1" ht="12.75" customFormat="1" customHeight="1" s="30">
      <c r="A299" s="373">
        <f>$C$296&amp;" "&amp;C297&amp;" "&amp;C299&amp;" "&amp; $C$289</f>
        <v/>
      </c>
      <c r="B299" s="397" t="n"/>
      <c r="C299" s="436" t="inlineStr">
        <is>
          <t>Price</t>
        </is>
      </c>
      <c r="D299" s="436" t="inlineStr">
        <is>
          <t>Qiyməti</t>
        </is>
      </c>
      <c r="E299" s="396">
        <f>$D$9&amp;"</f>
        <v/>
      </c>
      <c r="F299" s="375" t="inlineStr">
        <is>
          <t>+</t>
        </is>
      </c>
      <c r="G299" s="184">
        <f>IF(G298=0,0,IFERROR(G297/G298,"N/A"))</f>
        <v/>
      </c>
      <c r="H299" s="184">
        <f>IF(H298=0,0,IFERROR(H297/H298,"N/A"))</f>
        <v/>
      </c>
      <c r="I299" s="184">
        <f>IF(I298=0,0,IFERROR(I297/I298,"N/A"))</f>
        <v/>
      </c>
      <c r="J299" s="184">
        <f>IFERROR((H299-I299),"N/A")</f>
        <v/>
      </c>
      <c r="K299" s="384">
        <f>IFERROR((H299-I299)/ABS(I299),"N/A")</f>
        <v/>
      </c>
      <c r="L299" s="184">
        <f>IFERROR((H299-G299),"N/A")</f>
        <v/>
      </c>
      <c r="M299" s="384">
        <f>IFERROR((H299-G299)/ABS(G299),"N/A")</f>
        <v/>
      </c>
      <c r="N299" s="184">
        <f>IF(N298=0,0,IFERROR(N297/N298,"N/A"))</f>
        <v/>
      </c>
      <c r="O299" s="184">
        <f>IF(O298=0,0,IFERROR(O297/O298,"N/A"))</f>
        <v/>
      </c>
      <c r="P299" s="184">
        <f>IF(P298=0,0,IFERROR(P297/P298,"N/A"))</f>
        <v/>
      </c>
      <c r="Q299" s="184">
        <f>IFERROR((O299-P299),"N/A")</f>
        <v/>
      </c>
      <c r="R299" s="385">
        <f>IFERROR((O299-P299)/ABS(P299),"N/A")</f>
        <v/>
      </c>
      <c r="S299" s="184">
        <f>IFERROR((O299-N299),"N/A")</f>
        <v/>
      </c>
      <c r="T299" s="385">
        <f>IFERROR((O299-N299)/ABS(N299),"N/A")</f>
        <v/>
      </c>
    </row>
    <row r="300" outlineLevel="1" ht="12.75" customFormat="1" customHeight="1" s="30">
      <c r="A300" s="373">
        <f>$C$296&amp;" "&amp;C297&amp;" "&amp;C300&amp;" "&amp; $C$289</f>
        <v/>
      </c>
      <c r="B300" s="397" t="n"/>
      <c r="C300" s="436" t="inlineStr">
        <is>
          <t>COGs</t>
        </is>
      </c>
      <c r="D300" s="397" t="n"/>
      <c r="E300" s="396">
        <f>$D$9&amp;"</f>
        <v/>
      </c>
      <c r="F300" s="375" t="inlineStr">
        <is>
          <t>+</t>
        </is>
      </c>
      <c r="G300" s="399">
        <f>IF(G298=0,0,IFERROR(G301/G298,"N/A"))</f>
        <v/>
      </c>
      <c r="H300" s="399">
        <f>IF(H298=0,0,IFERROR(H301/H298,"N/A"))</f>
        <v/>
      </c>
      <c r="I300" s="399">
        <f>IF(I298=0,0,IFERROR(I301/I298,"N/A"))</f>
        <v/>
      </c>
      <c r="J300" s="400">
        <f>IFERROR((H300-I300),"N/A")</f>
        <v/>
      </c>
      <c r="K300" s="385">
        <f>IFERROR((H300-I300)/ABS(I300),"N/A")</f>
        <v/>
      </c>
      <c r="L300" s="400">
        <f>IFERROR((H300-G300),"N/A")</f>
        <v/>
      </c>
      <c r="M300" s="385">
        <f>IFERROR((H300-G300)/ABS(G300),"N/A")</f>
        <v/>
      </c>
      <c r="N300" s="399">
        <f>IF(N298=0,0,IFERROR(N301/N298,"N/A"))</f>
        <v/>
      </c>
      <c r="O300" s="399">
        <f>IF(O298=0,0,IFERROR(O301/O298,"N/A"))</f>
        <v/>
      </c>
      <c r="P300" s="399">
        <f>IF(P298=0,0,IFERROR(P301/P298,"N/A"))</f>
        <v/>
      </c>
      <c r="Q300" s="184">
        <f>IFERROR((O300-P300),"N/A")</f>
        <v/>
      </c>
      <c r="R300" s="385">
        <f>IFERROR((O300-P300)/ABS(P300),"N/A")</f>
        <v/>
      </c>
      <c r="S300" s="400">
        <f>IFERROR((O300-N300),"N/A")</f>
        <v/>
      </c>
      <c r="T300" s="385">
        <f>IFERROR((O300-N300)/ABS(N300),"N/A")</f>
        <v/>
      </c>
    </row>
    <row r="301" outlineLevel="1" ht="12.75" customFormat="1" customHeight="1" s="30">
      <c r="A301" s="373" t="n"/>
      <c r="B301" s="397" t="n"/>
      <c r="C301" s="436" t="inlineStr">
        <is>
          <t>Total COGs</t>
        </is>
      </c>
      <c r="D301" s="397" t="n"/>
      <c r="E301" s="396">
        <f>"thsd</f>
        <v/>
      </c>
      <c r="F301" s="375" t="inlineStr">
        <is>
          <t>+</t>
        </is>
      </c>
      <c r="G301" s="158" t="n"/>
      <c r="H301" s="158" t="n"/>
      <c r="I301" s="158" t="n"/>
      <c r="J301" s="400">
        <f>IFERROR((H301-I301),"N/A")</f>
        <v/>
      </c>
      <c r="K301" s="385">
        <f>IFERROR((H301-I301)/ABS(I301),"N/A")</f>
        <v/>
      </c>
      <c r="L301" s="400">
        <f>IFERROR((H301-G301),"N/A")</f>
        <v/>
      </c>
      <c r="M301" s="385">
        <f>IFERROR((H301-G301)/ABS(G301),"N/A")</f>
        <v/>
      </c>
      <c r="N301" s="158" t="n"/>
      <c r="O301" s="158" t="n"/>
      <c r="P301" s="158" t="n"/>
      <c r="Q301" s="184">
        <f>IFERROR((O301-P301),"N/A")</f>
        <v/>
      </c>
      <c r="R301" s="385">
        <f>IFERROR((O301-P301)/ABS(P301),"N/A")</f>
        <v/>
      </c>
      <c r="S301" s="400">
        <f>IFERROR((O301-N301),"N/A")</f>
        <v/>
      </c>
      <c r="T301" s="385">
        <f>IFERROR((O301-N301)/ABS(N301),"N/A")</f>
        <v/>
      </c>
    </row>
    <row r="302" ht="15" customFormat="1" customHeight="1" s="30">
      <c r="A302" s="373" t="n"/>
      <c r="B302" s="386" t="n"/>
      <c r="C302" s="414" t="inlineStr">
        <is>
          <t>Other type of products</t>
        </is>
      </c>
      <c r="D302" s="414" t="n"/>
      <c r="E302" s="375">
        <f>"thsd</f>
        <v/>
      </c>
      <c r="F302" s="375" t="inlineStr">
        <is>
          <t>+</t>
        </is>
      </c>
      <c r="G302" s="376">
        <f>SUM(G303,G305)</f>
        <v/>
      </c>
      <c r="H302" s="376">
        <f>SUM(H303,H305)</f>
        <v/>
      </c>
      <c r="I302" s="376">
        <f>SUM(I303,I305)</f>
        <v/>
      </c>
      <c r="J302" s="376">
        <f>IFERROR((H302-I302),"N/A")</f>
        <v/>
      </c>
      <c r="K302" s="388">
        <f>IFERROR((H302-I302)/ABS(I302),"N/A")</f>
        <v/>
      </c>
      <c r="L302" s="376">
        <f>IFERROR((H302-G302),"N/A")</f>
        <v/>
      </c>
      <c r="M302" s="388">
        <f>IFERROR((H302-G302)/ABS(G302),"N/A")</f>
        <v/>
      </c>
      <c r="N302" s="376">
        <f>SUM(N303,N305)</f>
        <v/>
      </c>
      <c r="O302" s="376">
        <f>SUM(O303,O305)</f>
        <v/>
      </c>
      <c r="P302" s="376">
        <f>SUM(P303,P305)</f>
        <v/>
      </c>
      <c r="Q302" s="376">
        <f>IFERROR((O302-P302),"N/A")</f>
        <v/>
      </c>
      <c r="R302" s="389">
        <f>IFERROR((O302-P302)/ABS(P302),"N/A")</f>
        <v/>
      </c>
      <c r="S302" s="376">
        <f>IFERROR((O302-N302),"N/A")</f>
        <v/>
      </c>
      <c r="T302" s="389">
        <f>IFERROR((O302-N302)/ABS(N302),"N/A")</f>
        <v/>
      </c>
    </row>
    <row r="303" outlineLevel="1" ht="13.35" customFormat="1" customHeight="1" s="30">
      <c r="A303" s="373" t="n"/>
      <c r="B303" s="395" t="n"/>
      <c r="C303" s="407" t="inlineStr">
        <is>
          <t>Raw materails &amp; spare parts</t>
        </is>
      </c>
      <c r="D303" s="395" t="n"/>
      <c r="E303" s="396">
        <f>"thsd</f>
        <v/>
      </c>
      <c r="F303" s="375" t="inlineStr">
        <is>
          <t>+</t>
        </is>
      </c>
      <c r="G303" s="158" t="n"/>
      <c r="H303" s="158" t="n"/>
      <c r="I303" s="158" t="n"/>
      <c r="J303" s="184">
        <f>IFERROR((H303-I303),"N/A")</f>
        <v/>
      </c>
      <c r="K303" s="384">
        <f>IFERROR((H303-I303)/ABS(I303),"N/A")</f>
        <v/>
      </c>
      <c r="L303" s="184">
        <f>IFERROR((H303-G303),"N/A")</f>
        <v/>
      </c>
      <c r="M303" s="384">
        <f>IFERROR((H303-G303)/ABS(G303),"N/A")</f>
        <v/>
      </c>
      <c r="N303" s="158" t="n"/>
      <c r="O303" s="158" t="n"/>
      <c r="P303" s="158" t="n"/>
      <c r="Q303" s="184">
        <f>IFERROR((O303-P303),"N/A")</f>
        <v/>
      </c>
      <c r="R303" s="385">
        <f>IFERROR((O303-P303)/ABS(P303),"N/A")</f>
        <v/>
      </c>
      <c r="S303" s="184">
        <f>IFERROR((O303-N303),"N/A")</f>
        <v/>
      </c>
      <c r="T303" s="385">
        <f>IFERROR((O303-N303)/ABS(N303),"N/A")</f>
        <v/>
      </c>
    </row>
    <row r="304" outlineLevel="1" ht="12.75" customFormat="1" customHeight="1" s="30">
      <c r="A304" s="373" t="n"/>
      <c r="B304" s="397" t="n"/>
      <c r="C304" s="436" t="inlineStr">
        <is>
          <t>COGs</t>
        </is>
      </c>
      <c r="D304" s="436" t="n"/>
      <c r="E304" s="396">
        <f>"thsd</f>
        <v/>
      </c>
      <c r="F304" s="375" t="inlineStr">
        <is>
          <t>+</t>
        </is>
      </c>
      <c r="G304" s="158" t="n"/>
      <c r="H304" s="158" t="n"/>
      <c r="I304" s="158" t="n"/>
      <c r="J304" s="184">
        <f>IFERROR((H304-I304),"N/A")</f>
        <v/>
      </c>
      <c r="K304" s="384">
        <f>IFERROR((H304-I304)/ABS(I304),"N/A")</f>
        <v/>
      </c>
      <c r="L304" s="184">
        <f>IFERROR((H304-G304),"N/A")</f>
        <v/>
      </c>
      <c r="M304" s="384">
        <f>IFERROR((H304-G304)/ABS(G304),"N/A")</f>
        <v/>
      </c>
      <c r="N304" s="158" t="n"/>
      <c r="O304" s="158" t="n"/>
      <c r="P304" s="158" t="n"/>
      <c r="Q304" s="184">
        <f>IFERROR((O304-P304),"N/A")</f>
        <v/>
      </c>
      <c r="R304" s="385">
        <f>IFERROR((O304-P304)/ABS(P304),"N/A")</f>
        <v/>
      </c>
      <c r="S304" s="184">
        <f>IFERROR((O304-N304),"N/A")</f>
        <v/>
      </c>
      <c r="T304" s="385">
        <f>IFERROR((O304-N304)/ABS(N304),"N/A")</f>
        <v/>
      </c>
    </row>
    <row r="305" outlineLevel="1" ht="12.75" customFormat="1" customHeight="1" s="30">
      <c r="A305" s="373" t="n"/>
      <c r="B305" s="395" t="n"/>
      <c r="C305" s="407" t="inlineStr">
        <is>
          <t>Other products</t>
        </is>
      </c>
      <c r="D305" s="395" t="n"/>
      <c r="E305" s="396">
        <f>"thsd</f>
        <v/>
      </c>
      <c r="F305" s="375" t="inlineStr">
        <is>
          <t>+</t>
        </is>
      </c>
      <c r="G305" s="158" t="n"/>
      <c r="H305" s="158" t="n"/>
      <c r="I305" s="158" t="n"/>
      <c r="J305" s="184">
        <f>IFERROR((H305-I305),"N/A")</f>
        <v/>
      </c>
      <c r="K305" s="384">
        <f>IFERROR((H305-I305)/ABS(I305),"N/A")</f>
        <v/>
      </c>
      <c r="L305" s="184">
        <f>IFERROR((H305-G305),"N/A")</f>
        <v/>
      </c>
      <c r="M305" s="384">
        <f>IFERROR((H305-G305)/ABS(G305),"N/A")</f>
        <v/>
      </c>
      <c r="N305" s="158" t="n"/>
      <c r="O305" s="158" t="n"/>
      <c r="P305" s="158" t="n"/>
      <c r="Q305" s="184">
        <f>IFERROR((O305-P305),"N/A")</f>
        <v/>
      </c>
      <c r="R305" s="385">
        <f>IFERROR((O305-P305)/ABS(P305),"N/A")</f>
        <v/>
      </c>
      <c r="S305" s="184">
        <f>IFERROR((O305-N305),"N/A")</f>
        <v/>
      </c>
      <c r="T305" s="385">
        <f>IFERROR((O305-N305)/ABS(N305),"N/A")</f>
        <v/>
      </c>
    </row>
    <row r="306" outlineLevel="1" ht="12.75" customFormat="1" customHeight="1" s="30">
      <c r="A306" s="373" t="n"/>
      <c r="B306" s="397" t="n"/>
      <c r="C306" s="436" t="inlineStr">
        <is>
          <t>COGs</t>
        </is>
      </c>
      <c r="D306" s="436" t="n"/>
      <c r="E306" s="396">
        <f>"thsd</f>
        <v/>
      </c>
      <c r="F306" s="375" t="inlineStr">
        <is>
          <t>+</t>
        </is>
      </c>
      <c r="G306" s="158" t="n"/>
      <c r="H306" s="158" t="n"/>
      <c r="I306" s="158" t="n"/>
      <c r="J306" s="184">
        <f>IFERROR((H306-I306),"N/A")</f>
        <v/>
      </c>
      <c r="K306" s="384">
        <f>IFERROR((H306-I306)/ABS(I306),"N/A")</f>
        <v/>
      </c>
      <c r="L306" s="184">
        <f>IFERROR((H306-G306),"N/A")</f>
        <v/>
      </c>
      <c r="M306" s="384">
        <f>IFERROR((H306-G306)/ABS(G306),"N/A")</f>
        <v/>
      </c>
      <c r="N306" s="158" t="n"/>
      <c r="O306" s="158" t="n"/>
      <c r="P306" s="158" t="n"/>
      <c r="Q306" s="184">
        <f>IFERROR((O306-P306),"N/A")</f>
        <v/>
      </c>
      <c r="R306" s="385">
        <f>IFERROR((O306-P306)/ABS(P306),"N/A")</f>
        <v/>
      </c>
      <c r="S306" s="184">
        <f>IFERROR((O306-N306),"N/A")</f>
        <v/>
      </c>
      <c r="T306" s="385">
        <f>IFERROR((O306-N306)/ABS(N306),"N/A")</f>
        <v/>
      </c>
    </row>
    <row r="307">
      <c r="J307" s="352" t="n"/>
      <c r="K307" s="355" t="n"/>
      <c r="L307" s="356" t="n"/>
    </row>
    <row r="308"/>
    <row r="309"/>
    <row r="310"/>
    <row r="311"/>
    <row r="312">
      <c r="G312" s="353" t="n"/>
      <c r="H312" s="353" t="n"/>
      <c r="I312" s="353" t="n"/>
      <c r="J312" s="353" t="n"/>
      <c r="K312" s="353" t="n"/>
      <c r="L312" s="353" t="n"/>
      <c r="M312" s="353" t="n"/>
      <c r="N312" s="353" t="n"/>
      <c r="O312" s="353" t="n"/>
      <c r="P312" s="353" t="n"/>
      <c r="Q312" s="353" t="n"/>
      <c r="R312" s="353" t="n"/>
      <c r="S312" s="353" t="n"/>
      <c r="T312" s="353" t="n"/>
    </row>
    <row r="313" ht="15.75" customHeight="1">
      <c r="G313" s="353" t="n"/>
      <c r="H313" s="353" t="n"/>
      <c r="I313" s="353" t="n"/>
      <c r="J313" s="353" t="n"/>
      <c r="K313" s="353" t="n"/>
      <c r="L313" s="353" t="n"/>
      <c r="M313" s="353" t="n"/>
      <c r="N313" s="353" t="n"/>
      <c r="O313" s="353" t="n"/>
      <c r="P313" s="353" t="n"/>
      <c r="Q313" s="353" t="n"/>
      <c r="R313" s="353" t="n"/>
      <c r="S313" s="353" t="n"/>
      <c r="T313" s="353" t="n"/>
    </row>
  </sheetData>
  <mergeCells count="21">
    <mergeCell ref="N13:T13"/>
    <mergeCell ref="B11:B12"/>
    <mergeCell ref="D11:D12"/>
    <mergeCell ref="H11:H12"/>
    <mergeCell ref="P11:P12"/>
    <mergeCell ref="S11:T11"/>
    <mergeCell ref="C11:C12"/>
    <mergeCell ref="E11:E12"/>
    <mergeCell ref="J11:K11"/>
    <mergeCell ref="O11:O12"/>
    <mergeCell ref="D9:E9"/>
    <mergeCell ref="F11:F12"/>
    <mergeCell ref="G10:M10"/>
    <mergeCell ref="N11:N12"/>
    <mergeCell ref="D8:E8"/>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97"/>
  <sheetViews>
    <sheetView topLeftCell="C1" workbookViewId="0">
      <selection activeCell="A1" sqref="A1:XFD1048576"/>
    </sheetView>
  </sheetViews>
  <sheetFormatPr baseColWidth="8" defaultColWidth="8.5703125" defaultRowHeight="14.25" outlineLevelRow="1"/>
  <cols>
    <col hidden="1" width="6.42578125" customWidth="1" style="351" min="1" max="1"/>
    <col hidden="1" width="14.42578125" customWidth="1" style="352" min="2" max="2"/>
    <col width="36.5703125" customWidth="1" style="352" min="3" max="3"/>
    <col width="31.42578125" customWidth="1" style="352" min="4" max="4"/>
    <col width="21.5703125" customWidth="1" style="353" min="5" max="5"/>
    <col width="11.5703125" customWidth="1" style="353" min="6" max="6"/>
    <col width="21" customWidth="1" style="354" min="7" max="9"/>
    <col width="26.85546875" customWidth="1" style="489" min="10" max="10"/>
    <col width="26.85546875" customWidth="1" style="356" min="11" max="13"/>
    <col width="21.42578125" customWidth="1" style="352" min="14" max="16"/>
    <col width="34.42578125" customWidth="1" style="352" min="17" max="20"/>
    <col width="8.5703125" customWidth="1" style="352" min="21" max="16384"/>
  </cols>
  <sheetData>
    <row r="1">
      <c r="J1" s="489" t="n"/>
    </row>
    <row r="2" ht="18" customHeight="1">
      <c r="D2" s="447" t="inlineStr">
        <is>
          <t>Guidance</t>
        </is>
      </c>
      <c r="H2" s="419" t="n"/>
      <c r="J2" s="489" t="n"/>
    </row>
    <row r="3">
      <c r="J3" s="489" t="n"/>
    </row>
    <row r="4">
      <c r="J4" s="489" t="n"/>
    </row>
    <row r="5">
      <c r="D5" s="353" t="n"/>
      <c r="J5" s="489" t="n"/>
    </row>
    <row r="6" ht="39" customHeight="1">
      <c r="D6" s="353" t="n"/>
      <c r="J6" s="489" t="n"/>
    </row>
    <row r="7" ht="15" customHeight="1">
      <c r="B7" s="420" t="n"/>
      <c r="E7" s="352" t="n"/>
      <c r="F7" s="352" t="n"/>
      <c r="J7" s="489" t="n"/>
    </row>
    <row r="8" ht="15.75" customHeight="1">
      <c r="B8" s="420" t="n"/>
      <c r="C8" s="362" t="inlineStr">
        <is>
          <t>Entity Name</t>
        </is>
      </c>
      <c r="D8" s="743">
        <f>IF([1]Segment_map!$D$4=0,"THE COMPANY HAS NOT BEEN PICKED",[1]Segment_map!$D$4)</f>
        <v/>
      </c>
      <c r="E8" s="862" t="n"/>
      <c r="F8" s="421" t="n"/>
      <c r="J8" s="489" t="n"/>
    </row>
    <row r="9" ht="20.1" customHeight="1">
      <c r="B9" s="420" t="n"/>
      <c r="C9" s="362" t="inlineStr">
        <is>
          <t>Currency</t>
        </is>
      </c>
      <c r="D9" s="744">
        <f>IF([1]Segment_map!$J$4="","CURRENCY HAS NOT BEEN PICKED",[1]Segment_map!$J$4)</f>
        <v/>
      </c>
      <c r="E9" s="872" t="n"/>
      <c r="F9" s="421" t="n"/>
      <c r="G9" s="422" t="n"/>
      <c r="I9" s="451" t="n"/>
      <c r="J9" s="489" t="n"/>
    </row>
    <row r="10" ht="20.1" customHeight="1">
      <c r="B10" s="420" t="n"/>
      <c r="C10" s="421" t="n"/>
      <c r="D10" s="421" t="n"/>
      <c r="E10" s="421" t="n"/>
      <c r="F10" s="421" t="n"/>
      <c r="I10" s="451" t="n"/>
      <c r="J10" s="489" t="n"/>
    </row>
    <row r="11" ht="20.1" customFormat="1" customHeight="1" s="424">
      <c r="B11" s="425" t="n"/>
      <c r="C11" s="228" t="n"/>
      <c r="D11" s="228" t="n"/>
      <c r="E11" s="228" t="n"/>
      <c r="F11" s="228" t="n"/>
      <c r="G11" s="760">
        <f>'[1]P&amp;L'!$E$6</f>
        <v/>
      </c>
      <c r="N11" s="761">
        <f>'[1]P&amp;L'!P6</f>
        <v/>
      </c>
      <c r="O11" s="888" t="n"/>
      <c r="P11" s="888" t="n"/>
      <c r="Q11" s="888" t="n"/>
      <c r="R11" s="888" t="n"/>
      <c r="S11" s="888" t="n"/>
      <c r="T11" s="888" t="n"/>
    </row>
    <row r="12" ht="35.1" customHeight="1">
      <c r="B12" s="759" t="inlineStr">
        <is>
          <t>Code</t>
        </is>
      </c>
      <c r="C12" s="759" t="inlineStr">
        <is>
          <t>Line item</t>
        </is>
      </c>
      <c r="D12" s="759" t="inlineStr">
        <is>
          <t>Sətir elementi</t>
        </is>
      </c>
      <c r="E12" s="762" t="inlineStr">
        <is>
          <t>Units of measurement</t>
        </is>
      </c>
      <c r="F12" s="762" t="inlineStr">
        <is>
          <t>+/-</t>
        </is>
      </c>
      <c r="G12" s="715">
        <f>'[1]P&amp;L'!E7</f>
        <v/>
      </c>
      <c r="H12" s="715">
        <f>'[1]P&amp;L'!F7</f>
        <v/>
      </c>
      <c r="I12" s="715">
        <f>'[1]P&amp;L'!G7</f>
        <v/>
      </c>
      <c r="J12" s="715" t="inlineStr">
        <is>
          <t>Deviations actual to plan of current period</t>
        </is>
      </c>
      <c r="K12" s="862" t="n"/>
      <c r="L12" s="715" t="inlineStr">
        <is>
          <t>Deviations of current from previous period</t>
        </is>
      </c>
      <c r="M12" s="862" t="n"/>
      <c r="N12" s="722">
        <f>'[1]P&amp;L'!P7</f>
        <v/>
      </c>
      <c r="O12" s="722">
        <f>'[1]P&amp;L'!Q7</f>
        <v/>
      </c>
      <c r="P12" s="722">
        <f>'[1]P&amp;L'!R7</f>
        <v/>
      </c>
      <c r="Q12" s="722">
        <f>'[1]P&amp;L'!S7</f>
        <v/>
      </c>
      <c r="R12" s="862" t="n"/>
      <c r="S12" s="722">
        <f>'[1]P&amp;L'!W7</f>
        <v/>
      </c>
      <c r="T12" s="862" t="n"/>
    </row>
    <row r="13" ht="102.6" customHeight="1">
      <c r="B13" s="864" t="n"/>
      <c r="C13" s="864" t="n"/>
      <c r="D13" s="864" t="n"/>
      <c r="E13" s="864" t="n"/>
      <c r="F13" s="864" t="n"/>
      <c r="G13" s="864" t="n"/>
      <c r="H13" s="864" t="n"/>
      <c r="I13" s="864" t="n"/>
      <c r="J13" s="754">
        <f>'[1]P&amp;L'!H8</f>
        <v/>
      </c>
      <c r="K13" s="754">
        <f>'[1]P&amp;L'!I8</f>
        <v/>
      </c>
      <c r="L13" s="754">
        <f>'[1]P&amp;L'!L8</f>
        <v/>
      </c>
      <c r="M13" s="754">
        <f>'[1]P&amp;L'!M8</f>
        <v/>
      </c>
      <c r="N13" s="864" t="n"/>
      <c r="O13" s="864" t="n"/>
      <c r="P13" s="864" t="n"/>
      <c r="Q13" s="121">
        <f>'[1]P&amp;L'!S8</f>
        <v/>
      </c>
      <c r="R13" s="121">
        <f>'[1]P&amp;L'!T8</f>
        <v/>
      </c>
      <c r="S13" s="122">
        <f>'[1]P&amp;L'!W8</f>
        <v/>
      </c>
      <c r="T13" s="122">
        <f>'[1]P&amp;L'!X8</f>
        <v/>
      </c>
    </row>
    <row r="14" ht="14.85" customHeight="1">
      <c r="B14" s="426" t="n"/>
      <c r="C14" s="759" t="n"/>
      <c r="D14" s="759" t="n"/>
      <c r="E14" s="762" t="n"/>
      <c r="F14" s="762" t="n"/>
      <c r="G14" s="758">
        <f>'[1]P&amp;L'!E9</f>
        <v/>
      </c>
      <c r="H14" s="861" t="n"/>
      <c r="I14" s="861" t="n"/>
      <c r="J14" s="861" t="n"/>
      <c r="K14" s="861" t="n"/>
      <c r="L14" s="861" t="n"/>
      <c r="M14" s="862" t="n"/>
      <c r="N14" s="759">
        <f>'[1]P&amp;L'!P9</f>
        <v/>
      </c>
      <c r="O14" s="861" t="n"/>
      <c r="P14" s="861" t="n"/>
      <c r="Q14" s="861" t="n"/>
      <c r="R14" s="861" t="n"/>
      <c r="S14" s="861" t="n"/>
      <c r="T14" s="862" t="n"/>
    </row>
    <row r="15" customFormat="1" s="354">
      <c r="A15" s="429" t="n"/>
      <c r="B15" s="372" t="n">
        <v>1</v>
      </c>
      <c r="C15" s="372" t="n">
        <v>2</v>
      </c>
      <c r="D15" s="372" t="n">
        <v>3</v>
      </c>
      <c r="E15" s="372" t="n">
        <v>4</v>
      </c>
      <c r="F15" s="372">
        <f>E15+1</f>
        <v/>
      </c>
      <c r="G15" s="372">
        <f>F15+1</f>
        <v/>
      </c>
      <c r="H15" s="372">
        <f>G15+1</f>
        <v/>
      </c>
      <c r="I15" s="372">
        <f>H15+1</f>
        <v/>
      </c>
      <c r="J15" s="430">
        <f>I15+1</f>
        <v/>
      </c>
      <c r="K15" s="372">
        <f>J15+1</f>
        <v/>
      </c>
      <c r="L15" s="372">
        <f>K15+1</f>
        <v/>
      </c>
      <c r="M15" s="430">
        <f>L15+1</f>
        <v/>
      </c>
      <c r="N15" s="430">
        <f>M15+1</f>
        <v/>
      </c>
      <c r="O15" s="372">
        <f>N15+1</f>
        <v/>
      </c>
      <c r="P15" s="430">
        <f>O15+1</f>
        <v/>
      </c>
      <c r="Q15" s="372">
        <f>P15+1</f>
        <v/>
      </c>
      <c r="R15" s="430">
        <f>Q15+1</f>
        <v/>
      </c>
      <c r="S15" s="430">
        <f>R15+1</f>
        <v/>
      </c>
      <c r="T15" s="372">
        <f>S15+1</f>
        <v/>
      </c>
    </row>
    <row r="16" ht="25.5" customHeight="1">
      <c r="B16" s="374" t="inlineStr">
        <is>
          <t>01.A</t>
        </is>
      </c>
      <c r="C16" s="374" t="inlineStr">
        <is>
          <t xml:space="preserve">Products revenue </t>
        </is>
      </c>
      <c r="D16" s="374" t="n"/>
      <c r="E16" s="375">
        <f>"thsd</f>
        <v/>
      </c>
      <c r="F16" s="375" t="inlineStr">
        <is>
          <t>+</t>
        </is>
      </c>
      <c r="G16" s="431">
        <f>G18+G51+G84</f>
        <v/>
      </c>
      <c r="H16" s="431">
        <f>H18+H51+H84</f>
        <v/>
      </c>
      <c r="I16" s="431">
        <f>I18+I51+I84</f>
        <v/>
      </c>
      <c r="J16" s="143">
        <f>IFERROR((H16-I16),"N/A")</f>
        <v/>
      </c>
      <c r="K16" s="380">
        <f>IFERROR((H16-I16)/ABS(I16),"N/A")</f>
        <v/>
      </c>
      <c r="L16" s="143">
        <f>IFERROR((H16-G16),"N/A")</f>
        <v/>
      </c>
      <c r="M16" s="380">
        <f>IFERROR((H16-G16)/ABS(G16),"N/A")</f>
        <v/>
      </c>
      <c r="N16" s="376">
        <f>N18+N51+N84</f>
        <v/>
      </c>
      <c r="O16" s="376">
        <f>O18+O51+O84</f>
        <v/>
      </c>
      <c r="P16" s="376">
        <f>P18+P51+P84</f>
        <v/>
      </c>
      <c r="Q16" s="376">
        <f>IFERROR((O16-P16),"N/A")</f>
        <v/>
      </c>
      <c r="R16" s="380">
        <f>IFERROR((O16-P16)/ABS(P16),"N/A")</f>
        <v/>
      </c>
      <c r="S16" s="143">
        <f>IFERROR((O16-N16),"N/A")</f>
        <v/>
      </c>
      <c r="T16" s="380">
        <f>IFERROR((O16-N16)/ABS(N16),"N/A")</f>
        <v/>
      </c>
    </row>
    <row r="17">
      <c r="B17" s="397" t="n"/>
      <c r="C17" s="397" t="inlineStr">
        <is>
          <t>COGS</t>
        </is>
      </c>
      <c r="D17" s="397" t="n"/>
      <c r="E17" s="396">
        <f>"thsd</f>
        <v/>
      </c>
      <c r="F17" s="375" t="inlineStr">
        <is>
          <t>+</t>
        </is>
      </c>
      <c r="G17" s="160">
        <f>SUM(G24,G29,G40,G34,G45,G50,G57,G62,G67,G73,G78,G83,G86,G88,G90)</f>
        <v/>
      </c>
      <c r="H17" s="160">
        <f>SUM(H24,H29,H40,H34,H45,H50,H57,H62,H67,H73,H78,H83,H86,H88,H90)</f>
        <v/>
      </c>
      <c r="I17" s="160">
        <f>SUM(I24,I29,I40,I34,I45,I50,I57,I62,I67,I73,I78,I83,I86,I88,I90)</f>
        <v/>
      </c>
      <c r="J17" s="400">
        <f>IFERROR((H17-I17),"N/A")</f>
        <v/>
      </c>
      <c r="K17" s="385">
        <f>IFERROR((H17-I17)/ABS(I17),"N/A")</f>
        <v/>
      </c>
      <c r="L17" s="400">
        <f>IFERROR((H17-G17),"N/A")</f>
        <v/>
      </c>
      <c r="M17" s="385">
        <f>IFERROR((H17-G17)/ABS(G17),"N/A")</f>
        <v/>
      </c>
      <c r="N17" s="160">
        <f>SUM(N24,N29,N40,N34,N45,N50,N57,N62,N67,N73,N78,N83,N86,N88,N90)</f>
        <v/>
      </c>
      <c r="O17" s="160">
        <f>SUM(O24,O29,O40,O34,O45,O50,O57,O62,O67,O73,O78,O83,O86,O88,O90)</f>
        <v/>
      </c>
      <c r="P17" s="160">
        <f>SUM(P24,P29,P40,P34,P45,P50,P57,P62,P67,P73,P78,P83,P86,P88,P90)</f>
        <v/>
      </c>
      <c r="Q17" s="184">
        <f>IFERROR((O17-P17),"N/A")</f>
        <v/>
      </c>
      <c r="R17" s="385">
        <f>IFERROR((O17-P17)/ABS(P17),"N/A")</f>
        <v/>
      </c>
      <c r="S17" s="400">
        <f>IFERROR((O17-N17),"N/A")</f>
        <v/>
      </c>
      <c r="T17" s="385">
        <f>IFERROR((O17-N17)/ABS(N17),"N/A")</f>
        <v/>
      </c>
    </row>
    <row r="18">
      <c r="B18" s="386" t="n"/>
      <c r="C18" s="386" t="inlineStr">
        <is>
          <t>Oil products, net</t>
        </is>
      </c>
      <c r="D18" s="386" t="n"/>
      <c r="E18" s="375">
        <f>"thsd</f>
        <v/>
      </c>
      <c r="F18" s="375" t="inlineStr">
        <is>
          <t>+</t>
        </is>
      </c>
      <c r="G18" s="431">
        <f>G19+G35</f>
        <v/>
      </c>
      <c r="H18" s="431">
        <f>H19+H35</f>
        <v/>
      </c>
      <c r="I18" s="431">
        <f>I19+I35</f>
        <v/>
      </c>
      <c r="J18" s="143">
        <f>IFERROR((H18-I18),"N/A")</f>
        <v/>
      </c>
      <c r="K18" s="380">
        <f>IFERROR((H18-I18)/ABS(I18),"N/A")</f>
        <v/>
      </c>
      <c r="L18" s="143">
        <f>IFERROR((H18-G18),"N/A")</f>
        <v/>
      </c>
      <c r="M18" s="380">
        <f>IFERROR((H18-G18)/ABS(G18),"N/A")</f>
        <v/>
      </c>
      <c r="N18" s="376">
        <f>N19+N35</f>
        <v/>
      </c>
      <c r="O18" s="376">
        <f>O19+O35</f>
        <v/>
      </c>
      <c r="P18" s="376">
        <f>P19+P35</f>
        <v/>
      </c>
      <c r="Q18" s="376">
        <f>IFERROR((O18-P18),"N/A")</f>
        <v/>
      </c>
      <c r="R18" s="380">
        <f>IFERROR((O18-P18)/ABS(P18),"N/A")</f>
        <v/>
      </c>
      <c r="S18" s="143">
        <f>IFERROR((O18-N18),"N/A")</f>
        <v/>
      </c>
      <c r="T18" s="380">
        <f>IFERROR((O18-N18)/ABS(N18),"N/A")</f>
        <v/>
      </c>
    </row>
    <row r="19" outlineLevel="1" ht="25.5" customHeight="1">
      <c r="B19" s="390" t="n"/>
      <c r="C19" s="390" t="inlineStr">
        <is>
          <t>Local revenue (for Entity location)</t>
        </is>
      </c>
      <c r="D19" s="390" t="n"/>
      <c r="E19" s="391">
        <f>"thsd</f>
        <v/>
      </c>
      <c r="F19" s="375" t="inlineStr">
        <is>
          <t>+</t>
        </is>
      </c>
      <c r="G19" s="432">
        <f>G20+G25+G30</f>
        <v/>
      </c>
      <c r="H19" s="432">
        <f>H20+H25+H30</f>
        <v/>
      </c>
      <c r="I19" s="432">
        <f>I20+I25+I30</f>
        <v/>
      </c>
      <c r="J19" s="433">
        <f>IFERROR((H19-I19),"N/A")</f>
        <v/>
      </c>
      <c r="K19" s="434">
        <f>IFERROR((H19-I19)/ABS(I19),"N/A")</f>
        <v/>
      </c>
      <c r="L19" s="433">
        <f>IFERROR((H19-G19),"N/A")</f>
        <v/>
      </c>
      <c r="M19" s="434">
        <f>IFERROR((H19-G19)/ABS(G19),"N/A")</f>
        <v/>
      </c>
      <c r="N19" s="392">
        <f>N20+N25+N30</f>
        <v/>
      </c>
      <c r="O19" s="392">
        <f>O20+O25+O30</f>
        <v/>
      </c>
      <c r="P19" s="392">
        <f>P20+P25+P30</f>
        <v/>
      </c>
      <c r="Q19" s="433">
        <f>IFERROR((O19-P19),"N/A")</f>
        <v/>
      </c>
      <c r="R19" s="434">
        <f>IFERROR((O19-P19)/ABS(P19),"N/A")</f>
        <v/>
      </c>
      <c r="S19" s="433">
        <f>IFERROR((O19-N19),"N/A")</f>
        <v/>
      </c>
      <c r="T19" s="434">
        <f>IFERROR((O19-N19)/ABS(N19),"N/A")</f>
        <v/>
      </c>
    </row>
    <row r="20" outlineLevel="1">
      <c r="A20" s="351">
        <f>$C$18&amp;" "&amp;$C$19&amp;" "&amp;C20&amp;" Revenue"</f>
        <v/>
      </c>
      <c r="B20" s="395" t="n"/>
      <c r="C20" s="406" t="inlineStr">
        <is>
          <t>Diesel fuel</t>
        </is>
      </c>
      <c r="D20" s="406" t="n"/>
      <c r="E20" s="396">
        <f>"thsd</f>
        <v/>
      </c>
      <c r="F20" s="375" t="inlineStr">
        <is>
          <t>+</t>
        </is>
      </c>
      <c r="G20" s="435" t="n">
        <v>5722.542400738382</v>
      </c>
      <c r="H20" s="435" t="n">
        <v>5736.829395093537</v>
      </c>
      <c r="I20" s="435" t="n">
        <v>5564.117647058823</v>
      </c>
      <c r="J20" s="400">
        <f>IFERROR((H20-I20),"N/A")</f>
        <v/>
      </c>
      <c r="K20" s="385">
        <f>IFERROR((H20-I20)/ABS(I20),"N/A")</f>
        <v/>
      </c>
      <c r="L20" s="400">
        <f>IFERROR((H20-G20),"N/A")</f>
        <v/>
      </c>
      <c r="M20" s="385">
        <f>IFERROR((H20-G20)/ABS(G20),"N/A")</f>
        <v/>
      </c>
      <c r="N20" s="435" t="n">
        <v>85305.61181413154</v>
      </c>
      <c r="O20" s="435" t="n">
        <v>61540.30806272355</v>
      </c>
      <c r="P20" s="435" t="n">
        <v>64202.35294117648</v>
      </c>
      <c r="Q20" s="184">
        <f>IFERROR((O20-P20),"N/A")</f>
        <v/>
      </c>
      <c r="R20" s="385">
        <f>IFERROR((O20-P20)/ABS(P20),"N/A")</f>
        <v/>
      </c>
      <c r="S20" s="400">
        <f>IFERROR((O20-N20),"N/A")</f>
        <v/>
      </c>
      <c r="T20" s="385">
        <f>IFERROR((O20-N20)/ABS(N20),"N/A")</f>
        <v/>
      </c>
    </row>
    <row r="21" outlineLevel="1">
      <c r="A21" s="351">
        <f>$C$18&amp;" "&amp;$C$19&amp;" "&amp;C20&amp;" "&amp;C21</f>
        <v/>
      </c>
      <c r="B21" s="397" t="n"/>
      <c r="C21" s="436" t="inlineStr">
        <is>
          <t>Sales volume</t>
        </is>
      </c>
      <c r="D21" s="436" t="n"/>
      <c r="E21" s="396" t="inlineStr">
        <is>
          <t>thsd</t>
        </is>
      </c>
      <c r="F21" s="375" t="inlineStr">
        <is>
          <t>+</t>
        </is>
      </c>
      <c r="G21" s="435" t="n">
        <v>5.10042467</v>
      </c>
      <c r="H21" s="435" t="n">
        <v>5.883338120000001</v>
      </c>
      <c r="I21" s="435" t="n">
        <v>6.886110011233412</v>
      </c>
      <c r="J21" s="400">
        <f>IFERROR((H21-I21),"N/A")</f>
        <v/>
      </c>
      <c r="K21" s="385">
        <f>IFERROR((H21-I21)/ABS(I21),"N/A")</f>
        <v/>
      </c>
      <c r="L21" s="400">
        <f>IFERROR((H21-G21),"N/A")</f>
        <v/>
      </c>
      <c r="M21" s="385">
        <f>IFERROR((H21-G21)/ABS(G21),"N/A")</f>
        <v/>
      </c>
      <c r="N21" s="435" t="n">
        <v>72.51459530999999</v>
      </c>
      <c r="O21" s="435" t="n">
        <v>65.704508366</v>
      </c>
      <c r="P21" s="435" t="n">
        <v>79.45708555255696</v>
      </c>
      <c r="Q21" s="184">
        <f>IFERROR((O21-P21),"N/A")</f>
        <v/>
      </c>
      <c r="R21" s="385">
        <f>IFERROR((O21-P21)/ABS(P21),"N/A")</f>
        <v/>
      </c>
      <c r="S21" s="400">
        <f>IFERROR((O21-N21),"N/A")</f>
        <v/>
      </c>
      <c r="T21" s="385">
        <f>IFERROR((O21-N21)/ABS(N21),"N/A")</f>
        <v/>
      </c>
    </row>
    <row r="22" outlineLevel="1">
      <c r="A22" s="351">
        <f>$C$18&amp;" "&amp;$C$19&amp;" "&amp;C20&amp;" "&amp;C22</f>
        <v/>
      </c>
      <c r="B22" s="397" t="n"/>
      <c r="C22" s="436" t="inlineStr">
        <is>
          <t>Price</t>
        </is>
      </c>
      <c r="D22" s="436" t="inlineStr">
        <is>
          <t>Qiyməti</t>
        </is>
      </c>
      <c r="E22" s="396">
        <f>$D$9&amp; "</f>
        <v/>
      </c>
      <c r="F22" s="375" t="inlineStr">
        <is>
          <t>+</t>
        </is>
      </c>
      <c r="G22" s="160">
        <f>IF(G21=0,0,IFERROR(G20/G21,"N/A"))</f>
        <v/>
      </c>
      <c r="H22" s="160">
        <f>IF(H21=0,0,IFERROR(H20/H21,"N/A"))</f>
        <v/>
      </c>
      <c r="I22" s="160">
        <f>IF(I21=0,0,IFERROR(I20/I21,"N/A"))</f>
        <v/>
      </c>
      <c r="J22" s="400">
        <f>IFERROR((H22-I22),"N/A")</f>
        <v/>
      </c>
      <c r="K22" s="385">
        <f>IFERROR((H22-I22)/ABS(I22),"N/A")</f>
        <v/>
      </c>
      <c r="L22" s="400">
        <f>IFERROR((H22-G22),"N/A")</f>
        <v/>
      </c>
      <c r="M22" s="385">
        <f>IFERROR((H22-G22)/ABS(G22),"N/A")</f>
        <v/>
      </c>
      <c r="N22" s="160">
        <f>IF(N21=0,0,IFERROR(N20/N21,"N/A"))</f>
        <v/>
      </c>
      <c r="O22" s="160">
        <f>IF(O21=0,0,IFERROR(O20/O21,"N/A"))</f>
        <v/>
      </c>
      <c r="P22" s="160">
        <f>IF(P21=0,0,IFERROR(P20/P21,"N/A"))</f>
        <v/>
      </c>
      <c r="Q22" s="184">
        <f>IFERROR((O22-P22),"N/A")</f>
        <v/>
      </c>
      <c r="R22" s="385">
        <f>IFERROR((O22-P22)/ABS(P22),"N/A")</f>
        <v/>
      </c>
      <c r="S22" s="400">
        <f>IFERROR((O22-N22),"N/A")</f>
        <v/>
      </c>
      <c r="T22" s="385">
        <f>IFERROR((O22-N22)/ABS(N22),"N/A")</f>
        <v/>
      </c>
    </row>
    <row r="23" outlineLevel="1">
      <c r="A23" s="351">
        <f>$C$18&amp;" "&amp;$C$19&amp;" "&amp;C20&amp;" "&amp;C23</f>
        <v/>
      </c>
      <c r="B23" s="397" t="n"/>
      <c r="C23" s="436" t="inlineStr">
        <is>
          <t>COGs</t>
        </is>
      </c>
      <c r="D23" s="436" t="n"/>
      <c r="E23" s="396">
        <f>$D$9&amp;"</f>
        <v/>
      </c>
      <c r="F23" s="375" t="inlineStr">
        <is>
          <t>+</t>
        </is>
      </c>
      <c r="G23" s="437">
        <f>IF(G21=0,0,IFERROR(G24/G21,"N/A"))</f>
        <v/>
      </c>
      <c r="H23" s="437">
        <f>IF(H21=0,0,IFERROR(H24/H21,"N/A"))</f>
        <v/>
      </c>
      <c r="I23" s="437">
        <f>IF(I21=0,0,IFERROR(I24/I21,"N/A"))</f>
        <v/>
      </c>
      <c r="J23" s="400">
        <f>IFERROR((H23-I23),"N/A")</f>
        <v/>
      </c>
      <c r="K23" s="385">
        <f>IFERROR((H23-I23)/ABS(I23),"N/A")</f>
        <v/>
      </c>
      <c r="L23" s="400">
        <f>IFERROR((H23-G23),"N/A")</f>
        <v/>
      </c>
      <c r="M23" s="385">
        <f>IFERROR((H23-G23)/ABS(G23),"N/A")</f>
        <v/>
      </c>
      <c r="N23" s="437">
        <f>IF(N21=0,0,IFERROR(N24/N21,"N/A"))</f>
        <v/>
      </c>
      <c r="O23" s="437">
        <f>IF(O21=0,0,IFERROR(O24/O21,"N/A"))</f>
        <v/>
      </c>
      <c r="P23" s="437">
        <f>IF(P21=0,0,IFERROR(P24/P21,"N/A"))</f>
        <v/>
      </c>
      <c r="Q23" s="184">
        <f>IFERROR((O23-P23),"N/A")</f>
        <v/>
      </c>
      <c r="R23" s="385">
        <f>IFERROR((O23-P23)/ABS(P23),"N/A")</f>
        <v/>
      </c>
      <c r="S23" s="400">
        <f>IFERROR((O23-N23),"N/A")</f>
        <v/>
      </c>
      <c r="T23" s="385">
        <f>IFERROR((O23-N23)/ABS(N23),"N/A")</f>
        <v/>
      </c>
    </row>
    <row r="24" outlineLevel="1">
      <c r="B24" s="397" t="n"/>
      <c r="C24" s="436" t="inlineStr">
        <is>
          <t>Total COGs</t>
        </is>
      </c>
      <c r="D24" s="397" t="n"/>
      <c r="E24" s="396">
        <f>"thsd</f>
        <v/>
      </c>
      <c r="F24" s="375" t="inlineStr">
        <is>
          <t>+</t>
        </is>
      </c>
      <c r="G24" s="435" t="n">
        <v>5683.831317542559</v>
      </c>
      <c r="H24" s="435" t="n">
        <v>4922.057540715401</v>
      </c>
      <c r="I24" s="435" t="n">
        <v>4901.39158694308</v>
      </c>
      <c r="J24" s="400">
        <f>IFERROR((H24-I24),"N/A")</f>
        <v/>
      </c>
      <c r="K24" s="385">
        <f>IFERROR((H24-I24)/ABS(I24),"N/A")</f>
        <v/>
      </c>
      <c r="L24" s="400">
        <f>IFERROR((H24-G24),"N/A")</f>
        <v/>
      </c>
      <c r="M24" s="385">
        <f>IFERROR((H24-G24)/ABS(G24),"N/A")</f>
        <v/>
      </c>
      <c r="N24" s="435" t="n">
        <v>79316.56827955996</v>
      </c>
      <c r="O24" s="435" t="n">
        <v>56429.94594990756</v>
      </c>
      <c r="P24" s="435" t="n">
        <v>56555.92054367462</v>
      </c>
      <c r="Q24" s="184">
        <f>IFERROR((O24-P24),"N/A")</f>
        <v/>
      </c>
      <c r="R24" s="385">
        <f>IFERROR((O24-P24)/ABS(P24),"N/A")</f>
        <v/>
      </c>
      <c r="S24" s="400">
        <f>IFERROR((O24-N24),"N/A")</f>
        <v/>
      </c>
      <c r="T24" s="385">
        <f>IFERROR((O24-N24)/ABS(N24),"N/A")</f>
        <v/>
      </c>
    </row>
    <row r="25" outlineLevel="1">
      <c r="A25" s="351">
        <f>$C$18&amp;" "&amp;$C$19&amp;" "&amp;C25&amp;" Revenue"</f>
        <v/>
      </c>
      <c r="B25" s="395" t="n"/>
      <c r="C25" s="406" t="inlineStr">
        <is>
          <t>Gasoline (Petrol)</t>
        </is>
      </c>
      <c r="D25" s="406" t="inlineStr">
        <is>
          <t xml:space="preserve">Benzinlər </t>
        </is>
      </c>
      <c r="E25" s="396">
        <f>"thsd</f>
        <v/>
      </c>
      <c r="F25" s="375" t="inlineStr">
        <is>
          <t>+</t>
        </is>
      </c>
      <c r="G25" s="435" t="n">
        <v>5117.212236544452</v>
      </c>
      <c r="H25" s="435" t="n">
        <v>6189.342586211554</v>
      </c>
      <c r="I25" s="435" t="n">
        <v>5620</v>
      </c>
      <c r="J25" s="400">
        <f>IFERROR((H25-I25),"N/A")</f>
        <v/>
      </c>
      <c r="K25" s="385">
        <f>IFERROR((H25-I25)/ABS(I25),"N/A")</f>
        <v/>
      </c>
      <c r="L25" s="400">
        <f>IFERROR((H25-G25),"N/A")</f>
        <v/>
      </c>
      <c r="M25" s="385">
        <f>IFERROR((H25-G25)/ABS(G25),"N/A")</f>
        <v/>
      </c>
      <c r="N25" s="435" t="n">
        <v>73614.83384239652</v>
      </c>
      <c r="O25" s="435" t="n">
        <v>61102.5290105212</v>
      </c>
      <c r="P25" s="435" t="n">
        <v>63648.23529411764</v>
      </c>
      <c r="Q25" s="184">
        <f>IFERROR((O25-P25),"N/A")</f>
        <v/>
      </c>
      <c r="R25" s="385">
        <f>IFERROR((O25-P25)/ABS(P25),"N/A")</f>
        <v/>
      </c>
      <c r="S25" s="400">
        <f>IFERROR((O25-N25),"N/A")</f>
        <v/>
      </c>
      <c r="T25" s="385">
        <f>IFERROR((O25-N25)/ABS(N25),"N/A")</f>
        <v/>
      </c>
    </row>
    <row r="26" outlineLevel="1">
      <c r="A26" s="351">
        <f>$C$18&amp;" "&amp;$C$19&amp;" "&amp;C25&amp;" "&amp;C26</f>
        <v/>
      </c>
      <c r="B26" s="397" t="n"/>
      <c r="C26" s="436" t="inlineStr">
        <is>
          <t>Sales volume</t>
        </is>
      </c>
      <c r="D26" s="436" t="n"/>
      <c r="E26" s="396" t="inlineStr">
        <is>
          <t>thsd</t>
        </is>
      </c>
      <c r="F26" s="375" t="inlineStr">
        <is>
          <t>+</t>
        </is>
      </c>
      <c r="G26" s="435" t="n">
        <v>5.63128794</v>
      </c>
      <c r="H26" s="435" t="n">
        <v>6.390614690000002</v>
      </c>
      <c r="I26" s="435" t="n">
        <v>6.445993683753569</v>
      </c>
      <c r="J26" s="400">
        <f>IFERROR((H26-I26),"N/A")</f>
        <v/>
      </c>
      <c r="K26" s="385">
        <f>IFERROR((H26-I26)/ABS(I26),"N/A")</f>
        <v/>
      </c>
      <c r="L26" s="400">
        <f>IFERROR((H26-G26),"N/A")</f>
        <v/>
      </c>
      <c r="M26" s="385">
        <f>IFERROR((H26-G26)/ABS(G26),"N/A")</f>
        <v/>
      </c>
      <c r="N26" s="435" t="n">
        <v>69.71362726999999</v>
      </c>
      <c r="O26" s="435" t="n">
        <v>71.38217131</v>
      </c>
      <c r="P26" s="435" t="n">
        <v>73.00358549483545</v>
      </c>
      <c r="Q26" s="184">
        <f>IFERROR((O26-P26),"N/A")</f>
        <v/>
      </c>
      <c r="R26" s="385">
        <f>IFERROR((O26-P26)/ABS(P26),"N/A")</f>
        <v/>
      </c>
      <c r="S26" s="400">
        <f>IFERROR((O26-N26),"N/A")</f>
        <v/>
      </c>
      <c r="T26" s="385">
        <f>IFERROR((O26-N26)/ABS(N26),"N/A")</f>
        <v/>
      </c>
    </row>
    <row r="27" outlineLevel="1">
      <c r="A27" s="351">
        <f>$C$18&amp;" "&amp;$C$19&amp;" "&amp;C25&amp;" "&amp;C27</f>
        <v/>
      </c>
      <c r="B27" s="397" t="n"/>
      <c r="C27" s="436" t="inlineStr">
        <is>
          <t>Price</t>
        </is>
      </c>
      <c r="D27" s="436" t="inlineStr">
        <is>
          <t>Qiyməti</t>
        </is>
      </c>
      <c r="E27" s="396">
        <f>$D$9&amp; "</f>
        <v/>
      </c>
      <c r="F27" s="375" t="inlineStr">
        <is>
          <t>+</t>
        </is>
      </c>
      <c r="G27" s="160">
        <f>IF(G26=0,0,IFERROR(G25/G26,"N/A"))</f>
        <v/>
      </c>
      <c r="H27" s="160">
        <f>IF(H26=0,0,IFERROR(H25/H26,"N/A"))</f>
        <v/>
      </c>
      <c r="I27" s="160">
        <f>IF(I26=0,0,IFERROR(I25/I26,"N/A"))</f>
        <v/>
      </c>
      <c r="J27" s="400">
        <f>IFERROR((H27-I27),"N/A")</f>
        <v/>
      </c>
      <c r="K27" s="385">
        <f>IFERROR((H27-I27)/ABS(I27),"N/A")</f>
        <v/>
      </c>
      <c r="L27" s="400">
        <f>IFERROR((H27-G27),"N/A")</f>
        <v/>
      </c>
      <c r="M27" s="385">
        <f>IFERROR((H27-G27)/ABS(G27),"N/A")</f>
        <v/>
      </c>
      <c r="N27" s="160">
        <f>IF(N26=0,0,IFERROR(N25/N26,"N/A"))</f>
        <v/>
      </c>
      <c r="O27" s="160">
        <f>IF(O26=0,0,IFERROR(O25/O26,"N/A"))</f>
        <v/>
      </c>
      <c r="P27" s="160">
        <f>IF(P26=0,0,IFERROR(P25/P26,"N/A"))</f>
        <v/>
      </c>
      <c r="Q27" s="184">
        <f>IFERROR((O27-P27),"N/A")</f>
        <v/>
      </c>
      <c r="R27" s="385">
        <f>IFERROR((O27-P27)/ABS(P27),"N/A")</f>
        <v/>
      </c>
      <c r="S27" s="400">
        <f>IFERROR((O27-N27),"N/A")</f>
        <v/>
      </c>
      <c r="T27" s="385">
        <f>IFERROR((O27-N27)/ABS(N27),"N/A")</f>
        <v/>
      </c>
    </row>
    <row r="28" outlineLevel="1">
      <c r="A28" s="351">
        <f>$C$18&amp;" "&amp;$C$19&amp;" "&amp;C25&amp;" "&amp;C28</f>
        <v/>
      </c>
      <c r="B28" s="397" t="n"/>
      <c r="C28" s="436" t="inlineStr">
        <is>
          <t>COGs</t>
        </is>
      </c>
      <c r="D28" s="436" t="n"/>
      <c r="E28" s="396">
        <f>$D$9&amp;"</f>
        <v/>
      </c>
      <c r="F28" s="375" t="inlineStr">
        <is>
          <t>+</t>
        </is>
      </c>
      <c r="G28" s="437">
        <f>IF(G26=0,0,IFERROR(G29/G26,"N/A"))</f>
        <v/>
      </c>
      <c r="H28" s="437">
        <f>IF(H26=0,0,IFERROR(H29/H26,"N/A"))</f>
        <v/>
      </c>
      <c r="I28" s="437">
        <f>IF(I26=0,0,IFERROR(I29/I26,"N/A"))</f>
        <v/>
      </c>
      <c r="J28" s="400">
        <f>IFERROR((H28-I28),"N/A")</f>
        <v/>
      </c>
      <c r="K28" s="385">
        <f>IFERROR((H28-I28)/ABS(I28),"N/A")</f>
        <v/>
      </c>
      <c r="L28" s="400">
        <f>IFERROR((H28-G28),"N/A")</f>
        <v/>
      </c>
      <c r="M28" s="385">
        <f>IFERROR((H28-G28)/ABS(G28),"N/A")</f>
        <v/>
      </c>
      <c r="N28" s="437">
        <f>IF(N26=0,0,IFERROR(N29/N26,"N/A"))</f>
        <v/>
      </c>
      <c r="O28" s="437">
        <f>IF(O26=0,0,IFERROR(O29/O26,"N/A"))</f>
        <v/>
      </c>
      <c r="P28" s="437">
        <f>IF(P26=0,0,IFERROR(P29/P26,"N/A"))</f>
        <v/>
      </c>
      <c r="Q28" s="184">
        <f>IFERROR((O28-P28),"N/A")</f>
        <v/>
      </c>
      <c r="R28" s="385">
        <f>IFERROR((O28-P28)/ABS(P28),"N/A")</f>
        <v/>
      </c>
      <c r="S28" s="400">
        <f>IFERROR((O28-N28),"N/A")</f>
        <v/>
      </c>
      <c r="T28" s="385">
        <f>IFERROR((O28-N28)/ABS(N28),"N/A")</f>
        <v/>
      </c>
    </row>
    <row r="29" outlineLevel="1">
      <c r="B29" s="397" t="n"/>
      <c r="C29" s="436" t="inlineStr">
        <is>
          <t>Total COGs</t>
        </is>
      </c>
      <c r="D29" s="397" t="n"/>
      <c r="E29" s="396">
        <f>"thsd</f>
        <v/>
      </c>
      <c r="F29" s="375" t="inlineStr">
        <is>
          <t>+</t>
        </is>
      </c>
      <c r="G29" s="435" t="n">
        <v>4266.132218153016</v>
      </c>
      <c r="H29" s="435" t="n">
        <v>5263.357888376589</v>
      </c>
      <c r="I29" s="435" t="n">
        <v>5021.71421631725</v>
      </c>
      <c r="J29" s="400">
        <f>IFERROR((H29-I29),"N/A")</f>
        <v/>
      </c>
      <c r="K29" s="385">
        <f>IFERROR((H29-I29)/ABS(I29),"N/A")</f>
        <v/>
      </c>
      <c r="L29" s="400">
        <f>IFERROR((H29-G29),"N/A")</f>
        <v/>
      </c>
      <c r="M29" s="385">
        <f>IFERROR((H29-G29)/ABS(G29),"N/A")</f>
        <v/>
      </c>
      <c r="N29" s="435" t="n">
        <v>65945.9697482114</v>
      </c>
      <c r="O29" s="435" t="n">
        <v>57748.62924690654</v>
      </c>
      <c r="P29" s="435" t="n">
        <v>56793.41806558014</v>
      </c>
      <c r="Q29" s="184">
        <f>IFERROR((O29-P29),"N/A")</f>
        <v/>
      </c>
      <c r="R29" s="385">
        <f>IFERROR((O29-P29)/ABS(P29),"N/A")</f>
        <v/>
      </c>
      <c r="S29" s="400">
        <f>IFERROR((O29-N29),"N/A")</f>
        <v/>
      </c>
      <c r="T29" s="385">
        <f>IFERROR((O29-N29)/ABS(N29),"N/A")</f>
        <v/>
      </c>
    </row>
    <row r="30" outlineLevel="1">
      <c r="A30" s="351">
        <f>$C$18&amp;" "&amp;$C$19&amp;" "&amp;C30&amp;" Revenue"</f>
        <v/>
      </c>
      <c r="B30" s="395" t="n"/>
      <c r="C30" s="406" t="inlineStr">
        <is>
          <t>Other oil products</t>
        </is>
      </c>
      <c r="D30" s="406" t="n"/>
      <c r="E30" s="396">
        <f>"thsd</f>
        <v/>
      </c>
      <c r="F30" s="375" t="inlineStr">
        <is>
          <t>+</t>
        </is>
      </c>
      <c r="G30" s="435" t="n"/>
      <c r="H30" s="435" t="n"/>
      <c r="I30" s="435" t="n"/>
      <c r="J30" s="400">
        <f>IFERROR((H30-I30),"N/A")</f>
        <v/>
      </c>
      <c r="K30" s="385">
        <f>IFERROR((H30-I30)/ABS(I30),"N/A")</f>
        <v/>
      </c>
      <c r="L30" s="400">
        <f>IFERROR((H30-G30),"N/A")</f>
        <v/>
      </c>
      <c r="M30" s="385">
        <f>IFERROR((H30-G30)/ABS(G30),"N/A")</f>
        <v/>
      </c>
      <c r="N30" s="435" t="n"/>
      <c r="O30" s="435" t="n"/>
      <c r="P30" s="435" t="n"/>
      <c r="Q30" s="184">
        <f>IFERROR((O30-P30),"N/A")</f>
        <v/>
      </c>
      <c r="R30" s="385">
        <f>IFERROR((O30-P30)/ABS(P30),"N/A")</f>
        <v/>
      </c>
      <c r="S30" s="400">
        <f>IFERROR((O30-N30),"N/A")</f>
        <v/>
      </c>
      <c r="T30" s="385">
        <f>IFERROR((O30-N30)/ABS(N30),"N/A")</f>
        <v/>
      </c>
    </row>
    <row r="31" outlineLevel="1">
      <c r="A31" s="351">
        <f>$C$18&amp;" "&amp;$C$19&amp;" "&amp;C30&amp;" "&amp;C31</f>
        <v/>
      </c>
      <c r="B31" s="397" t="n"/>
      <c r="C31" s="436" t="inlineStr">
        <is>
          <t>Sales volume</t>
        </is>
      </c>
      <c r="D31" s="436" t="n"/>
      <c r="E31" s="396" t="inlineStr">
        <is>
          <t>thsd</t>
        </is>
      </c>
      <c r="F31" s="375" t="inlineStr">
        <is>
          <t>+</t>
        </is>
      </c>
      <c r="G31" s="435" t="n"/>
      <c r="H31" s="435" t="n"/>
      <c r="I31" s="435" t="n"/>
      <c r="J31" s="400">
        <f>IFERROR((H31-I31),"N/A")</f>
        <v/>
      </c>
      <c r="K31" s="385">
        <f>IFERROR((H31-I31)/ABS(I31),"N/A")</f>
        <v/>
      </c>
      <c r="L31" s="400">
        <f>IFERROR((H31-G31),"N/A")</f>
        <v/>
      </c>
      <c r="M31" s="385">
        <f>IFERROR((H31-G31)/ABS(G31),"N/A")</f>
        <v/>
      </c>
      <c r="N31" s="435" t="n"/>
      <c r="O31" s="435" t="n"/>
      <c r="P31" s="435" t="n"/>
      <c r="Q31" s="184">
        <f>IFERROR((O31-P31),"N/A")</f>
        <v/>
      </c>
      <c r="R31" s="385">
        <f>IFERROR((O31-P31)/ABS(P31),"N/A")</f>
        <v/>
      </c>
      <c r="S31" s="400">
        <f>IFERROR((O31-N31),"N/A")</f>
        <v/>
      </c>
      <c r="T31" s="385">
        <f>IFERROR((O31-N31)/ABS(N31),"N/A")</f>
        <v/>
      </c>
    </row>
    <row r="32" outlineLevel="1">
      <c r="A32" s="351">
        <f>$C$18&amp;" "&amp;$C$19&amp;" "&amp;C30&amp;" "&amp;C32</f>
        <v/>
      </c>
      <c r="B32" s="397" t="n"/>
      <c r="C32" s="397" t="inlineStr">
        <is>
          <t>Price</t>
        </is>
      </c>
      <c r="D32" s="397" t="inlineStr">
        <is>
          <t>Qiyməti</t>
        </is>
      </c>
      <c r="E32" s="396">
        <f>$D$9&amp; "</f>
        <v/>
      </c>
      <c r="F32" s="375" t="inlineStr">
        <is>
          <t>+</t>
        </is>
      </c>
      <c r="G32" s="160">
        <f>IF(G31=0,0,IFERROR(G30/G31,"N/A"))</f>
        <v/>
      </c>
      <c r="H32" s="160">
        <f>IF(H31=0,0,IFERROR(H30/H31,"N/A"))</f>
        <v/>
      </c>
      <c r="I32" s="160">
        <f>IF(I31=0,0,IFERROR(I30/I31,"N/A"))</f>
        <v/>
      </c>
      <c r="J32" s="400">
        <f>IFERROR((H32-I32),"N/A")</f>
        <v/>
      </c>
      <c r="K32" s="385">
        <f>IFERROR((H32-I32)/ABS(I32),"N/A")</f>
        <v/>
      </c>
      <c r="L32" s="400">
        <f>IFERROR((H32-G32),"N/A")</f>
        <v/>
      </c>
      <c r="M32" s="385">
        <f>IFERROR((H32-G32)/ABS(G32),"N/A")</f>
        <v/>
      </c>
      <c r="N32" s="160">
        <f>IF(N31=0,0,IFERROR(N30/N31,"N/A"))</f>
        <v/>
      </c>
      <c r="O32" s="160">
        <f>IF(O31=0,0,IFERROR(O30/O31,"N/A"))</f>
        <v/>
      </c>
      <c r="P32" s="160">
        <f>IF(P31=0,0,IFERROR(P30/P31,"N/A"))</f>
        <v/>
      </c>
      <c r="Q32" s="184">
        <f>IFERROR((O32-P32),"N/A")</f>
        <v/>
      </c>
      <c r="R32" s="385">
        <f>IFERROR((O32-P32)/ABS(P32),"N/A")</f>
        <v/>
      </c>
      <c r="S32" s="400">
        <f>IFERROR((O32-N32),"N/A")</f>
        <v/>
      </c>
      <c r="T32" s="385">
        <f>IFERROR((O32-N32)/ABS(N32),"N/A")</f>
        <v/>
      </c>
    </row>
    <row r="33" outlineLevel="1">
      <c r="A33" s="351">
        <f>$C$18&amp;" "&amp;$C$19&amp;" "&amp;C30&amp;" "&amp;C33</f>
        <v/>
      </c>
      <c r="B33" s="397" t="n"/>
      <c r="C33" s="397" t="inlineStr">
        <is>
          <t>COGs</t>
        </is>
      </c>
      <c r="D33" s="397" t="n"/>
      <c r="E33" s="396">
        <f>$D$9&amp;"</f>
        <v/>
      </c>
      <c r="F33" s="375" t="inlineStr">
        <is>
          <t>+</t>
        </is>
      </c>
      <c r="G33" s="437">
        <f>IF(G31=0,0,IFERROR(G34/G31,"N/A"))</f>
        <v/>
      </c>
      <c r="H33" s="437">
        <f>IF(H31=0,0,IFERROR(H34/H31,"N/A"))</f>
        <v/>
      </c>
      <c r="I33" s="437">
        <f>IF(I31=0,0,IFERROR(I34/I31,"N/A"))</f>
        <v/>
      </c>
      <c r="J33" s="400">
        <f>IFERROR((H33-I33),"N/A")</f>
        <v/>
      </c>
      <c r="K33" s="385">
        <f>IFERROR((H33-I33)/ABS(I33),"N/A")</f>
        <v/>
      </c>
      <c r="L33" s="400">
        <f>IFERROR((H33-G33),"N/A")</f>
        <v/>
      </c>
      <c r="M33" s="385">
        <f>IFERROR((H33-G33)/ABS(G33),"N/A")</f>
        <v/>
      </c>
      <c r="N33" s="437">
        <f>IF(N31=0,0,IFERROR(N34/N31,"N/A"))</f>
        <v/>
      </c>
      <c r="O33" s="437">
        <f>IF(O31=0,0,IFERROR(O34/O31,"N/A"))</f>
        <v/>
      </c>
      <c r="P33" s="437">
        <f>IF(P31=0,0,IFERROR(P34/P31,"N/A"))</f>
        <v/>
      </c>
      <c r="Q33" s="184">
        <f>IFERROR((O33-P33),"N/A")</f>
        <v/>
      </c>
      <c r="R33" s="385">
        <f>IFERROR((O33-P33)/ABS(P33),"N/A")</f>
        <v/>
      </c>
      <c r="S33" s="400">
        <f>IFERROR((O33-N33),"N/A")</f>
        <v/>
      </c>
      <c r="T33" s="385">
        <f>IFERROR((O33-N33)/ABS(N33),"N/A")</f>
        <v/>
      </c>
    </row>
    <row r="34" outlineLevel="1">
      <c r="B34" s="397" t="n"/>
      <c r="C34" s="436" t="inlineStr">
        <is>
          <t>Total COGs</t>
        </is>
      </c>
      <c r="D34" s="397" t="n"/>
      <c r="E34" s="396">
        <f>"thsd</f>
        <v/>
      </c>
      <c r="F34" s="375" t="inlineStr">
        <is>
          <t>+</t>
        </is>
      </c>
      <c r="G34" s="435" t="n"/>
      <c r="H34" s="435" t="n"/>
      <c r="I34" s="435" t="n"/>
      <c r="J34" s="400">
        <f>IFERROR((H34-I34),"N/A")</f>
        <v/>
      </c>
      <c r="K34" s="385">
        <f>IFERROR((H34-I34)/ABS(I34),"N/A")</f>
        <v/>
      </c>
      <c r="L34" s="400">
        <f>IFERROR((H34-G34),"N/A")</f>
        <v/>
      </c>
      <c r="M34" s="385">
        <f>IFERROR((H34-G34)/ABS(G34),"N/A")</f>
        <v/>
      </c>
      <c r="N34" s="435" t="n"/>
      <c r="O34" s="435" t="n"/>
      <c r="P34" s="435" t="n"/>
      <c r="Q34" s="184">
        <f>IFERROR((O34-P34),"N/A")</f>
        <v/>
      </c>
      <c r="R34" s="385">
        <f>IFERROR((O34-P34)/ABS(P34),"N/A")</f>
        <v/>
      </c>
      <c r="S34" s="400">
        <f>IFERROR((O34-N34),"N/A")</f>
        <v/>
      </c>
      <c r="T34" s="385">
        <f>IFERROR((O34-N34)/ABS(N34),"N/A")</f>
        <v/>
      </c>
    </row>
    <row r="35" outlineLevel="1" ht="25.5" customHeight="1">
      <c r="B35" s="401" t="n"/>
      <c r="C35" s="401" t="inlineStr">
        <is>
          <t>Overseas revenue (for Entity location)</t>
        </is>
      </c>
      <c r="D35" s="401" t="n"/>
      <c r="E35" s="402">
        <f>"thsd</f>
        <v/>
      </c>
      <c r="F35" s="375" t="inlineStr">
        <is>
          <t>+</t>
        </is>
      </c>
      <c r="G35" s="438">
        <f>G36+G41+G46</f>
        <v/>
      </c>
      <c r="H35" s="438">
        <f>H36+H41+H46</f>
        <v/>
      </c>
      <c r="I35" s="438">
        <f>I36+I41+I46</f>
        <v/>
      </c>
      <c r="J35" s="439">
        <f>IFERROR((H35-I35),"N/A")</f>
        <v/>
      </c>
      <c r="K35" s="440">
        <f>IFERROR((H35-I35)/ABS(I35),"N/A")</f>
        <v/>
      </c>
      <c r="L35" s="439">
        <f>IFERROR((H35-G35),"N/A")</f>
        <v/>
      </c>
      <c r="M35" s="440">
        <f>IFERROR((H35-G35)/ABS(G35),"N/A")</f>
        <v/>
      </c>
      <c r="N35" s="403">
        <f>N36+N41+N46</f>
        <v/>
      </c>
      <c r="O35" s="403">
        <f>O36+O41+O46</f>
        <v/>
      </c>
      <c r="P35" s="403">
        <f>P36+P41+P46</f>
        <v/>
      </c>
      <c r="Q35" s="439">
        <f>IFERROR((O35-P35),"N/A")</f>
        <v/>
      </c>
      <c r="R35" s="440">
        <f>IFERROR((O35-P35)/ABS(P35),"N/A")</f>
        <v/>
      </c>
      <c r="S35" s="439">
        <f>IFERROR((O35-N35),"N/A")</f>
        <v/>
      </c>
      <c r="T35" s="440">
        <f>IFERROR((O35-N35)/ABS(N35),"N/A")</f>
        <v/>
      </c>
    </row>
    <row r="36" outlineLevel="1">
      <c r="A36" s="351">
        <f>$C$18&amp;" "&amp;$C$35&amp;" "&amp;C36&amp;" Revenue"</f>
        <v/>
      </c>
      <c r="B36" s="395" t="n"/>
      <c r="C36" s="395">
        <f>C20</f>
        <v/>
      </c>
      <c r="D36" s="395">
        <f>D20</f>
        <v/>
      </c>
      <c r="E36" s="396">
        <f>"thsd</f>
        <v/>
      </c>
      <c r="F36" s="375" t="inlineStr">
        <is>
          <t>+</t>
        </is>
      </c>
      <c r="G36" s="435" t="n"/>
      <c r="H36" s="435" t="n"/>
      <c r="I36" s="435" t="n"/>
      <c r="J36" s="400">
        <f>IFERROR((H36-I36),"N/A")</f>
        <v/>
      </c>
      <c r="K36" s="385">
        <f>IFERROR((H36-I36)/ABS(I36),"N/A")</f>
        <v/>
      </c>
      <c r="L36" s="400">
        <f>IFERROR((H36-G36),"N/A")</f>
        <v/>
      </c>
      <c r="M36" s="385">
        <f>IFERROR((H36-G36)/ABS(G36),"N/A")</f>
        <v/>
      </c>
      <c r="N36" s="435" t="n"/>
      <c r="O36" s="435" t="n"/>
      <c r="P36" s="435" t="n"/>
      <c r="Q36" s="400">
        <f>IFERROR((O36-P36),"N/A")</f>
        <v/>
      </c>
      <c r="R36" s="385">
        <f>IFERROR((O36-P36)/ABS(P36),"N/A")</f>
        <v/>
      </c>
      <c r="S36" s="400">
        <f>IFERROR((O36-N36),"N/A")</f>
        <v/>
      </c>
      <c r="T36" s="385">
        <f>IFERROR((O36-N36)/ABS(N36),"N/A")</f>
        <v/>
      </c>
    </row>
    <row r="37" outlineLevel="1">
      <c r="A37" s="351">
        <f>$C$18&amp;" "&amp;$C$35&amp;" "&amp;C36&amp;" "&amp;C37</f>
        <v/>
      </c>
      <c r="B37" s="397" t="n"/>
      <c r="C37" s="397" t="inlineStr">
        <is>
          <t>Sales volume</t>
        </is>
      </c>
      <c r="D37" s="397" t="n"/>
      <c r="E37" s="396" t="inlineStr">
        <is>
          <t>thsd</t>
        </is>
      </c>
      <c r="F37" s="375" t="inlineStr">
        <is>
          <t>+</t>
        </is>
      </c>
      <c r="G37" s="435" t="n"/>
      <c r="H37" s="435" t="n"/>
      <c r="I37" s="435" t="n"/>
      <c r="J37" s="400">
        <f>IFERROR((H37-I37),"N/A")</f>
        <v/>
      </c>
      <c r="K37" s="385">
        <f>IFERROR((H37-I37)/ABS(I37),"N/A")</f>
        <v/>
      </c>
      <c r="L37" s="400">
        <f>IFERROR((H37-G37),"N/A")</f>
        <v/>
      </c>
      <c r="M37" s="385">
        <f>IFERROR((H37-G37)/ABS(G37),"N/A")</f>
        <v/>
      </c>
      <c r="N37" s="435" t="n"/>
      <c r="O37" s="435" t="n"/>
      <c r="P37" s="435" t="n"/>
      <c r="Q37" s="400">
        <f>IFERROR((O37-P37),"N/A")</f>
        <v/>
      </c>
      <c r="R37" s="385">
        <f>IFERROR((O37-P37)/ABS(P37),"N/A")</f>
        <v/>
      </c>
      <c r="S37" s="400">
        <f>IFERROR((O37-N37),"N/A")</f>
        <v/>
      </c>
      <c r="T37" s="385">
        <f>IFERROR((O37-N37)/ABS(N37),"N/A")</f>
        <v/>
      </c>
    </row>
    <row r="38" outlineLevel="1">
      <c r="A38" s="351">
        <f>$C$18&amp;" "&amp;$C$35&amp;" "&amp;C36&amp;" "&amp;C38</f>
        <v/>
      </c>
      <c r="B38" s="397" t="n"/>
      <c r="C38" s="397" t="inlineStr">
        <is>
          <t>Price</t>
        </is>
      </c>
      <c r="D38" s="397" t="inlineStr">
        <is>
          <t>Qiyməti</t>
        </is>
      </c>
      <c r="E38" s="396">
        <f>$D$9&amp; "</f>
        <v/>
      </c>
      <c r="F38" s="375" t="inlineStr">
        <is>
          <t>+</t>
        </is>
      </c>
      <c r="G38" s="160">
        <f>IF(G37=0,0,IFERROR(G36/G37,"N/A"))</f>
        <v/>
      </c>
      <c r="H38" s="160">
        <f>IF(H37=0,0,IFERROR(H36/H37,"N/A"))</f>
        <v/>
      </c>
      <c r="I38" s="160">
        <f>IF(I37=0,0,IFERROR(I36/I37,"N/A"))</f>
        <v/>
      </c>
      <c r="J38" s="400">
        <f>IFERROR((H38-I38),"N/A")</f>
        <v/>
      </c>
      <c r="K38" s="385">
        <f>IFERROR((H38-I38)/ABS(I38),"N/A")</f>
        <v/>
      </c>
      <c r="L38" s="400">
        <f>IFERROR((H38-G38),"N/A")</f>
        <v/>
      </c>
      <c r="M38" s="385">
        <f>IFERROR((H38-G38)/ABS(G38),"N/A")</f>
        <v/>
      </c>
      <c r="N38" s="160">
        <f>IF(N37=0,0,IFERROR(N36/N37,"N/A"))</f>
        <v/>
      </c>
      <c r="O38" s="160">
        <f>IF(O37=0,0,IFERROR(O36/O37,"N/A"))</f>
        <v/>
      </c>
      <c r="P38" s="160">
        <f>IF(P37=0,0,IFERROR(P36/P37,"N/A"))</f>
        <v/>
      </c>
      <c r="Q38" s="400">
        <f>IFERROR((O38-P38),"N/A")</f>
        <v/>
      </c>
      <c r="R38" s="385">
        <f>IFERROR((O38-P38)/ABS(P38),"N/A")</f>
        <v/>
      </c>
      <c r="S38" s="400">
        <f>IFERROR((O38-N38),"N/A")</f>
        <v/>
      </c>
      <c r="T38" s="385">
        <f>IFERROR((O38-N38)/ABS(N38),"N/A")</f>
        <v/>
      </c>
    </row>
    <row r="39" outlineLevel="1">
      <c r="A39" s="351">
        <f>$C$18&amp;" "&amp;$C$35&amp;" "&amp;C36&amp;" "&amp;C39</f>
        <v/>
      </c>
      <c r="B39" s="397" t="n"/>
      <c r="C39" s="397" t="inlineStr">
        <is>
          <t>COGs</t>
        </is>
      </c>
      <c r="D39" s="397" t="n"/>
      <c r="E39" s="396">
        <f>$D$9&amp;"</f>
        <v/>
      </c>
      <c r="F39" s="375" t="inlineStr">
        <is>
          <t>+</t>
        </is>
      </c>
      <c r="G39" s="437">
        <f>IF(G37=0,0,IFERROR(G40/G37,"N/A"))</f>
        <v/>
      </c>
      <c r="H39" s="437">
        <f>IF(H37=0,0,IFERROR(H40/H37,"N/A"))</f>
        <v/>
      </c>
      <c r="I39" s="437">
        <f>IF(I37=0,0,IFERROR(I40/I37,"N/A"))</f>
        <v/>
      </c>
      <c r="J39" s="400">
        <f>IFERROR((H39-I39),"N/A")</f>
        <v/>
      </c>
      <c r="K39" s="385">
        <f>IFERROR((H39-I39)/ABS(I39),"N/A")</f>
        <v/>
      </c>
      <c r="L39" s="400">
        <f>IFERROR((H39-G39),"N/A")</f>
        <v/>
      </c>
      <c r="M39" s="385">
        <f>IFERROR((H39-G39)/ABS(G39),"N/A")</f>
        <v/>
      </c>
      <c r="N39" s="437">
        <f>IF(N37=0,0,IFERROR(N40/N37,"N/A"))</f>
        <v/>
      </c>
      <c r="O39" s="437">
        <f>IF(O37=0,0,IFERROR(O40/O37,"N/A"))</f>
        <v/>
      </c>
      <c r="P39" s="437">
        <f>IF(P37=0,0,IFERROR(P40/P37,"N/A"))</f>
        <v/>
      </c>
      <c r="Q39" s="184">
        <f>IFERROR((O39-P39),"N/A")</f>
        <v/>
      </c>
      <c r="R39" s="385">
        <f>IFERROR((O39-P39)/ABS(P39),"N/A")</f>
        <v/>
      </c>
      <c r="S39" s="400">
        <f>IFERROR((O39-N39),"N/A")</f>
        <v/>
      </c>
      <c r="T39" s="385">
        <f>IFERROR((O39-N39)/ABS(N39),"N/A")</f>
        <v/>
      </c>
    </row>
    <row r="40" outlineLevel="1">
      <c r="B40" s="397" t="n"/>
      <c r="C40" s="436" t="inlineStr">
        <is>
          <t>Total COGs</t>
        </is>
      </c>
      <c r="D40" s="397" t="n"/>
      <c r="E40" s="396">
        <f>"thsd</f>
        <v/>
      </c>
      <c r="F40" s="375" t="inlineStr">
        <is>
          <t>+</t>
        </is>
      </c>
      <c r="G40" s="435" t="n"/>
      <c r="H40" s="435" t="n"/>
      <c r="I40" s="435" t="n"/>
      <c r="J40" s="400">
        <f>IFERROR((H40-I40),"N/A")</f>
        <v/>
      </c>
      <c r="K40" s="385">
        <f>IFERROR((H40-I40)/ABS(I40),"N/A")</f>
        <v/>
      </c>
      <c r="L40" s="400">
        <f>IFERROR((H40-G40),"N/A")</f>
        <v/>
      </c>
      <c r="M40" s="385">
        <f>IFERROR((H40-G40)/ABS(G40),"N/A")</f>
        <v/>
      </c>
      <c r="N40" s="435" t="n"/>
      <c r="O40" s="435" t="n"/>
      <c r="P40" s="435" t="n"/>
      <c r="Q40" s="184">
        <f>IFERROR((O40-P40),"N/A")</f>
        <v/>
      </c>
      <c r="R40" s="385">
        <f>IFERROR((O40-P40)/ABS(P40),"N/A")</f>
        <v/>
      </c>
      <c r="S40" s="400">
        <f>IFERROR((O40-N40),"N/A")</f>
        <v/>
      </c>
      <c r="T40" s="385">
        <f>IFERROR((O40-N40)/ABS(N40),"N/A")</f>
        <v/>
      </c>
    </row>
    <row r="41" outlineLevel="1">
      <c r="A41" s="351">
        <f>$C$18&amp;" "&amp;$C$35&amp;" "&amp;C41&amp;" Revenue"</f>
        <v/>
      </c>
      <c r="B41" s="395" t="n"/>
      <c r="C41" s="395">
        <f>C25</f>
        <v/>
      </c>
      <c r="D41" s="395">
        <f>D25</f>
        <v/>
      </c>
      <c r="E41" s="396">
        <f>"thsd</f>
        <v/>
      </c>
      <c r="F41" s="375" t="inlineStr">
        <is>
          <t>+</t>
        </is>
      </c>
      <c r="G41" s="435" t="n"/>
      <c r="H41" s="435" t="n"/>
      <c r="I41" s="435" t="n"/>
      <c r="J41" s="400">
        <f>IFERROR((H41-I41),"N/A")</f>
        <v/>
      </c>
      <c r="K41" s="385">
        <f>IFERROR((H41-I41)/ABS(I41),"N/A")</f>
        <v/>
      </c>
      <c r="L41" s="400">
        <f>IFERROR((H41-G41),"N/A")</f>
        <v/>
      </c>
      <c r="M41" s="385">
        <f>IFERROR((H41-G41)/ABS(G41),"N/A")</f>
        <v/>
      </c>
      <c r="N41" s="435" t="n"/>
      <c r="O41" s="435" t="n"/>
      <c r="P41" s="435" t="n"/>
      <c r="Q41" s="400">
        <f>IFERROR((O41-P41),"N/A")</f>
        <v/>
      </c>
      <c r="R41" s="385">
        <f>IFERROR((O41-P41)/ABS(P41),"N/A")</f>
        <v/>
      </c>
      <c r="S41" s="400">
        <f>IFERROR((O41-N41),"N/A")</f>
        <v/>
      </c>
      <c r="T41" s="385">
        <f>IFERROR((O41-N41)/ABS(N41),"N/A")</f>
        <v/>
      </c>
    </row>
    <row r="42" outlineLevel="1">
      <c r="A42" s="351">
        <f>$C$18&amp;" "&amp;$C$35&amp;" "&amp;C41&amp;" "&amp;C42</f>
        <v/>
      </c>
      <c r="B42" s="397" t="n"/>
      <c r="C42" s="397" t="inlineStr">
        <is>
          <t>Sales volume</t>
        </is>
      </c>
      <c r="D42" s="397" t="n"/>
      <c r="E42" s="396" t="inlineStr">
        <is>
          <t>thsd</t>
        </is>
      </c>
      <c r="F42" s="375" t="inlineStr">
        <is>
          <t>+</t>
        </is>
      </c>
      <c r="G42" s="435" t="n"/>
      <c r="H42" s="435" t="n"/>
      <c r="I42" s="435" t="n"/>
      <c r="J42" s="400">
        <f>IFERROR((H42-I42),"N/A")</f>
        <v/>
      </c>
      <c r="K42" s="385">
        <f>IFERROR((H42-I42)/ABS(I42),"N/A")</f>
        <v/>
      </c>
      <c r="L42" s="400">
        <f>IFERROR((H42-G42),"N/A")</f>
        <v/>
      </c>
      <c r="M42" s="385">
        <f>IFERROR((H42-G42)/ABS(G42),"N/A")</f>
        <v/>
      </c>
      <c r="N42" s="435" t="n"/>
      <c r="O42" s="435" t="n"/>
      <c r="P42" s="435" t="n"/>
      <c r="Q42" s="400">
        <f>IFERROR((O42-P42),"N/A")</f>
        <v/>
      </c>
      <c r="R42" s="385">
        <f>IFERROR((O42-P42)/ABS(P42),"N/A")</f>
        <v/>
      </c>
      <c r="S42" s="400">
        <f>IFERROR((O42-N42),"N/A")</f>
        <v/>
      </c>
      <c r="T42" s="385">
        <f>IFERROR((O42-N42)/ABS(N42),"N/A")</f>
        <v/>
      </c>
    </row>
    <row r="43" outlineLevel="1">
      <c r="A43" s="351">
        <f>$C$18&amp;" "&amp;$C$35&amp;" "&amp;C41&amp;" "&amp;C43</f>
        <v/>
      </c>
      <c r="B43" s="397" t="n"/>
      <c r="C43" s="397" t="inlineStr">
        <is>
          <t>Price</t>
        </is>
      </c>
      <c r="D43" s="397" t="inlineStr">
        <is>
          <t>Qiyməti</t>
        </is>
      </c>
      <c r="E43" s="396">
        <f>$D$9&amp; "</f>
        <v/>
      </c>
      <c r="F43" s="375" t="inlineStr">
        <is>
          <t>+</t>
        </is>
      </c>
      <c r="G43" s="160">
        <f>IF(G42=0,0,IFERROR(G41/G42,"N/A"))</f>
        <v/>
      </c>
      <c r="H43" s="160">
        <f>IF(H42=0,0,IFERROR(H41/H42,"N/A"))</f>
        <v/>
      </c>
      <c r="I43" s="160">
        <f>IF(I42=0,0,IFERROR(I41/I42,"N/A"))</f>
        <v/>
      </c>
      <c r="J43" s="400">
        <f>IFERROR((H43-I43),"N/A")</f>
        <v/>
      </c>
      <c r="K43" s="385">
        <f>IFERROR((H43-I43)/ABS(I43),"N/A")</f>
        <v/>
      </c>
      <c r="L43" s="400">
        <f>IFERROR((H43-G43),"N/A")</f>
        <v/>
      </c>
      <c r="M43" s="385">
        <f>IFERROR((H43-G43)/ABS(G43),"N/A")</f>
        <v/>
      </c>
      <c r="N43" s="160">
        <f>IF(N42=0,0,IFERROR(N41/N42,"N/A"))</f>
        <v/>
      </c>
      <c r="O43" s="160">
        <f>IF(O42=0,0,IFERROR(O41/O42,"N/A"))</f>
        <v/>
      </c>
      <c r="P43" s="160">
        <f>IF(P42=0,0,IFERROR(P41/P42,"N/A"))</f>
        <v/>
      </c>
      <c r="Q43" s="400">
        <f>IFERROR((O43-P43),"N/A")</f>
        <v/>
      </c>
      <c r="R43" s="385">
        <f>IFERROR((O43-P43)/ABS(P43),"N/A")</f>
        <v/>
      </c>
      <c r="S43" s="400">
        <f>IFERROR((O43-N43),"N/A")</f>
        <v/>
      </c>
      <c r="T43" s="385">
        <f>IFERROR((O43-N43)/ABS(N43),"N/A")</f>
        <v/>
      </c>
    </row>
    <row r="44" outlineLevel="1">
      <c r="A44" s="351">
        <f>$C$18&amp;" "&amp;$C$35&amp;" "&amp;C41&amp;" "&amp;C44</f>
        <v/>
      </c>
      <c r="B44" s="397" t="n"/>
      <c r="C44" s="397" t="inlineStr">
        <is>
          <t>COGs</t>
        </is>
      </c>
      <c r="D44" s="397" t="n"/>
      <c r="E44" s="396">
        <f>$D$9&amp;"</f>
        <v/>
      </c>
      <c r="F44" s="375" t="inlineStr">
        <is>
          <t>+</t>
        </is>
      </c>
      <c r="G44" s="437">
        <f>IF(G42=0,0,IFERROR(G45/G42,"N/A"))</f>
        <v/>
      </c>
      <c r="H44" s="437">
        <f>IF(H42=0,0,IFERROR(H45/H42,"N/A"))</f>
        <v/>
      </c>
      <c r="I44" s="437">
        <f>IF(I42=0,0,IFERROR(I45/I42,"N/A"))</f>
        <v/>
      </c>
      <c r="J44" s="400">
        <f>IFERROR((H44-I44),"N/A")</f>
        <v/>
      </c>
      <c r="K44" s="385">
        <f>IFERROR((H44-I44)/ABS(I44),"N/A")</f>
        <v/>
      </c>
      <c r="L44" s="400">
        <f>IFERROR((H44-G44),"N/A")</f>
        <v/>
      </c>
      <c r="M44" s="385">
        <f>IFERROR((H44-G44)/ABS(G44),"N/A")</f>
        <v/>
      </c>
      <c r="N44" s="437">
        <f>IF(N42=0,0,IFERROR(N45/N42,"N/A"))</f>
        <v/>
      </c>
      <c r="O44" s="437">
        <f>IF(O42=0,0,IFERROR(O45/O42,"N/A"))</f>
        <v/>
      </c>
      <c r="P44" s="437">
        <f>IF(P42=0,0,IFERROR(P45/P42,"N/A"))</f>
        <v/>
      </c>
      <c r="Q44" s="184">
        <f>IFERROR((O44-P44),"N/A")</f>
        <v/>
      </c>
      <c r="R44" s="385">
        <f>IFERROR((O44-P44)/ABS(P44),"N/A")</f>
        <v/>
      </c>
      <c r="S44" s="400">
        <f>IFERROR((O44-N44),"N/A")</f>
        <v/>
      </c>
      <c r="T44" s="385">
        <f>IFERROR((O44-N44)/ABS(N44),"N/A")</f>
        <v/>
      </c>
    </row>
    <row r="45" outlineLevel="1">
      <c r="B45" s="397" t="n"/>
      <c r="C45" s="436" t="inlineStr">
        <is>
          <t>Total COGs</t>
        </is>
      </c>
      <c r="D45" s="397" t="n"/>
      <c r="E45" s="396">
        <f>"thsd</f>
        <v/>
      </c>
      <c r="F45" s="375" t="inlineStr">
        <is>
          <t>+</t>
        </is>
      </c>
      <c r="G45" s="435" t="n"/>
      <c r="H45" s="435" t="n"/>
      <c r="I45" s="435" t="n"/>
      <c r="J45" s="400">
        <f>IFERROR((H45-I45),"N/A")</f>
        <v/>
      </c>
      <c r="K45" s="385">
        <f>IFERROR((H45-I45)/ABS(I45),"N/A")</f>
        <v/>
      </c>
      <c r="L45" s="400">
        <f>IFERROR((H45-G45),"N/A")</f>
        <v/>
      </c>
      <c r="M45" s="385">
        <f>IFERROR((H45-G45)/ABS(G45),"N/A")</f>
        <v/>
      </c>
      <c r="N45" s="435" t="n"/>
      <c r="O45" s="435" t="n"/>
      <c r="P45" s="435" t="n"/>
      <c r="Q45" s="184">
        <f>IFERROR((O45-P45),"N/A")</f>
        <v/>
      </c>
      <c r="R45" s="385">
        <f>IFERROR((O45-P45)/ABS(P45),"N/A")</f>
        <v/>
      </c>
      <c r="S45" s="400">
        <f>IFERROR((O45-N45),"N/A")</f>
        <v/>
      </c>
      <c r="T45" s="385">
        <f>IFERROR((O45-N45)/ABS(N45),"N/A")</f>
        <v/>
      </c>
    </row>
    <row r="46" outlineLevel="1">
      <c r="A46" s="351">
        <f>$C$18&amp;" "&amp;$C$35&amp;" "&amp;C46&amp;" Revenue"</f>
        <v/>
      </c>
      <c r="B46" s="395" t="n"/>
      <c r="C46" s="395">
        <f>C30</f>
        <v/>
      </c>
      <c r="D46" s="395">
        <f>D30</f>
        <v/>
      </c>
      <c r="E46" s="396">
        <f>"thsd</f>
        <v/>
      </c>
      <c r="F46" s="375" t="inlineStr">
        <is>
          <t>+</t>
        </is>
      </c>
      <c r="G46" s="435" t="n"/>
      <c r="H46" s="435" t="n"/>
      <c r="I46" s="435" t="n"/>
      <c r="J46" s="400">
        <f>IFERROR((H46-I46),"N/A")</f>
        <v/>
      </c>
      <c r="K46" s="385">
        <f>IFERROR((H46-I46)/ABS(I46),"N/A")</f>
        <v/>
      </c>
      <c r="L46" s="400">
        <f>IFERROR((H46-G46),"N/A")</f>
        <v/>
      </c>
      <c r="M46" s="385">
        <f>IFERROR((H46-G46)/ABS(G46),"N/A")</f>
        <v/>
      </c>
      <c r="N46" s="435" t="n"/>
      <c r="O46" s="435" t="n"/>
      <c r="P46" s="435" t="n"/>
      <c r="Q46" s="400">
        <f>IFERROR((O46-P46),"N/A")</f>
        <v/>
      </c>
      <c r="R46" s="385">
        <f>IFERROR((O46-P46)/ABS(P46),"N/A")</f>
        <v/>
      </c>
      <c r="S46" s="400">
        <f>IFERROR((O46-N46),"N/A")</f>
        <v/>
      </c>
      <c r="T46" s="385">
        <f>IFERROR((O46-N46)/ABS(N46),"N/A")</f>
        <v/>
      </c>
    </row>
    <row r="47" outlineLevel="1">
      <c r="A47" s="351">
        <f>$C$18&amp;" "&amp;$C$35&amp;" "&amp;C46&amp;" "&amp;C47</f>
        <v/>
      </c>
      <c r="B47" s="397" t="n"/>
      <c r="C47" s="397" t="inlineStr">
        <is>
          <t>Sales volume</t>
        </is>
      </c>
      <c r="D47" s="397" t="n"/>
      <c r="E47" s="396" t="inlineStr">
        <is>
          <t>thsd</t>
        </is>
      </c>
      <c r="F47" s="375" t="inlineStr">
        <is>
          <t>+</t>
        </is>
      </c>
      <c r="G47" s="435" t="n"/>
      <c r="H47" s="435" t="n"/>
      <c r="I47" s="435" t="n"/>
      <c r="J47" s="400">
        <f>IFERROR((H47-I47),"N/A")</f>
        <v/>
      </c>
      <c r="K47" s="385">
        <f>IFERROR((H47-I47)/ABS(I47),"N/A")</f>
        <v/>
      </c>
      <c r="L47" s="400">
        <f>IFERROR((H47-G47),"N/A")</f>
        <v/>
      </c>
      <c r="M47" s="385">
        <f>IFERROR((H47-G47)/ABS(G47),"N/A")</f>
        <v/>
      </c>
      <c r="N47" s="435" t="n"/>
      <c r="O47" s="435" t="n"/>
      <c r="P47" s="435" t="n"/>
      <c r="Q47" s="400">
        <f>IFERROR((O47-P47),"N/A")</f>
        <v/>
      </c>
      <c r="R47" s="385">
        <f>IFERROR((O47-P47)/ABS(P47),"N/A")</f>
        <v/>
      </c>
      <c r="S47" s="400">
        <f>IFERROR((O47-N47),"N/A")</f>
        <v/>
      </c>
      <c r="T47" s="385">
        <f>IFERROR((O47-N47)/ABS(N47),"N/A")</f>
        <v/>
      </c>
    </row>
    <row r="48" outlineLevel="1">
      <c r="A48" s="351">
        <f>$C$18&amp;" "&amp;$C$35&amp;" "&amp;C46&amp;" "&amp;C48</f>
        <v/>
      </c>
      <c r="B48" s="397" t="n"/>
      <c r="C48" s="397" t="inlineStr">
        <is>
          <t>Price</t>
        </is>
      </c>
      <c r="D48" s="397" t="inlineStr">
        <is>
          <t>Qiyməti</t>
        </is>
      </c>
      <c r="E48" s="396">
        <f>$D$9&amp; "</f>
        <v/>
      </c>
      <c r="F48" s="375" t="inlineStr">
        <is>
          <t>+</t>
        </is>
      </c>
      <c r="G48" s="160">
        <f>IF(G47=0,0,IFERROR(G46/G47,"N/A"))</f>
        <v/>
      </c>
      <c r="H48" s="160">
        <f>IF(H47=0,0,IFERROR(H46/H47,"N/A"))</f>
        <v/>
      </c>
      <c r="I48" s="160">
        <f>IF(I47=0,0,IFERROR(I46/I47,"N/A"))</f>
        <v/>
      </c>
      <c r="J48" s="400">
        <f>IFERROR((H48-I48),"N/A")</f>
        <v/>
      </c>
      <c r="K48" s="385">
        <f>IFERROR((H48-I48)/ABS(I48),"N/A")</f>
        <v/>
      </c>
      <c r="L48" s="400">
        <f>IFERROR((H48-G48),"N/A")</f>
        <v/>
      </c>
      <c r="M48" s="385">
        <f>IFERROR((H48-G48)/ABS(G48),"N/A")</f>
        <v/>
      </c>
      <c r="N48" s="160">
        <f>IF(N47=0,0,IFERROR(N46/N47,"N/A"))</f>
        <v/>
      </c>
      <c r="O48" s="160">
        <f>IF(O47=0,0,IFERROR(O46/O47,"N/A"))</f>
        <v/>
      </c>
      <c r="P48" s="160">
        <f>IF(P47=0,0,IFERROR(P46/P47,"N/A"))</f>
        <v/>
      </c>
      <c r="Q48" s="400">
        <f>IFERROR((O48-P48),"N/A")</f>
        <v/>
      </c>
      <c r="R48" s="385">
        <f>IFERROR((O48-P48)/ABS(P48),"N/A")</f>
        <v/>
      </c>
      <c r="S48" s="400">
        <f>IFERROR((O48-N48),"N/A")</f>
        <v/>
      </c>
      <c r="T48" s="385">
        <f>IFERROR((O48-N48)/ABS(N48),"N/A")</f>
        <v/>
      </c>
    </row>
    <row r="49" outlineLevel="1">
      <c r="A49" s="351">
        <f>$C$18&amp;" "&amp;$C$35&amp;" "&amp;C46&amp;" "&amp;C49</f>
        <v/>
      </c>
      <c r="B49" s="397" t="n"/>
      <c r="C49" s="397" t="inlineStr">
        <is>
          <t>COGs</t>
        </is>
      </c>
      <c r="D49" s="397" t="n"/>
      <c r="E49" s="396">
        <f>$D$9&amp;"</f>
        <v/>
      </c>
      <c r="F49" s="375" t="inlineStr">
        <is>
          <t>+</t>
        </is>
      </c>
      <c r="G49" s="437">
        <f>IF(G47=0,0,IFERROR(G50/G47,"N/A"))</f>
        <v/>
      </c>
      <c r="H49" s="437">
        <f>IF(H47=0,0,IFERROR(H50/H47,"N/A"))</f>
        <v/>
      </c>
      <c r="I49" s="437">
        <f>IF(I47=0,0,IFERROR(I50/I47,"N/A"))</f>
        <v/>
      </c>
      <c r="J49" s="400">
        <f>IFERROR((H49-I49),"N/A")</f>
        <v/>
      </c>
      <c r="K49" s="385">
        <f>IFERROR((H49-I49)/ABS(I49),"N/A")</f>
        <v/>
      </c>
      <c r="L49" s="400">
        <f>IFERROR((H49-G49),"N/A")</f>
        <v/>
      </c>
      <c r="M49" s="385">
        <f>IFERROR((H49-G49)/ABS(G49),"N/A")</f>
        <v/>
      </c>
      <c r="N49" s="437">
        <f>IF(N47=0,0,IFERROR(N50/N47,"N/A"))</f>
        <v/>
      </c>
      <c r="O49" s="437">
        <f>IF(O47=0,0,IFERROR(O50/O47,"N/A"))</f>
        <v/>
      </c>
      <c r="P49" s="437">
        <f>IF(P47=0,0,IFERROR(P50/P47,"N/A"))</f>
        <v/>
      </c>
      <c r="Q49" s="184">
        <f>IFERROR((O49-P49),"N/A")</f>
        <v/>
      </c>
      <c r="R49" s="385">
        <f>IFERROR((O49-P49)/ABS(P49),"N/A")</f>
        <v/>
      </c>
      <c r="S49" s="400">
        <f>IFERROR((O49-N49),"N/A")</f>
        <v/>
      </c>
      <c r="T49" s="385">
        <f>IFERROR((O49-N49)/ABS(N49),"N/A")</f>
        <v/>
      </c>
    </row>
    <row r="50" outlineLevel="1">
      <c r="B50" s="397" t="n"/>
      <c r="C50" s="436" t="inlineStr">
        <is>
          <t>Total COGs</t>
        </is>
      </c>
      <c r="D50" s="397" t="n"/>
      <c r="E50" s="396">
        <f>"thsd</f>
        <v/>
      </c>
      <c r="F50" s="375" t="inlineStr">
        <is>
          <t>+</t>
        </is>
      </c>
      <c r="G50" s="435" t="n"/>
      <c r="H50" s="435" t="n"/>
      <c r="I50" s="435" t="n"/>
      <c r="J50" s="400">
        <f>IFERROR((H50-I50),"N/A")</f>
        <v/>
      </c>
      <c r="K50" s="385">
        <f>IFERROR((H50-I50)/ABS(I50),"N/A")</f>
        <v/>
      </c>
      <c r="L50" s="400">
        <f>IFERROR((H50-G50),"N/A")</f>
        <v/>
      </c>
      <c r="M50" s="385">
        <f>IFERROR((H50-G50)/ABS(G50),"N/A")</f>
        <v/>
      </c>
      <c r="N50" s="435" t="n"/>
      <c r="O50" s="435" t="n"/>
      <c r="P50" s="435" t="n"/>
      <c r="Q50" s="184">
        <f>IFERROR((O50-P50),"N/A")</f>
        <v/>
      </c>
      <c r="R50" s="385">
        <f>IFERROR((O50-P50)/ABS(P50),"N/A")</f>
        <v/>
      </c>
      <c r="S50" s="400">
        <f>IFERROR((O50-N50),"N/A")</f>
        <v/>
      </c>
      <c r="T50" s="385">
        <f>IFERROR((O50-N50)/ABS(N50),"N/A")</f>
        <v/>
      </c>
    </row>
    <row r="51">
      <c r="B51" s="386" t="n"/>
      <c r="C51" s="386" t="inlineStr">
        <is>
          <t>Gases, net</t>
        </is>
      </c>
      <c r="D51" s="386" t="inlineStr">
        <is>
          <t>Qazlar, xalis</t>
        </is>
      </c>
      <c r="E51" s="375">
        <f>"thsd</f>
        <v/>
      </c>
      <c r="F51" s="375" t="inlineStr">
        <is>
          <t>+</t>
        </is>
      </c>
      <c r="G51" s="431">
        <f>G52+G68</f>
        <v/>
      </c>
      <c r="H51" s="431">
        <f>H52+H68</f>
        <v/>
      </c>
      <c r="I51" s="431">
        <f>I52+I68</f>
        <v/>
      </c>
      <c r="J51" s="143">
        <f>IFERROR((H51-I51),"N/A")</f>
        <v/>
      </c>
      <c r="K51" s="380">
        <f>IFERROR((H51-I51)/ABS(I51),"N/A")</f>
        <v/>
      </c>
      <c r="L51" s="143">
        <f>IFERROR((H51-G51),"N/A")</f>
        <v/>
      </c>
      <c r="M51" s="380">
        <f>IFERROR((H51-G51)/ABS(G51),"N/A")</f>
        <v/>
      </c>
      <c r="N51" s="376">
        <f>N52+N68</f>
        <v/>
      </c>
      <c r="O51" s="376">
        <f>O52+O68</f>
        <v/>
      </c>
      <c r="P51" s="376">
        <f>P52+P68</f>
        <v/>
      </c>
      <c r="Q51" s="143">
        <f>IFERROR((O51-P51),"N/A")</f>
        <v/>
      </c>
      <c r="R51" s="380">
        <f>IFERROR((O51-P51)/ABS(P51),"N/A")</f>
        <v/>
      </c>
      <c r="S51" s="143">
        <f>IFERROR((O51-N51),"N/A")</f>
        <v/>
      </c>
      <c r="T51" s="380">
        <f>IFERROR((O51-N51)/ABS(N51),"N/A")</f>
        <v/>
      </c>
    </row>
    <row r="52" outlineLevel="1" ht="25.5" customHeight="1">
      <c r="B52" s="390" t="n"/>
      <c r="C52" s="390" t="inlineStr">
        <is>
          <t>Local revenue (for Entity location)</t>
        </is>
      </c>
      <c r="D52" s="390" t="n"/>
      <c r="E52" s="391">
        <f>"thsd</f>
        <v/>
      </c>
      <c r="F52" s="375" t="inlineStr">
        <is>
          <t>+</t>
        </is>
      </c>
      <c r="G52" s="432">
        <f>G53+G58+G63</f>
        <v/>
      </c>
      <c r="H52" s="432">
        <f>H53+H58+H63</f>
        <v/>
      </c>
      <c r="I52" s="432">
        <f>I53+I58+I63</f>
        <v/>
      </c>
      <c r="J52" s="433">
        <f>IFERROR((H52-I52),"N/A")</f>
        <v/>
      </c>
      <c r="K52" s="434">
        <f>IFERROR((H52-I52)/ABS(I52),"N/A")</f>
        <v/>
      </c>
      <c r="L52" s="433">
        <f>IFERROR((H52-G52),"N/A")</f>
        <v/>
      </c>
      <c r="M52" s="434">
        <f>IFERROR((H52-G52)/ABS(G52),"N/A")</f>
        <v/>
      </c>
      <c r="N52" s="392">
        <f>N53+N58+N63</f>
        <v/>
      </c>
      <c r="O52" s="392">
        <f>O53+O58+O63</f>
        <v/>
      </c>
      <c r="P52" s="392">
        <f>P53+P58+P63</f>
        <v/>
      </c>
      <c r="Q52" s="433">
        <f>IFERROR((O52-P52),"N/A")</f>
        <v/>
      </c>
      <c r="R52" s="434">
        <f>IFERROR((O52-P52)/ABS(P52),"N/A")</f>
        <v/>
      </c>
      <c r="S52" s="433">
        <f>IFERROR((O52-N52),"N/A")</f>
        <v/>
      </c>
      <c r="T52" s="434">
        <f>IFERROR((O52-N52)/ABS(N52),"N/A")</f>
        <v/>
      </c>
    </row>
    <row r="53" outlineLevel="1">
      <c r="A53" s="351">
        <f>$C$51&amp;" "&amp;$C$19&amp;" "&amp;C53&amp;" Revenue"</f>
        <v/>
      </c>
      <c r="B53" s="395" t="n"/>
      <c r="C53" s="406" t="inlineStr">
        <is>
          <t>LPG</t>
        </is>
      </c>
      <c r="D53" s="406" t="n"/>
      <c r="E53" s="396">
        <f>"thsd</f>
        <v/>
      </c>
      <c r="F53" s="375" t="inlineStr">
        <is>
          <t>+</t>
        </is>
      </c>
      <c r="G53" s="435" t="n">
        <v>60.18700906748808</v>
      </c>
      <c r="H53" s="435" t="n">
        <v>65.73957942138826</v>
      </c>
      <c r="I53" s="435" t="n">
        <v>110</v>
      </c>
      <c r="J53" s="400">
        <f>IFERROR((H53-I53),"N/A")</f>
        <v/>
      </c>
      <c r="K53" s="385">
        <f>IFERROR((H53-I53)/ABS(I53),"N/A")</f>
        <v/>
      </c>
      <c r="L53" s="400">
        <f>IFERROR((H53-G53),"N/A")</f>
        <v/>
      </c>
      <c r="M53" s="385">
        <f>IFERROR((H53-G53)/ABS(G53),"N/A")</f>
        <v/>
      </c>
      <c r="N53" s="435" t="n">
        <v>1135.544839525014</v>
      </c>
      <c r="O53" s="435" t="n">
        <v>697.1616773621952</v>
      </c>
      <c r="P53" s="435" t="n">
        <v>1318.823529411765</v>
      </c>
      <c r="Q53" s="400">
        <f>IFERROR((O53-P53),"N/A")</f>
        <v/>
      </c>
      <c r="R53" s="385">
        <f>IFERROR((O53-P53)/ABS(P53),"N/A")</f>
        <v/>
      </c>
      <c r="S53" s="400">
        <f>IFERROR((O53-N53),"N/A")</f>
        <v/>
      </c>
      <c r="T53" s="385">
        <f>IFERROR((O53-N53)/ABS(N53),"N/A")</f>
        <v/>
      </c>
    </row>
    <row r="54" outlineLevel="1">
      <c r="A54" s="351">
        <f>$C$51&amp;" "&amp;$C$19&amp;" "&amp;C53&amp;" "&amp;C54</f>
        <v/>
      </c>
      <c r="B54" s="397" t="n"/>
      <c r="C54" s="436" t="inlineStr">
        <is>
          <t>Sales volume</t>
        </is>
      </c>
      <c r="D54" s="436" t="n"/>
      <c r="E54" s="396" t="inlineStr">
        <is>
          <t>mln m3</t>
        </is>
      </c>
      <c r="F54" s="375" t="inlineStr">
        <is>
          <t>+</t>
        </is>
      </c>
      <c r="G54" s="435" t="n">
        <v>0.00011183606</v>
      </c>
      <c r="H54" s="435" t="n">
        <v>0.00011650484</v>
      </c>
      <c r="I54" s="435" t="n">
        <v>0.0002054935201169149</v>
      </c>
      <c r="J54" s="400">
        <f>IFERROR((H54-I54),"N/A")</f>
        <v/>
      </c>
      <c r="K54" s="385">
        <f>IFERROR((H54-I54)/ABS(I54),"N/A")</f>
        <v/>
      </c>
      <c r="L54" s="400">
        <f>IFERROR((H54-G54),"N/A")</f>
        <v/>
      </c>
      <c r="M54" s="385">
        <f>IFERROR((H54-G54)/ABS(G54),"N/A")</f>
        <v/>
      </c>
      <c r="N54" s="435" t="n">
        <v>0.00170035432</v>
      </c>
      <c r="O54" s="435" t="n">
        <v>0.001265420983</v>
      </c>
      <c r="P54" s="435" t="n">
        <v>0.002465780708862753</v>
      </c>
      <c r="Q54" s="400">
        <f>IFERROR((O54-P54),"N/A")</f>
        <v/>
      </c>
      <c r="R54" s="385">
        <f>IFERROR((O54-P54)/ABS(P54),"N/A")</f>
        <v/>
      </c>
      <c r="S54" s="400">
        <f>IFERROR((O54-N54),"N/A")</f>
        <v/>
      </c>
      <c r="T54" s="385">
        <f>IFERROR((O54-N54)/ABS(N54),"N/A")</f>
        <v/>
      </c>
    </row>
    <row r="55" outlineLevel="1">
      <c r="A55" s="351">
        <f>$C$51&amp;" "&amp;$C$19&amp;" "&amp;C53&amp;" "&amp;C55</f>
        <v/>
      </c>
      <c r="B55" s="397" t="n"/>
      <c r="C55" s="436" t="inlineStr">
        <is>
          <t>Price</t>
        </is>
      </c>
      <c r="D55" s="436" t="inlineStr">
        <is>
          <t>Qiyməti</t>
        </is>
      </c>
      <c r="E55" s="396">
        <f>$D$9&amp; "</f>
        <v/>
      </c>
      <c r="F55" s="375" t="inlineStr">
        <is>
          <t>+</t>
        </is>
      </c>
      <c r="G55" s="160">
        <f>IF(G54=0,0,IFERROR(G53/G54,"N/A"))</f>
        <v/>
      </c>
      <c r="H55" s="160">
        <f>IF(H54=0,0,IFERROR(H53/H54,"N/A"))</f>
        <v/>
      </c>
      <c r="I55" s="160">
        <f>IF(I54=0,0,IFERROR(I53/I54,"N/A"))</f>
        <v/>
      </c>
      <c r="J55" s="400">
        <f>IFERROR((H55-I55),"N/A")</f>
        <v/>
      </c>
      <c r="K55" s="385">
        <f>IFERROR((H55-I55)/ABS(I55),"N/A")</f>
        <v/>
      </c>
      <c r="L55" s="400">
        <f>IFERROR((H55-G55),"N/A")</f>
        <v/>
      </c>
      <c r="M55" s="385">
        <f>IFERROR((H55-G55)/ABS(G55),"N/A")</f>
        <v/>
      </c>
      <c r="N55" s="160">
        <f>IF(N54=0,0,IFERROR(N53/N54,"N/A"))</f>
        <v/>
      </c>
      <c r="O55" s="160">
        <f>IF(O54=0,0,IFERROR(O53/O54,"N/A"))</f>
        <v/>
      </c>
      <c r="P55" s="160">
        <f>IF(P54=0,0,IFERROR(P53/P54,"N/A"))</f>
        <v/>
      </c>
      <c r="Q55" s="400">
        <f>IFERROR((O55-P55),"N/A")</f>
        <v/>
      </c>
      <c r="R55" s="385">
        <f>IFERROR((O55-P55)/ABS(P55),"N/A")</f>
        <v/>
      </c>
      <c r="S55" s="400">
        <f>IFERROR((O55-N55),"N/A")</f>
        <v/>
      </c>
      <c r="T55" s="385">
        <f>IFERROR((O55-N55)/ABS(N55),"N/A")</f>
        <v/>
      </c>
    </row>
    <row r="56" outlineLevel="1">
      <c r="A56" s="351">
        <f>$C$51&amp;" "&amp;$C$19&amp;" "&amp;C53&amp;" "&amp;C56</f>
        <v/>
      </c>
      <c r="B56" s="397" t="n"/>
      <c r="C56" s="436" t="inlineStr">
        <is>
          <t>COGs</t>
        </is>
      </c>
      <c r="D56" s="436" t="n"/>
      <c r="E56" s="396">
        <f>$D$9&amp; "</f>
        <v/>
      </c>
      <c r="F56" s="375" t="inlineStr">
        <is>
          <t>+</t>
        </is>
      </c>
      <c r="G56" s="437">
        <f>IF(G54=0,0,IFERROR(G57/G54,"N/A"))</f>
        <v/>
      </c>
      <c r="H56" s="437">
        <f>IF(H54=0,0,IFERROR(H57/H54,"N/A"))</f>
        <v/>
      </c>
      <c r="I56" s="437">
        <f>IF(I54=0,0,IFERROR(I57/I54,"N/A"))</f>
        <v/>
      </c>
      <c r="J56" s="400">
        <f>IFERROR((H56-I56),"N/A")</f>
        <v/>
      </c>
      <c r="K56" s="385">
        <f>IFERROR((H56-I56)/ABS(I56),"N/A")</f>
        <v/>
      </c>
      <c r="L56" s="400">
        <f>IFERROR((H56-G56),"N/A")</f>
        <v/>
      </c>
      <c r="M56" s="385">
        <f>IFERROR((H56-G56)/ABS(G56),"N/A")</f>
        <v/>
      </c>
      <c r="N56" s="437">
        <f>IF(N54=0,0,IFERROR(N57/N54,"N/A"))</f>
        <v/>
      </c>
      <c r="O56" s="437">
        <f>IF(O54=0,0,IFERROR(O57/O54,"N/A"))</f>
        <v/>
      </c>
      <c r="P56" s="437">
        <f>IF(P54=0,0,IFERROR(P57/P54,"N/A"))</f>
        <v/>
      </c>
      <c r="Q56" s="184">
        <f>IFERROR((O56-P56),"N/A")</f>
        <v/>
      </c>
      <c r="R56" s="385">
        <f>IFERROR((O56-P56)/ABS(P56),"N/A")</f>
        <v/>
      </c>
      <c r="S56" s="400">
        <f>IFERROR((O56-N56),"N/A")</f>
        <v/>
      </c>
      <c r="T56" s="385">
        <f>IFERROR((O56-N56)/ABS(N56),"N/A")</f>
        <v/>
      </c>
    </row>
    <row r="57" outlineLevel="1">
      <c r="B57" s="397" t="n"/>
      <c r="C57" s="436" t="inlineStr">
        <is>
          <t>Total COGs</t>
        </is>
      </c>
      <c r="D57" s="397" t="n"/>
      <c r="E57" s="396">
        <f>"thsd</f>
        <v/>
      </c>
      <c r="F57" s="375" t="inlineStr">
        <is>
          <t>+</t>
        </is>
      </c>
      <c r="G57" s="435" t="n">
        <v>52.64198001480387</v>
      </c>
      <c r="H57" s="435" t="n">
        <v>49.44379415483007</v>
      </c>
      <c r="I57" s="435" t="n">
        <v>90.26530970788907</v>
      </c>
      <c r="J57" s="400">
        <f>IFERROR((H57-I57),"N/A")</f>
        <v/>
      </c>
      <c r="K57" s="385">
        <f>IFERROR((H57-I57)/ABS(I57),"N/A")</f>
        <v/>
      </c>
      <c r="L57" s="400">
        <f>IFERROR((H57-G57),"N/A")</f>
        <v/>
      </c>
      <c r="M57" s="385">
        <f>IFERROR((H57-G57)/ABS(G57),"N/A")</f>
        <v/>
      </c>
      <c r="N57" s="435" t="n">
        <v>839.2633074559069</v>
      </c>
      <c r="O57" s="435" t="n">
        <v>549.6026251208448</v>
      </c>
      <c r="P57" s="435" t="n">
        <v>1083.149349220138</v>
      </c>
      <c r="Q57" s="184">
        <f>IFERROR((O57-P57),"N/A")</f>
        <v/>
      </c>
      <c r="R57" s="385">
        <f>IFERROR((O57-P57)/ABS(P57),"N/A")</f>
        <v/>
      </c>
      <c r="S57" s="400">
        <f>IFERROR((O57-N57),"N/A")</f>
        <v/>
      </c>
      <c r="T57" s="385">
        <f>IFERROR((O57-N57)/ABS(N57),"N/A")</f>
        <v/>
      </c>
    </row>
    <row r="58" outlineLevel="1">
      <c r="A58" s="351">
        <f>$C$51&amp;" "&amp;$C$19&amp;" "&amp;C58&amp;" Revenue"</f>
        <v/>
      </c>
      <c r="B58" s="395" t="n"/>
      <c r="C58" s="406" t="inlineStr">
        <is>
          <t>CNG</t>
        </is>
      </c>
      <c r="D58" s="406" t="n"/>
      <c r="E58" s="396">
        <f>"thsd</f>
        <v/>
      </c>
      <c r="F58" s="375" t="inlineStr">
        <is>
          <t>+</t>
        </is>
      </c>
      <c r="G58" s="435" t="n">
        <v>2374.924692307107</v>
      </c>
      <c r="H58" s="435" t="n">
        <v>1883.355541083513</v>
      </c>
      <c r="I58" s="435" t="n">
        <v>1832.941176470588</v>
      </c>
      <c r="J58" s="400">
        <f>IFERROR((H58-I58),"N/A")</f>
        <v/>
      </c>
      <c r="K58" s="385">
        <f>IFERROR((H58-I58)/ABS(I58),"N/A")</f>
        <v/>
      </c>
      <c r="L58" s="400">
        <f>IFERROR((H58-G58),"N/A")</f>
        <v/>
      </c>
      <c r="M58" s="385">
        <f>IFERROR((H58-G58)/ABS(G58),"N/A")</f>
        <v/>
      </c>
      <c r="N58" s="435" t="n">
        <v>25758.34033214592</v>
      </c>
      <c r="O58" s="435" t="n">
        <v>22650.79434027345</v>
      </c>
      <c r="P58" s="435" t="n">
        <v>20962.35294117647</v>
      </c>
      <c r="Q58" s="400">
        <f>IFERROR((O58-P58),"N/A")</f>
        <v/>
      </c>
      <c r="R58" s="385">
        <f>IFERROR((O58-P58)/ABS(P58),"N/A")</f>
        <v/>
      </c>
      <c r="S58" s="400">
        <f>IFERROR((O58-N58),"N/A")</f>
        <v/>
      </c>
      <c r="T58" s="385">
        <f>IFERROR((O58-N58)/ABS(N58),"N/A")</f>
        <v/>
      </c>
    </row>
    <row r="59" outlineLevel="1">
      <c r="A59" s="351">
        <f>$C$51&amp;" "&amp;$C$19&amp;" "&amp;C58&amp;" "&amp;C59</f>
        <v/>
      </c>
      <c r="B59" s="397" t="n"/>
      <c r="C59" s="436" t="inlineStr">
        <is>
          <t>Sales volume</t>
        </is>
      </c>
      <c r="D59" s="436" t="n"/>
      <c r="E59" s="396" t="inlineStr">
        <is>
          <t>mln m3</t>
        </is>
      </c>
      <c r="F59" s="375" t="inlineStr">
        <is>
          <t>+</t>
        </is>
      </c>
      <c r="G59" s="435" t="n">
        <v>4.708854750000002</v>
      </c>
      <c r="H59" s="435" t="n">
        <v>3.84527806</v>
      </c>
      <c r="I59" s="435" t="n">
        <v>4.854420000000001</v>
      </c>
      <c r="J59" s="400">
        <f>IFERROR((H59-I59),"N/A")</f>
        <v/>
      </c>
      <c r="K59" s="385">
        <f>IFERROR((H59-I59)/ABS(I59),"N/A")</f>
        <v/>
      </c>
      <c r="L59" s="400">
        <f>IFERROR((H59-G59),"N/A")</f>
        <v/>
      </c>
      <c r="M59" s="385">
        <f>IFERROR((H59-G59)/ABS(G59),"N/A")</f>
        <v/>
      </c>
      <c r="N59" s="435" t="n">
        <v>52.67826513</v>
      </c>
      <c r="O59" s="435" t="n">
        <v>45.80787377</v>
      </c>
      <c r="P59" s="435" t="n">
        <v>55.51288943941317</v>
      </c>
      <c r="Q59" s="400">
        <f>IFERROR((O59-P59),"N/A")</f>
        <v/>
      </c>
      <c r="R59" s="385">
        <f>IFERROR((O59-P59)/ABS(P59),"N/A")</f>
        <v/>
      </c>
      <c r="S59" s="400">
        <f>IFERROR((O59-N59),"N/A")</f>
        <v/>
      </c>
      <c r="T59" s="385">
        <f>IFERROR((O59-N59)/ABS(N59),"N/A")</f>
        <v/>
      </c>
    </row>
    <row r="60" outlineLevel="1">
      <c r="A60" s="351">
        <f>$C$51&amp;" "&amp;$C$19&amp;" "&amp;C58&amp;" "&amp;C60</f>
        <v/>
      </c>
      <c r="B60" s="397" t="n"/>
      <c r="C60" s="436" t="inlineStr">
        <is>
          <t>Price</t>
        </is>
      </c>
      <c r="D60" s="436" t="inlineStr">
        <is>
          <t>Qiyməti</t>
        </is>
      </c>
      <c r="E60" s="396">
        <f>$D$9&amp; "</f>
        <v/>
      </c>
      <c r="F60" s="375" t="inlineStr">
        <is>
          <t>+</t>
        </is>
      </c>
      <c r="G60" s="160">
        <f>IF(G59=0,0,IFERROR(G58/G59,"N/A"))</f>
        <v/>
      </c>
      <c r="H60" s="160">
        <f>IF(H59=0,0,IFERROR(H58/H59,"N/A"))</f>
        <v/>
      </c>
      <c r="I60" s="160">
        <f>IF(I59=0,0,IFERROR(I58/I59,"N/A"))</f>
        <v/>
      </c>
      <c r="J60" s="400">
        <f>IFERROR((H60-I60),"N/A")</f>
        <v/>
      </c>
      <c r="K60" s="385">
        <f>IFERROR((H60-I60)/ABS(I60),"N/A")</f>
        <v/>
      </c>
      <c r="L60" s="400">
        <f>IFERROR((H60-G60),"N/A")</f>
        <v/>
      </c>
      <c r="M60" s="385">
        <f>IFERROR((H60-G60)/ABS(G60),"N/A")</f>
        <v/>
      </c>
      <c r="N60" s="160">
        <f>IF(N59=0,0,IFERROR(N58/N59,"N/A"))</f>
        <v/>
      </c>
      <c r="O60" s="160">
        <f>IF(O59=0,0,IFERROR(O58/O59,"N/A"))</f>
        <v/>
      </c>
      <c r="P60" s="160">
        <f>IF(P59=0,0,IFERROR(P58/P59,"N/A"))</f>
        <v/>
      </c>
      <c r="Q60" s="400">
        <f>IFERROR((O60-P60),"N/A")</f>
        <v/>
      </c>
      <c r="R60" s="385">
        <f>IFERROR((O60-P60)/ABS(P60),"N/A")</f>
        <v/>
      </c>
      <c r="S60" s="400">
        <f>IFERROR((O60-N60),"N/A")</f>
        <v/>
      </c>
      <c r="T60" s="385">
        <f>IFERROR((O60-N60)/ABS(N60),"N/A")</f>
        <v/>
      </c>
    </row>
    <row r="61" outlineLevel="1">
      <c r="A61" s="351">
        <f>$C$51&amp;" "&amp;$C$19&amp;" "&amp;C58&amp;" "&amp;C61</f>
        <v/>
      </c>
      <c r="B61" s="397" t="n"/>
      <c r="C61" s="436" t="inlineStr">
        <is>
          <t>COGs</t>
        </is>
      </c>
      <c r="D61" s="436" t="n"/>
      <c r="E61" s="396">
        <f>$D$9&amp; "</f>
        <v/>
      </c>
      <c r="F61" s="375" t="inlineStr">
        <is>
          <t>+</t>
        </is>
      </c>
      <c r="G61" s="437">
        <f>IF(G59=0,0,IFERROR(G62/G59,"N/A"))</f>
        <v/>
      </c>
      <c r="H61" s="437">
        <f>IF(H59=0,0,IFERROR(H62/H59,"N/A"))</f>
        <v/>
      </c>
      <c r="I61" s="437">
        <f>IF(I59=0,0,IFERROR(I62/I59,"N/A"))</f>
        <v/>
      </c>
      <c r="J61" s="400">
        <f>IFERROR((H61-I61),"N/A")</f>
        <v/>
      </c>
      <c r="K61" s="385">
        <f>IFERROR((H61-I61)/ABS(I61),"N/A")</f>
        <v/>
      </c>
      <c r="L61" s="400">
        <f>IFERROR((H61-G61),"N/A")</f>
        <v/>
      </c>
      <c r="M61" s="385">
        <f>IFERROR((H61-G61)/ABS(G61),"N/A")</f>
        <v/>
      </c>
      <c r="N61" s="437">
        <f>IF(N59=0,0,IFERROR(N62/N59,"N/A"))</f>
        <v/>
      </c>
      <c r="O61" s="437">
        <f>IF(O59=0,0,IFERROR(O62/O59,"N/A"))</f>
        <v/>
      </c>
      <c r="P61" s="437">
        <f>IF(P59=0,0,IFERROR(P62/P59,"N/A"))</f>
        <v/>
      </c>
      <c r="Q61" s="184">
        <f>IFERROR((O61-P61),"N/A")</f>
        <v/>
      </c>
      <c r="R61" s="385">
        <f>IFERROR((O61-P61)/ABS(P61),"N/A")</f>
        <v/>
      </c>
      <c r="S61" s="400">
        <f>IFERROR((O61-N61),"N/A")</f>
        <v/>
      </c>
      <c r="T61" s="385">
        <f>IFERROR((O61-N61)/ABS(N61),"N/A")</f>
        <v/>
      </c>
    </row>
    <row r="62" outlineLevel="1">
      <c r="B62" s="397" t="n"/>
      <c r="C62" s="436" t="inlineStr">
        <is>
          <t>Total COGs</t>
        </is>
      </c>
      <c r="D62" s="397" t="n"/>
      <c r="E62" s="396">
        <f>"thsd</f>
        <v/>
      </c>
      <c r="F62" s="375" t="inlineStr">
        <is>
          <t>+</t>
        </is>
      </c>
      <c r="G62" s="435" t="n">
        <v>1796.761335595376</v>
      </c>
      <c r="H62" s="435" t="n">
        <v>1303.890414174078</v>
      </c>
      <c r="I62" s="435" t="n">
        <v>1332.257195391484</v>
      </c>
      <c r="J62" s="400">
        <f>IFERROR((H62-I62),"N/A")</f>
        <v/>
      </c>
      <c r="K62" s="385">
        <f>IFERROR((H62-I62)/ABS(I62),"N/A")</f>
        <v/>
      </c>
      <c r="L62" s="400">
        <f>IFERROR((H62-G62),"N/A")</f>
        <v/>
      </c>
      <c r="M62" s="385">
        <f>IFERROR((H62-G62)/ABS(G62),"N/A")</f>
        <v/>
      </c>
      <c r="N62" s="435" t="n">
        <v>19812.21339089287</v>
      </c>
      <c r="O62" s="435" t="n">
        <v>16408.47587454581</v>
      </c>
      <c r="P62" s="435" t="n">
        <v>15235.11320093905</v>
      </c>
      <c r="Q62" s="184">
        <f>IFERROR((O62-P62),"N/A")</f>
        <v/>
      </c>
      <c r="R62" s="385">
        <f>IFERROR((O62-P62)/ABS(P62),"N/A")</f>
        <v/>
      </c>
      <c r="S62" s="400">
        <f>IFERROR((O62-N62),"N/A")</f>
        <v/>
      </c>
      <c r="T62" s="385">
        <f>IFERROR((O62-N62)/ABS(N62),"N/A")</f>
        <v/>
      </c>
    </row>
    <row r="63" outlineLevel="1">
      <c r="A63" s="351">
        <f>$C$51&amp;" "&amp;$C$19&amp;" "&amp;C63&amp;" Revenue"</f>
        <v/>
      </c>
      <c r="B63" s="395" t="n"/>
      <c r="C63" s="406" t="inlineStr">
        <is>
          <t>Other</t>
        </is>
      </c>
      <c r="D63" s="406" t="inlineStr">
        <is>
          <t>Digər</t>
        </is>
      </c>
      <c r="E63" s="396">
        <f>"thsd</f>
        <v/>
      </c>
      <c r="F63" s="375" t="inlineStr">
        <is>
          <t>+</t>
        </is>
      </c>
      <c r="G63" s="435" t="n"/>
      <c r="H63" s="435" t="n"/>
      <c r="I63" s="435" t="n"/>
      <c r="J63" s="400">
        <f>IFERROR((H63-I63),"N/A")</f>
        <v/>
      </c>
      <c r="K63" s="385">
        <f>IFERROR((H63-I63)/ABS(I63),"N/A")</f>
        <v/>
      </c>
      <c r="L63" s="400">
        <f>IFERROR((H63-G63),"N/A")</f>
        <v/>
      </c>
      <c r="M63" s="385">
        <f>IFERROR((H63-G63)/ABS(G63),"N/A")</f>
        <v/>
      </c>
      <c r="N63" s="435" t="n"/>
      <c r="O63" s="435" t="n"/>
      <c r="P63" s="435" t="n"/>
      <c r="Q63" s="400">
        <f>IFERROR((O63-P63),"N/A")</f>
        <v/>
      </c>
      <c r="R63" s="385">
        <f>IFERROR((O63-P63)/ABS(P63),"N/A")</f>
        <v/>
      </c>
      <c r="S63" s="400">
        <f>IFERROR((O63-N63),"N/A")</f>
        <v/>
      </c>
      <c r="T63" s="385">
        <f>IFERROR((O63-N63)/ABS(N63),"N/A")</f>
        <v/>
      </c>
    </row>
    <row r="64" outlineLevel="1">
      <c r="A64" s="351">
        <f>$C$51&amp;" "&amp;$C$19&amp;" "&amp;C63&amp;" "&amp;C64</f>
        <v/>
      </c>
      <c r="B64" s="397" t="n"/>
      <c r="C64" s="436" t="inlineStr">
        <is>
          <t>Sales volume</t>
        </is>
      </c>
      <c r="D64" s="436" t="n"/>
      <c r="E64" s="396" t="inlineStr">
        <is>
          <t>mln m3</t>
        </is>
      </c>
      <c r="F64" s="375" t="inlineStr">
        <is>
          <t>+</t>
        </is>
      </c>
      <c r="G64" s="435" t="n"/>
      <c r="H64" s="435" t="n"/>
      <c r="I64" s="435" t="n"/>
      <c r="J64" s="400">
        <f>IFERROR((H64-I64),"N/A")</f>
        <v/>
      </c>
      <c r="K64" s="385">
        <f>IFERROR((H64-I64)/ABS(I64),"N/A")</f>
        <v/>
      </c>
      <c r="L64" s="400">
        <f>IFERROR((H64-G64),"N/A")</f>
        <v/>
      </c>
      <c r="M64" s="385">
        <f>IFERROR((H64-G64)/ABS(G64),"N/A")</f>
        <v/>
      </c>
      <c r="N64" s="435" t="n"/>
      <c r="O64" s="435" t="n"/>
      <c r="P64" s="435" t="n"/>
      <c r="Q64" s="400">
        <f>IFERROR((O64-P64),"N/A")</f>
        <v/>
      </c>
      <c r="R64" s="385">
        <f>IFERROR((O64-P64)/ABS(P64),"N/A")</f>
        <v/>
      </c>
      <c r="S64" s="400">
        <f>IFERROR((O64-N64),"N/A")</f>
        <v/>
      </c>
      <c r="T64" s="385">
        <f>IFERROR((O64-N64)/ABS(N64),"N/A")</f>
        <v/>
      </c>
    </row>
    <row r="65" outlineLevel="1">
      <c r="A65" s="351">
        <f>$C$51&amp;" "&amp;$C$19&amp;" "&amp;C63&amp;" "&amp;C65</f>
        <v/>
      </c>
      <c r="B65" s="397" t="n"/>
      <c r="C65" s="397" t="inlineStr">
        <is>
          <t>Price</t>
        </is>
      </c>
      <c r="D65" s="397" t="inlineStr">
        <is>
          <t>Qiyməti</t>
        </is>
      </c>
      <c r="E65" s="396">
        <f>$D$9&amp; "</f>
        <v/>
      </c>
      <c r="F65" s="375" t="inlineStr">
        <is>
          <t>+</t>
        </is>
      </c>
      <c r="G65" s="160">
        <f>IF(G64=0,0,IFERROR(G63/G64,"N/A"))</f>
        <v/>
      </c>
      <c r="H65" s="160">
        <f>IF(H64=0,0,IFERROR(H63/H64,"N/A"))</f>
        <v/>
      </c>
      <c r="I65" s="160">
        <f>IF(I64=0,0,IFERROR(I63/I64,"N/A"))</f>
        <v/>
      </c>
      <c r="J65" s="400">
        <f>IFERROR((H65-I65),"N/A")</f>
        <v/>
      </c>
      <c r="K65" s="385">
        <f>IFERROR((H65-I65)/ABS(I65),"N/A")</f>
        <v/>
      </c>
      <c r="L65" s="400">
        <f>IFERROR((H65-G65),"N/A")</f>
        <v/>
      </c>
      <c r="M65" s="385">
        <f>IFERROR((H65-G65)/ABS(G65),"N/A")</f>
        <v/>
      </c>
      <c r="N65" s="160">
        <f>IF(N64=0,0,IFERROR(N63/N64,"N/A"))</f>
        <v/>
      </c>
      <c r="O65" s="160">
        <f>IF(O64=0,0,IFERROR(O63/O64,"N/A"))</f>
        <v/>
      </c>
      <c r="P65" s="160">
        <f>IF(P64=0,0,IFERROR(P63/P64,"N/A"))</f>
        <v/>
      </c>
      <c r="Q65" s="400">
        <f>IFERROR((O65-P65),"N/A")</f>
        <v/>
      </c>
      <c r="R65" s="385">
        <f>IFERROR((O65-P65)/ABS(P65),"N/A")</f>
        <v/>
      </c>
      <c r="S65" s="400">
        <f>IFERROR((O65-N65),"N/A")</f>
        <v/>
      </c>
      <c r="T65" s="385">
        <f>IFERROR((O65-N65)/ABS(N65),"N/A")</f>
        <v/>
      </c>
    </row>
    <row r="66" outlineLevel="1">
      <c r="A66" s="351">
        <f>$C$51&amp;" "&amp;$C$19&amp;" "&amp;C63&amp;" "&amp;C66</f>
        <v/>
      </c>
      <c r="B66" s="397" t="n"/>
      <c r="C66" s="397" t="inlineStr">
        <is>
          <t>COGs</t>
        </is>
      </c>
      <c r="D66" s="397" t="n"/>
      <c r="E66" s="396">
        <f>$D$9&amp; "</f>
        <v/>
      </c>
      <c r="F66" s="375" t="inlineStr">
        <is>
          <t>+</t>
        </is>
      </c>
      <c r="G66" s="437">
        <f>IF(G64=0,0,IFERROR(G67/G64,"N/A"))</f>
        <v/>
      </c>
      <c r="H66" s="437">
        <f>IF(H64=0,0,IFERROR(H67/H64,"N/A"))</f>
        <v/>
      </c>
      <c r="I66" s="437">
        <f>IF(I64=0,0,IFERROR(I67/I64,"N/A"))</f>
        <v/>
      </c>
      <c r="J66" s="400">
        <f>IFERROR((H66-I66),"N/A")</f>
        <v/>
      </c>
      <c r="K66" s="385">
        <f>IFERROR((H66-I66)/ABS(I66),"N/A")</f>
        <v/>
      </c>
      <c r="L66" s="400">
        <f>IFERROR((H66-G66),"N/A")</f>
        <v/>
      </c>
      <c r="M66" s="385">
        <f>IFERROR((H66-G66)/ABS(G66),"N/A")</f>
        <v/>
      </c>
      <c r="N66" s="437">
        <f>IF(N64=0,0,IFERROR(N67/N64,"N/A"))</f>
        <v/>
      </c>
      <c r="O66" s="437">
        <f>IF(O64=0,0,IFERROR(O67/O64,"N/A"))</f>
        <v/>
      </c>
      <c r="P66" s="437">
        <f>IF(P64=0,0,IFERROR(P67/P64,"N/A"))</f>
        <v/>
      </c>
      <c r="Q66" s="184">
        <f>IFERROR((O66-P66),"N/A")</f>
        <v/>
      </c>
      <c r="R66" s="385">
        <f>IFERROR((O66-P66)/ABS(P66),"N/A")</f>
        <v/>
      </c>
      <c r="S66" s="400">
        <f>IFERROR((O66-N66),"N/A")</f>
        <v/>
      </c>
      <c r="T66" s="385">
        <f>IFERROR((O66-N66)/ABS(N66),"N/A")</f>
        <v/>
      </c>
    </row>
    <row r="67" outlineLevel="1">
      <c r="B67" s="397" t="n"/>
      <c r="C67" s="436" t="inlineStr">
        <is>
          <t>Total COGs</t>
        </is>
      </c>
      <c r="D67" s="397" t="n"/>
      <c r="E67" s="396">
        <f>"thsd</f>
        <v/>
      </c>
      <c r="F67" s="375" t="inlineStr">
        <is>
          <t>+</t>
        </is>
      </c>
      <c r="G67" s="435" t="n"/>
      <c r="H67" s="435" t="n"/>
      <c r="I67" s="435" t="n"/>
      <c r="J67" s="400">
        <f>IFERROR((H67-I67),"N/A")</f>
        <v/>
      </c>
      <c r="K67" s="385">
        <f>IFERROR((H67-I67)/ABS(I67),"N/A")</f>
        <v/>
      </c>
      <c r="L67" s="400">
        <f>IFERROR((H67-G67),"N/A")</f>
        <v/>
      </c>
      <c r="M67" s="385">
        <f>IFERROR((H67-G67)/ABS(G67),"N/A")</f>
        <v/>
      </c>
      <c r="N67" s="435" t="n"/>
      <c r="O67" s="435" t="n"/>
      <c r="P67" s="435" t="n"/>
      <c r="Q67" s="184">
        <f>IFERROR((O67-P67),"N/A")</f>
        <v/>
      </c>
      <c r="R67" s="385">
        <f>IFERROR((O67-P67)/ABS(P67),"N/A")</f>
        <v/>
      </c>
      <c r="S67" s="400">
        <f>IFERROR((O67-N67),"N/A")</f>
        <v/>
      </c>
      <c r="T67" s="385">
        <f>IFERROR((O67-N67)/ABS(N67),"N/A")</f>
        <v/>
      </c>
    </row>
    <row r="68" outlineLevel="1" ht="25.5" customHeight="1">
      <c r="B68" s="401" t="n"/>
      <c r="C68" s="401" t="inlineStr">
        <is>
          <t>Overseas revenue (for Entity location)</t>
        </is>
      </c>
      <c r="D68" s="401" t="n"/>
      <c r="E68" s="402">
        <f>"thsd</f>
        <v/>
      </c>
      <c r="F68" s="375" t="inlineStr">
        <is>
          <t>+</t>
        </is>
      </c>
      <c r="G68" s="438">
        <f>G69+G74+G79</f>
        <v/>
      </c>
      <c r="H68" s="438">
        <f>H69+H74+H79</f>
        <v/>
      </c>
      <c r="I68" s="438">
        <f>I69+I74+I79</f>
        <v/>
      </c>
      <c r="J68" s="439">
        <f>IFERROR((H68-I68),"N/A")</f>
        <v/>
      </c>
      <c r="K68" s="440">
        <f>IFERROR((H68-I68)/ABS(I68),"N/A")</f>
        <v/>
      </c>
      <c r="L68" s="439">
        <f>IFERROR((H68-G68),"N/A")</f>
        <v/>
      </c>
      <c r="M68" s="440">
        <f>IFERROR((H68-G68)/ABS(G68),"N/A")</f>
        <v/>
      </c>
      <c r="N68" s="403">
        <f>N69+N74+N79</f>
        <v/>
      </c>
      <c r="O68" s="403">
        <f>O69+O74+O79</f>
        <v/>
      </c>
      <c r="P68" s="403">
        <f>P69+P74+P79</f>
        <v/>
      </c>
      <c r="Q68" s="439">
        <f>IFERROR((O68-P68),"N/A")</f>
        <v/>
      </c>
      <c r="R68" s="440">
        <f>IFERROR((O68-P68)/ABS(P68),"N/A")</f>
        <v/>
      </c>
      <c r="S68" s="439">
        <f>IFERROR((O68-N68),"N/A")</f>
        <v/>
      </c>
      <c r="T68" s="440">
        <f>IFERROR((O68-N68)/ABS(N68),"N/A")</f>
        <v/>
      </c>
    </row>
    <row r="69" outlineLevel="1">
      <c r="A69" s="351">
        <f>$C$51&amp;" "&amp;$C$35&amp;" "&amp;C69&amp;" Revenue"</f>
        <v/>
      </c>
      <c r="B69" s="395" t="n"/>
      <c r="C69" s="395">
        <f>C53</f>
        <v/>
      </c>
      <c r="D69" s="395">
        <f>D53</f>
        <v/>
      </c>
      <c r="E69" s="396">
        <f>"thsd</f>
        <v/>
      </c>
      <c r="F69" s="375" t="inlineStr">
        <is>
          <t>+</t>
        </is>
      </c>
      <c r="G69" s="435" t="n"/>
      <c r="H69" s="435" t="n"/>
      <c r="I69" s="435" t="n"/>
      <c r="J69" s="400">
        <f>IFERROR((H69-I69),"N/A")</f>
        <v/>
      </c>
      <c r="K69" s="385">
        <f>IFERROR((H69-I69)/ABS(I69),"N/A")</f>
        <v/>
      </c>
      <c r="L69" s="400">
        <f>IFERROR((H69-G69),"N/A")</f>
        <v/>
      </c>
      <c r="M69" s="385">
        <f>IFERROR((H69-G69)/ABS(G69),"N/A")</f>
        <v/>
      </c>
      <c r="N69" s="435" t="n"/>
      <c r="O69" s="435" t="n"/>
      <c r="P69" s="435" t="n"/>
      <c r="Q69" s="400">
        <f>IFERROR((O69-P69),"N/A")</f>
        <v/>
      </c>
      <c r="R69" s="385">
        <f>IFERROR((O69-P69)/ABS(P69),"N/A")</f>
        <v/>
      </c>
      <c r="S69" s="400">
        <f>IFERROR((O69-N69),"N/A")</f>
        <v/>
      </c>
      <c r="T69" s="385">
        <f>IFERROR((O69-N69)/ABS(N69),"N/A")</f>
        <v/>
      </c>
    </row>
    <row r="70" outlineLevel="1">
      <c r="A70" s="351">
        <f>$C$51&amp;" "&amp;$C$35&amp;" "&amp;C69&amp;" "&amp;C70</f>
        <v/>
      </c>
      <c r="B70" s="397" t="n"/>
      <c r="C70" s="397" t="inlineStr">
        <is>
          <t>Sales volume</t>
        </is>
      </c>
      <c r="D70" s="397" t="n"/>
      <c r="E70" s="396" t="inlineStr">
        <is>
          <t>mln m3</t>
        </is>
      </c>
      <c r="F70" s="375" t="inlineStr">
        <is>
          <t>+</t>
        </is>
      </c>
      <c r="G70" s="435" t="n"/>
      <c r="H70" s="435" t="n"/>
      <c r="I70" s="435" t="n"/>
      <c r="J70" s="400">
        <f>IFERROR((H70-I70),"N/A")</f>
        <v/>
      </c>
      <c r="K70" s="385">
        <f>IFERROR((H70-I70)/ABS(I70),"N/A")</f>
        <v/>
      </c>
      <c r="L70" s="400">
        <f>IFERROR((H70-G70),"N/A")</f>
        <v/>
      </c>
      <c r="M70" s="385">
        <f>IFERROR((H70-G70)/ABS(G70),"N/A")</f>
        <v/>
      </c>
      <c r="N70" s="435" t="n"/>
      <c r="O70" s="435" t="n"/>
      <c r="P70" s="435" t="n"/>
      <c r="Q70" s="400">
        <f>IFERROR((O70-P70),"N/A")</f>
        <v/>
      </c>
      <c r="R70" s="385">
        <f>IFERROR((O70-P70)/ABS(P70),"N/A")</f>
        <v/>
      </c>
      <c r="S70" s="400">
        <f>IFERROR((O70-N70),"N/A")</f>
        <v/>
      </c>
      <c r="T70" s="385">
        <f>IFERROR((O70-N70)/ABS(N70),"N/A")</f>
        <v/>
      </c>
    </row>
    <row r="71" outlineLevel="1">
      <c r="A71" s="351">
        <f>$C$51&amp;" "&amp;$C$35&amp;" "&amp;C69&amp;" "&amp;C71</f>
        <v/>
      </c>
      <c r="B71" s="397" t="n"/>
      <c r="C71" s="397" t="inlineStr">
        <is>
          <t>Price</t>
        </is>
      </c>
      <c r="D71" s="397" t="inlineStr">
        <is>
          <t>Qiyməti</t>
        </is>
      </c>
      <c r="E71" s="396">
        <f>$D$9&amp; "</f>
        <v/>
      </c>
      <c r="F71" s="375" t="inlineStr">
        <is>
          <t>+</t>
        </is>
      </c>
      <c r="G71" s="160">
        <f>IF(G70=0,0,IFERROR(G69/G70,"N/A"))</f>
        <v/>
      </c>
      <c r="H71" s="160">
        <f>IF(H70=0,0,IFERROR(H69/H70,"N/A"))</f>
        <v/>
      </c>
      <c r="I71" s="160">
        <f>IF(I70=0,0,IFERROR(I69/I70,"N/A"))</f>
        <v/>
      </c>
      <c r="J71" s="400">
        <f>IFERROR((H71-I71),"N/A")</f>
        <v/>
      </c>
      <c r="K71" s="385">
        <f>IFERROR((H71-I71)/ABS(I71),"N/A")</f>
        <v/>
      </c>
      <c r="L71" s="400">
        <f>IFERROR((H71-G71),"N/A")</f>
        <v/>
      </c>
      <c r="M71" s="385">
        <f>IFERROR((H71-G71)/ABS(G71),"N/A")</f>
        <v/>
      </c>
      <c r="N71" s="160">
        <f>IF(N70=0,0,IFERROR(N69/N70,"N/A"))</f>
        <v/>
      </c>
      <c r="O71" s="160">
        <f>IF(O70=0,0,IFERROR(O69/O70,"N/A"))</f>
        <v/>
      </c>
      <c r="P71" s="160">
        <f>IF(P70=0,0,IFERROR(P69/P70,"N/A"))</f>
        <v/>
      </c>
      <c r="Q71" s="400">
        <f>IFERROR((O71-P71),"N/A")</f>
        <v/>
      </c>
      <c r="R71" s="385">
        <f>IFERROR((O71-P71)/ABS(P71),"N/A")</f>
        <v/>
      </c>
      <c r="S71" s="400">
        <f>IFERROR((O71-N71),"N/A")</f>
        <v/>
      </c>
      <c r="T71" s="385">
        <f>IFERROR((O71-N71)/ABS(N71),"N/A")</f>
        <v/>
      </c>
    </row>
    <row r="72" outlineLevel="1">
      <c r="A72" s="351">
        <f>$C$51&amp;" "&amp;$C$35&amp;" "&amp;C69&amp;" "&amp;C72</f>
        <v/>
      </c>
      <c r="B72" s="397" t="n"/>
      <c r="C72" s="397" t="inlineStr">
        <is>
          <t>COGs</t>
        </is>
      </c>
      <c r="D72" s="397" t="n"/>
      <c r="E72" s="396">
        <f>$D$9&amp; "</f>
        <v/>
      </c>
      <c r="F72" s="375" t="inlineStr">
        <is>
          <t>+</t>
        </is>
      </c>
      <c r="G72" s="437">
        <f>IF(G70=0,0,IFERROR(G73/G70,"N/A"))</f>
        <v/>
      </c>
      <c r="H72" s="437">
        <f>IF(H70=0,0,IFERROR(H73/H70,"N/A"))</f>
        <v/>
      </c>
      <c r="I72" s="437">
        <f>IF(I70=0,0,IFERROR(I73/I70,"N/A"))</f>
        <v/>
      </c>
      <c r="J72" s="400">
        <f>IFERROR((H72-I72),"N/A")</f>
        <v/>
      </c>
      <c r="K72" s="385">
        <f>IFERROR((H72-I72)/ABS(I72),"N/A")</f>
        <v/>
      </c>
      <c r="L72" s="400">
        <f>IFERROR((H72-G72),"N/A")</f>
        <v/>
      </c>
      <c r="M72" s="385">
        <f>IFERROR((H72-G72)/ABS(G72),"N/A")</f>
        <v/>
      </c>
      <c r="N72" s="437">
        <f>IF(N70=0,0,IFERROR(N73/N70,"N/A"))</f>
        <v/>
      </c>
      <c r="O72" s="437">
        <f>IF(O70=0,0,IFERROR(O73/O70,"N/A"))</f>
        <v/>
      </c>
      <c r="P72" s="437">
        <f>IF(P70=0,0,IFERROR(P73/P70,"N/A"))</f>
        <v/>
      </c>
      <c r="Q72" s="184">
        <f>IFERROR((O72-P72),"N/A")</f>
        <v/>
      </c>
      <c r="R72" s="385">
        <f>IFERROR((O72-P72)/ABS(P72),"N/A")</f>
        <v/>
      </c>
      <c r="S72" s="400">
        <f>IFERROR((O72-N72),"N/A")</f>
        <v/>
      </c>
      <c r="T72" s="385">
        <f>IFERROR((O72-N72)/ABS(N72),"N/A")</f>
        <v/>
      </c>
    </row>
    <row r="73" outlineLevel="1">
      <c r="B73" s="397" t="n"/>
      <c r="C73" s="436" t="inlineStr">
        <is>
          <t>Total COGs</t>
        </is>
      </c>
      <c r="D73" s="397" t="n"/>
      <c r="E73" s="396">
        <f>"thsd</f>
        <v/>
      </c>
      <c r="F73" s="375" t="inlineStr">
        <is>
          <t>+</t>
        </is>
      </c>
      <c r="G73" s="435" t="n"/>
      <c r="H73" s="435" t="n"/>
      <c r="I73" s="435" t="n"/>
      <c r="J73" s="400">
        <f>IFERROR((H73-I73),"N/A")</f>
        <v/>
      </c>
      <c r="K73" s="385">
        <f>IFERROR((H73-I73)/ABS(I73),"N/A")</f>
        <v/>
      </c>
      <c r="L73" s="400">
        <f>IFERROR((H73-G73),"N/A")</f>
        <v/>
      </c>
      <c r="M73" s="385">
        <f>IFERROR((H73-G73)/ABS(G73),"N/A")</f>
        <v/>
      </c>
      <c r="N73" s="435" t="n"/>
      <c r="O73" s="435" t="n"/>
      <c r="P73" s="435" t="n"/>
      <c r="Q73" s="184">
        <f>IFERROR((O73-P73),"N/A")</f>
        <v/>
      </c>
      <c r="R73" s="385">
        <f>IFERROR((O73-P73)/ABS(P73),"N/A")</f>
        <v/>
      </c>
      <c r="S73" s="400">
        <f>IFERROR((O73-N73),"N/A")</f>
        <v/>
      </c>
      <c r="T73" s="385">
        <f>IFERROR((O73-N73)/ABS(N73),"N/A")</f>
        <v/>
      </c>
    </row>
    <row r="74" outlineLevel="1">
      <c r="A74" s="351">
        <f>$C$51&amp;" "&amp;$C$35&amp;" "&amp;C74&amp;" Revenue"</f>
        <v/>
      </c>
      <c r="B74" s="395" t="n"/>
      <c r="C74" s="395">
        <f>C58</f>
        <v/>
      </c>
      <c r="D74" s="395">
        <f>D58</f>
        <v/>
      </c>
      <c r="E74" s="396">
        <f>"thsd</f>
        <v/>
      </c>
      <c r="F74" s="375" t="inlineStr">
        <is>
          <t>+</t>
        </is>
      </c>
      <c r="G74" s="435" t="n"/>
      <c r="H74" s="435" t="n"/>
      <c r="I74" s="435" t="n"/>
      <c r="J74" s="400">
        <f>IFERROR((H74-I74),"N/A")</f>
        <v/>
      </c>
      <c r="K74" s="385">
        <f>IFERROR((H74-I74)/ABS(I74),"N/A")</f>
        <v/>
      </c>
      <c r="L74" s="400">
        <f>IFERROR((H74-G74),"N/A")</f>
        <v/>
      </c>
      <c r="M74" s="385">
        <f>IFERROR((H74-G74)/ABS(G74),"N/A")</f>
        <v/>
      </c>
      <c r="N74" s="435" t="n"/>
      <c r="O74" s="435" t="n"/>
      <c r="P74" s="435" t="n"/>
      <c r="Q74" s="400">
        <f>IFERROR((O74-P74),"N/A")</f>
        <v/>
      </c>
      <c r="R74" s="385">
        <f>IFERROR((O74-P74)/ABS(P74),"N/A")</f>
        <v/>
      </c>
      <c r="S74" s="400">
        <f>IFERROR((O74-N74),"N/A")</f>
        <v/>
      </c>
      <c r="T74" s="385">
        <f>IFERROR((O74-N74)/ABS(N74),"N/A")</f>
        <v/>
      </c>
    </row>
    <row r="75" outlineLevel="1">
      <c r="A75" s="351">
        <f>$C$51&amp;" "&amp;$C$35&amp;" "&amp;C74&amp;" "&amp;C75</f>
        <v/>
      </c>
      <c r="B75" s="397" t="n"/>
      <c r="C75" s="397" t="inlineStr">
        <is>
          <t>Sales volume</t>
        </is>
      </c>
      <c r="D75" s="397" t="n"/>
      <c r="E75" s="396" t="inlineStr">
        <is>
          <t>mln m3</t>
        </is>
      </c>
      <c r="F75" s="375" t="inlineStr">
        <is>
          <t>+</t>
        </is>
      </c>
      <c r="G75" s="435" t="n"/>
      <c r="H75" s="435" t="n"/>
      <c r="I75" s="435" t="n"/>
      <c r="J75" s="400">
        <f>IFERROR((H75-I75),"N/A")</f>
        <v/>
      </c>
      <c r="K75" s="385">
        <f>IFERROR((H75-I75)/ABS(I75),"N/A")</f>
        <v/>
      </c>
      <c r="L75" s="400">
        <f>IFERROR((H75-G75),"N/A")</f>
        <v/>
      </c>
      <c r="M75" s="385">
        <f>IFERROR((H75-G75)/ABS(G75),"N/A")</f>
        <v/>
      </c>
      <c r="N75" s="435" t="n"/>
      <c r="O75" s="435" t="n"/>
      <c r="P75" s="435" t="n"/>
      <c r="Q75" s="400">
        <f>IFERROR((O75-P75),"N/A")</f>
        <v/>
      </c>
      <c r="R75" s="385">
        <f>IFERROR((O75-P75)/ABS(P75),"N/A")</f>
        <v/>
      </c>
      <c r="S75" s="400">
        <f>IFERROR((O75-N75),"N/A")</f>
        <v/>
      </c>
      <c r="T75" s="385">
        <f>IFERROR((O75-N75)/ABS(N75),"N/A")</f>
        <v/>
      </c>
    </row>
    <row r="76" outlineLevel="1">
      <c r="A76" s="351">
        <f>$C$51&amp;" "&amp;$C$35&amp;" "&amp;C74&amp;" "&amp;C76</f>
        <v/>
      </c>
      <c r="B76" s="397" t="n"/>
      <c r="C76" s="397" t="inlineStr">
        <is>
          <t>Price</t>
        </is>
      </c>
      <c r="D76" s="397" t="inlineStr">
        <is>
          <t>Qiyməti</t>
        </is>
      </c>
      <c r="E76" s="396">
        <f>$D$9&amp; "</f>
        <v/>
      </c>
      <c r="F76" s="375" t="inlineStr">
        <is>
          <t>+</t>
        </is>
      </c>
      <c r="G76" s="160">
        <f>IF(G75=0,0,IFERROR(G74/G75,"N/A"))</f>
        <v/>
      </c>
      <c r="H76" s="160">
        <f>IF(H75=0,0,IFERROR(H74/H75,"N/A"))</f>
        <v/>
      </c>
      <c r="I76" s="160">
        <f>IF(I75=0,0,IFERROR(I74/I75,"N/A"))</f>
        <v/>
      </c>
      <c r="J76" s="400">
        <f>IFERROR((H76-I76),"N/A")</f>
        <v/>
      </c>
      <c r="K76" s="385">
        <f>IFERROR((H76-I76)/ABS(I76),"N/A")</f>
        <v/>
      </c>
      <c r="L76" s="400">
        <f>IFERROR((H76-G76),"N/A")</f>
        <v/>
      </c>
      <c r="M76" s="385">
        <f>IFERROR((H76-G76)/ABS(G76),"N/A")</f>
        <v/>
      </c>
      <c r="N76" s="160">
        <f>IF(N75=0,0,IFERROR(N74/N75,"N/A"))</f>
        <v/>
      </c>
      <c r="O76" s="160">
        <f>IF(O75=0,0,IFERROR(O74/O75,"N/A"))</f>
        <v/>
      </c>
      <c r="P76" s="160">
        <f>IF(P75=0,0,IFERROR(P74/P75,"N/A"))</f>
        <v/>
      </c>
      <c r="Q76" s="400">
        <f>IFERROR((O76-P76),"N/A")</f>
        <v/>
      </c>
      <c r="R76" s="385">
        <f>IFERROR((O76-P76)/ABS(P76),"N/A")</f>
        <v/>
      </c>
      <c r="S76" s="400">
        <f>IFERROR((O76-N76),"N/A")</f>
        <v/>
      </c>
      <c r="T76" s="385">
        <f>IFERROR((O76-N76)/ABS(N76),"N/A")</f>
        <v/>
      </c>
    </row>
    <row r="77" outlineLevel="1">
      <c r="A77" s="351">
        <f>$C$51&amp;" "&amp;$C$35&amp;" "&amp;C74&amp;" "&amp;C77</f>
        <v/>
      </c>
      <c r="B77" s="397" t="n"/>
      <c r="C77" s="397" t="inlineStr">
        <is>
          <t>COGs</t>
        </is>
      </c>
      <c r="D77" s="397" t="n"/>
      <c r="E77" s="396">
        <f>$D$9&amp; "</f>
        <v/>
      </c>
      <c r="F77" s="375" t="inlineStr">
        <is>
          <t>+</t>
        </is>
      </c>
      <c r="G77" s="437">
        <f>IF(G75=0,0,IFERROR(G78/G75,"N/A"))</f>
        <v/>
      </c>
      <c r="H77" s="437">
        <f>IF(H75=0,0,IFERROR(H78/H75,"N/A"))</f>
        <v/>
      </c>
      <c r="I77" s="437">
        <f>IF(I75=0,0,IFERROR(I78/I75,"N/A"))</f>
        <v/>
      </c>
      <c r="J77" s="400">
        <f>IFERROR((H77-I77),"N/A")</f>
        <v/>
      </c>
      <c r="K77" s="385">
        <f>IFERROR((H77-I77)/ABS(I77),"N/A")</f>
        <v/>
      </c>
      <c r="L77" s="400">
        <f>IFERROR((H77-G77),"N/A")</f>
        <v/>
      </c>
      <c r="M77" s="385">
        <f>IFERROR((H77-G77)/ABS(G77),"N/A")</f>
        <v/>
      </c>
      <c r="N77" s="437">
        <f>IF(N75=0,0,IFERROR(N78/N75,"N/A"))</f>
        <v/>
      </c>
      <c r="O77" s="437">
        <f>IF(O75=0,0,IFERROR(O78/O75,"N/A"))</f>
        <v/>
      </c>
      <c r="P77" s="437">
        <f>IF(P75=0,0,IFERROR(P78/P75,"N/A"))</f>
        <v/>
      </c>
      <c r="Q77" s="184">
        <f>IFERROR((O77-P77),"N/A")</f>
        <v/>
      </c>
      <c r="R77" s="385">
        <f>IFERROR((O77-P77)/ABS(P77),"N/A")</f>
        <v/>
      </c>
      <c r="S77" s="400">
        <f>IFERROR((O77-N77),"N/A")</f>
        <v/>
      </c>
      <c r="T77" s="385">
        <f>IFERROR((O77-N77)/ABS(N77),"N/A")</f>
        <v/>
      </c>
    </row>
    <row r="78" outlineLevel="1">
      <c r="B78" s="397" t="n"/>
      <c r="C78" s="436" t="inlineStr">
        <is>
          <t>Total COGs</t>
        </is>
      </c>
      <c r="D78" s="397" t="n"/>
      <c r="E78" s="396">
        <f>"thsd</f>
        <v/>
      </c>
      <c r="F78" s="375" t="inlineStr">
        <is>
          <t>+</t>
        </is>
      </c>
      <c r="G78" s="435" t="n"/>
      <c r="H78" s="435" t="n"/>
      <c r="I78" s="435" t="n"/>
      <c r="J78" s="400">
        <f>IFERROR((H78-I78),"N/A")</f>
        <v/>
      </c>
      <c r="K78" s="385">
        <f>IFERROR((H78-I78)/ABS(I78),"N/A")</f>
        <v/>
      </c>
      <c r="L78" s="400">
        <f>IFERROR((H78-G78),"N/A")</f>
        <v/>
      </c>
      <c r="M78" s="385">
        <f>IFERROR((H78-G78)/ABS(G78),"N/A")</f>
        <v/>
      </c>
      <c r="N78" s="435" t="n"/>
      <c r="O78" s="435" t="n"/>
      <c r="P78" s="435" t="n"/>
      <c r="Q78" s="184">
        <f>IFERROR((O78-P78),"N/A")</f>
        <v/>
      </c>
      <c r="R78" s="385">
        <f>IFERROR((O78-P78)/ABS(P78),"N/A")</f>
        <v/>
      </c>
      <c r="S78" s="400">
        <f>IFERROR((O78-N78),"N/A")</f>
        <v/>
      </c>
      <c r="T78" s="385">
        <f>IFERROR((O78-N78)/ABS(N78),"N/A")</f>
        <v/>
      </c>
    </row>
    <row r="79" outlineLevel="1">
      <c r="A79" s="351">
        <f>$C$51&amp;" "&amp;$C$35&amp;" "&amp;C79&amp;" Revenue"</f>
        <v/>
      </c>
      <c r="B79" s="395" t="n"/>
      <c r="C79" s="395">
        <f>C63</f>
        <v/>
      </c>
      <c r="D79" s="395">
        <f>D63</f>
        <v/>
      </c>
      <c r="E79" s="396">
        <f>"thsd</f>
        <v/>
      </c>
      <c r="F79" s="375" t="inlineStr">
        <is>
          <t>+</t>
        </is>
      </c>
      <c r="G79" s="435" t="n"/>
      <c r="H79" s="435" t="n"/>
      <c r="I79" s="435" t="n"/>
      <c r="J79" s="400">
        <f>IFERROR((H79-I79),"N/A")</f>
        <v/>
      </c>
      <c r="K79" s="385">
        <f>IFERROR((H79-I79)/ABS(I79),"N/A")</f>
        <v/>
      </c>
      <c r="L79" s="400">
        <f>IFERROR((H79-G79),"N/A")</f>
        <v/>
      </c>
      <c r="M79" s="385">
        <f>IFERROR((H79-G79)/ABS(G79),"N/A")</f>
        <v/>
      </c>
      <c r="N79" s="435" t="n"/>
      <c r="O79" s="435" t="n"/>
      <c r="P79" s="435" t="n"/>
      <c r="Q79" s="400">
        <f>IFERROR((O79-P79),"N/A")</f>
        <v/>
      </c>
      <c r="R79" s="385">
        <f>IFERROR((O79-P79)/ABS(P79),"N/A")</f>
        <v/>
      </c>
      <c r="S79" s="400">
        <f>IFERROR((O79-N79),"N/A")</f>
        <v/>
      </c>
      <c r="T79" s="385">
        <f>IFERROR((O79-N79)/ABS(N79),"N/A")</f>
        <v/>
      </c>
    </row>
    <row r="80" outlineLevel="1">
      <c r="A80" s="351">
        <f>$C$51&amp;" "&amp;$C$35&amp;" "&amp;C79&amp;" "&amp;C80</f>
        <v/>
      </c>
      <c r="B80" s="397" t="n"/>
      <c r="C80" s="397" t="inlineStr">
        <is>
          <t>Sales volume</t>
        </is>
      </c>
      <c r="D80" s="397" t="n"/>
      <c r="E80" s="396" t="inlineStr">
        <is>
          <t>mln m3</t>
        </is>
      </c>
      <c r="F80" s="375" t="inlineStr">
        <is>
          <t>+</t>
        </is>
      </c>
      <c r="G80" s="435" t="n"/>
      <c r="H80" s="435" t="n"/>
      <c r="I80" s="435" t="n"/>
      <c r="J80" s="400">
        <f>IFERROR((H80-I80),"N/A")</f>
        <v/>
      </c>
      <c r="K80" s="385">
        <f>IFERROR((H80-I80)/ABS(I80),"N/A")</f>
        <v/>
      </c>
      <c r="L80" s="400">
        <f>IFERROR((H80-G80),"N/A")</f>
        <v/>
      </c>
      <c r="M80" s="385">
        <f>IFERROR((H80-G80)/ABS(G80),"N/A")</f>
        <v/>
      </c>
      <c r="N80" s="435" t="n"/>
      <c r="O80" s="435" t="n"/>
      <c r="P80" s="435" t="n"/>
      <c r="Q80" s="400">
        <f>IFERROR((O80-P80),"N/A")</f>
        <v/>
      </c>
      <c r="R80" s="385">
        <f>IFERROR((O80-P80)/ABS(P80),"N/A")</f>
        <v/>
      </c>
      <c r="S80" s="400">
        <f>IFERROR((O80-N80),"N/A")</f>
        <v/>
      </c>
      <c r="T80" s="385">
        <f>IFERROR((O80-N80)/ABS(N80),"N/A")</f>
        <v/>
      </c>
    </row>
    <row r="81" outlineLevel="1">
      <c r="A81" s="351">
        <f>$C$51&amp;" "&amp;$C$35&amp;" "&amp;C79&amp;" "&amp;C81</f>
        <v/>
      </c>
      <c r="B81" s="397" t="n"/>
      <c r="C81" s="397" t="inlineStr">
        <is>
          <t>Price</t>
        </is>
      </c>
      <c r="D81" s="397" t="inlineStr">
        <is>
          <t>Qiyməti</t>
        </is>
      </c>
      <c r="E81" s="396">
        <f>$D$9&amp; "</f>
        <v/>
      </c>
      <c r="F81" s="375" t="inlineStr">
        <is>
          <t>+</t>
        </is>
      </c>
      <c r="G81" s="160">
        <f>IF(G80=0,0,IFERROR(G79/G80,"N/A"))</f>
        <v/>
      </c>
      <c r="H81" s="160">
        <f>IF(H80=0,0,IFERROR(H79/H80,"N/A"))</f>
        <v/>
      </c>
      <c r="I81" s="160">
        <f>IF(I80=0,0,IFERROR(I79/I80,"N/A"))</f>
        <v/>
      </c>
      <c r="J81" s="400">
        <f>IFERROR((H81-I81),"N/A")</f>
        <v/>
      </c>
      <c r="K81" s="385">
        <f>IFERROR((H81-I81)/ABS(I81),"N/A")</f>
        <v/>
      </c>
      <c r="L81" s="400">
        <f>IFERROR((H81-G81),"N/A")</f>
        <v/>
      </c>
      <c r="M81" s="385">
        <f>IFERROR((H81-G81)/ABS(G81),"N/A")</f>
        <v/>
      </c>
      <c r="N81" s="160">
        <f>IF(N80=0,0,IFERROR(N79/N80,"N/A"))</f>
        <v/>
      </c>
      <c r="O81" s="160">
        <f>IF(O80=0,0,IFERROR(O79/O80,"N/A"))</f>
        <v/>
      </c>
      <c r="P81" s="160">
        <f>IF(P80=0,0,IFERROR(P79/P80,"N/A"))</f>
        <v/>
      </c>
      <c r="Q81" s="400">
        <f>IFERROR((O81-P81),"N/A")</f>
        <v/>
      </c>
      <c r="R81" s="385">
        <f>IFERROR((O81-P81)/ABS(P81),"N/A")</f>
        <v/>
      </c>
      <c r="S81" s="400">
        <f>IFERROR((O81-N81),"N/A")</f>
        <v/>
      </c>
      <c r="T81" s="385">
        <f>IFERROR((O81-N81)/ABS(N81),"N/A")</f>
        <v/>
      </c>
    </row>
    <row r="82" outlineLevel="1" ht="14.85" customHeight="1">
      <c r="A82" s="351">
        <f>$C$51&amp;" "&amp;$C$35&amp;" "&amp;C79&amp;" "&amp;C82</f>
        <v/>
      </c>
      <c r="B82" s="397" t="n"/>
      <c r="C82" s="397" t="inlineStr">
        <is>
          <t>COGs</t>
        </is>
      </c>
      <c r="D82" s="397" t="n"/>
      <c r="E82" s="396">
        <f>$D$9&amp; "</f>
        <v/>
      </c>
      <c r="F82" s="375" t="inlineStr">
        <is>
          <t>+</t>
        </is>
      </c>
      <c r="G82" s="437">
        <f>IF(G80=0,0,IFERROR(G83/G80,"N/A"))</f>
        <v/>
      </c>
      <c r="H82" s="437">
        <f>IF(H80=0,0,IFERROR(H83/H80,"N/A"))</f>
        <v/>
      </c>
      <c r="I82" s="437">
        <f>IF(I80=0,0,IFERROR(I83/I80,"N/A"))</f>
        <v/>
      </c>
      <c r="J82" s="400">
        <f>IFERROR((H82-I82),"N/A")</f>
        <v/>
      </c>
      <c r="K82" s="385">
        <f>IFERROR((H82-I82)/ABS(I82),"N/A")</f>
        <v/>
      </c>
      <c r="L82" s="400">
        <f>IFERROR((H82-G82),"N/A")</f>
        <v/>
      </c>
      <c r="M82" s="385">
        <f>IFERROR((H82-G82)/ABS(G82),"N/A")</f>
        <v/>
      </c>
      <c r="N82" s="437">
        <f>IF(N80=0,0,IFERROR(N83/N80,"N/A"))</f>
        <v/>
      </c>
      <c r="O82" s="437">
        <f>IF(O80=0,0,IFERROR(O83/O80,"N/A"))</f>
        <v/>
      </c>
      <c r="P82" s="437">
        <f>IF(P80=0,0,IFERROR(P83/P80,"N/A"))</f>
        <v/>
      </c>
      <c r="Q82" s="184">
        <f>IFERROR((O82-P82),"N/A")</f>
        <v/>
      </c>
      <c r="R82" s="385">
        <f>IFERROR((O82-P82)/ABS(P82),"N/A")</f>
        <v/>
      </c>
      <c r="S82" s="400">
        <f>IFERROR((O82-N82),"N/A")</f>
        <v/>
      </c>
      <c r="T82" s="385">
        <f>IFERROR((O82-N82)/ABS(N82),"N/A")</f>
        <v/>
      </c>
    </row>
    <row r="83" outlineLevel="1" ht="14.85" customHeight="1">
      <c r="B83" s="397" t="n"/>
      <c r="C83" s="436" t="inlineStr">
        <is>
          <t>Total COGs</t>
        </is>
      </c>
      <c r="D83" s="397" t="n"/>
      <c r="E83" s="396">
        <f>"thsd</f>
        <v/>
      </c>
      <c r="F83" s="375" t="inlineStr">
        <is>
          <t>+</t>
        </is>
      </c>
      <c r="G83" s="435" t="n">
        <v>0</v>
      </c>
      <c r="H83" s="435" t="n"/>
      <c r="I83" s="435" t="n"/>
      <c r="J83" s="400">
        <f>IFERROR((H83-I83),"N/A")</f>
        <v/>
      </c>
      <c r="K83" s="385">
        <f>IFERROR((H83-I83)/ABS(I83),"N/A")</f>
        <v/>
      </c>
      <c r="L83" s="400">
        <f>IFERROR((H83-G83),"N/A")</f>
        <v/>
      </c>
      <c r="M83" s="385">
        <f>IFERROR((H83-G83)/ABS(G83),"N/A")</f>
        <v/>
      </c>
      <c r="N83" s="435" t="n"/>
      <c r="O83" s="435" t="n"/>
      <c r="P83" s="435" t="n"/>
      <c r="Q83" s="184">
        <f>IFERROR((O83-P83),"N/A")</f>
        <v/>
      </c>
      <c r="R83" s="385">
        <f>IFERROR((O83-P83)/ABS(P83),"N/A")</f>
        <v/>
      </c>
      <c r="S83" s="400">
        <f>IFERROR((O83-N83),"N/A")</f>
        <v/>
      </c>
      <c r="T83" s="385">
        <f>IFERROR((O83-N83)/ABS(N83),"N/A")</f>
        <v/>
      </c>
    </row>
    <row r="84" ht="25.5" customFormat="1" customHeight="1" s="367">
      <c r="A84" s="366" t="n"/>
      <c r="B84" s="441" t="n"/>
      <c r="C84" s="441" t="inlineStr">
        <is>
          <t>Other products, net</t>
        </is>
      </c>
      <c r="D84" s="441" t="n"/>
      <c r="E84" s="442">
        <f>"thsd</f>
        <v/>
      </c>
      <c r="F84" s="375" t="inlineStr">
        <is>
          <t>+</t>
        </is>
      </c>
      <c r="G84" s="431">
        <f>G85+G87+G89</f>
        <v/>
      </c>
      <c r="H84" s="431">
        <f>H85+H87+H89</f>
        <v/>
      </c>
      <c r="I84" s="431">
        <f>I85+I87+I89</f>
        <v/>
      </c>
      <c r="J84" s="443">
        <f>IFERROR((H84-I84),"N/A")</f>
        <v/>
      </c>
      <c r="K84" s="444">
        <f>IFERROR((H84-I84)/ABS(I84),"N/A")</f>
        <v/>
      </c>
      <c r="L84" s="443">
        <f>IFERROR((H84-G84),"N/A")</f>
        <v/>
      </c>
      <c r="M84" s="444">
        <f>IFERROR((H84-G84)/ABS(G84),"N/A")</f>
        <v/>
      </c>
      <c r="N84" s="376">
        <f>N85+N87+N89</f>
        <v/>
      </c>
      <c r="O84" s="376">
        <f>O85+O87+O89</f>
        <v/>
      </c>
      <c r="P84" s="376">
        <f>P85+P87+P89</f>
        <v/>
      </c>
      <c r="Q84" s="443">
        <f>IFERROR((O84-P84),"N/A")</f>
        <v/>
      </c>
      <c r="R84" s="444">
        <f>IFERROR((O84-P84)/ABS(P84),"N/A")</f>
        <v/>
      </c>
      <c r="S84" s="443">
        <f>IFERROR((O84-N84),"N/A")</f>
        <v/>
      </c>
      <c r="T84" s="444">
        <f>IFERROR((O84-N84)/ABS(N84),"N/A")</f>
        <v/>
      </c>
    </row>
    <row r="85" outlineLevel="1">
      <c r="B85" s="395" t="n"/>
      <c r="C85" s="395" t="inlineStr">
        <is>
          <t>Minimarkets</t>
        </is>
      </c>
      <c r="D85" s="395" t="inlineStr">
        <is>
          <t>Minimarketlər</t>
        </is>
      </c>
      <c r="E85" s="396">
        <f>"thsd</f>
        <v/>
      </c>
      <c r="F85" s="375" t="inlineStr">
        <is>
          <t>+</t>
        </is>
      </c>
      <c r="G85" s="435" t="n">
        <v>1114.118015895562</v>
      </c>
      <c r="H85" s="435" t="n">
        <v>1143.604575317523</v>
      </c>
      <c r="I85" s="435" t="n">
        <v>1098.235294117647</v>
      </c>
      <c r="J85" s="400">
        <f>IFERROR((H85-I85),"N/A")</f>
        <v/>
      </c>
      <c r="K85" s="385">
        <f>IFERROR((H85-I85)/ABS(I85),"N/A")</f>
        <v/>
      </c>
      <c r="L85" s="400">
        <f>IFERROR((H85-G85),"N/A")</f>
        <v/>
      </c>
      <c r="M85" s="385">
        <f>IFERROR((H85-G85)/ABS(G85),"N/A")</f>
        <v/>
      </c>
      <c r="N85" s="435" t="n">
        <v>13258.32259111729</v>
      </c>
      <c r="O85" s="435" t="n">
        <v>14599.20878742399</v>
      </c>
      <c r="P85" s="435" t="n">
        <v>13061.17647058823</v>
      </c>
      <c r="Q85" s="400">
        <f>IFERROR((O85-P85),"N/A")</f>
        <v/>
      </c>
      <c r="R85" s="385">
        <f>IFERROR((O85-P85)/ABS(P85),"N/A")</f>
        <v/>
      </c>
      <c r="S85" s="400">
        <f>IFERROR((O85-N85),"N/A")</f>
        <v/>
      </c>
      <c r="T85" s="385">
        <f>IFERROR((O85-N85)/ABS(N85),"N/A")</f>
        <v/>
      </c>
    </row>
    <row r="86" outlineLevel="1">
      <c r="B86" s="397" t="n"/>
      <c r="C86" s="397" t="inlineStr">
        <is>
          <t>Total COGs</t>
        </is>
      </c>
      <c r="D86" s="397" t="n"/>
      <c r="E86" s="396">
        <f>"thsd</f>
        <v/>
      </c>
      <c r="F86" s="375" t="inlineStr">
        <is>
          <t>+</t>
        </is>
      </c>
      <c r="G86" s="435" t="n">
        <v>1236.107568935833</v>
      </c>
      <c r="H86" s="435" t="n">
        <v>1227.134643712787</v>
      </c>
      <c r="I86" s="435" t="n">
        <v>1096.470588235294</v>
      </c>
      <c r="J86" s="400">
        <f>IFERROR((H86-I86),"N/A")</f>
        <v/>
      </c>
      <c r="K86" s="385">
        <f>IFERROR((H86-I86)/ABS(I86),"N/A")</f>
        <v/>
      </c>
      <c r="L86" s="400">
        <f>IFERROR((H86-G86),"N/A")</f>
        <v/>
      </c>
      <c r="M86" s="385">
        <f>IFERROR((H86-G86)/ABS(G86),"N/A")</f>
        <v/>
      </c>
      <c r="N86" s="435" t="n">
        <v>12891.74560351611</v>
      </c>
      <c r="O86" s="435" t="n">
        <v>14292.82982788611</v>
      </c>
      <c r="P86" s="435" t="n">
        <v>12471.76470588235</v>
      </c>
      <c r="Q86" s="400">
        <f>IFERROR((O86-P86),"N/A")</f>
        <v/>
      </c>
      <c r="R86" s="385">
        <f>IFERROR((O86-P86)/ABS(P86),"N/A")</f>
        <v/>
      </c>
      <c r="S86" s="400">
        <f>IFERROR((O86-N86),"N/A")</f>
        <v/>
      </c>
      <c r="T86" s="385">
        <f>IFERROR((O86-N86)/ABS(N86),"N/A")</f>
        <v/>
      </c>
    </row>
    <row r="87" outlineLevel="1">
      <c r="B87" s="395" t="n"/>
      <c r="C87" s="395" t="inlineStr">
        <is>
          <t>Private label products</t>
        </is>
      </c>
      <c r="D87" s="395" t="n"/>
      <c r="E87" s="396">
        <f>"thsd</f>
        <v/>
      </c>
      <c r="F87" s="375" t="inlineStr">
        <is>
          <t>+</t>
        </is>
      </c>
      <c r="G87" s="435" t="n"/>
      <c r="H87" s="435" t="n"/>
      <c r="I87" s="435" t="n"/>
      <c r="J87" s="400">
        <f>IFERROR((H87-I87),"N/A")</f>
        <v/>
      </c>
      <c r="K87" s="385">
        <f>IFERROR((H87-I87)/ABS(I87),"N/A")</f>
        <v/>
      </c>
      <c r="L87" s="400">
        <f>IFERROR((H87-G87),"N/A")</f>
        <v/>
      </c>
      <c r="M87" s="385">
        <f>IFERROR((H87-G87)/ABS(G87),"N/A")</f>
        <v/>
      </c>
      <c r="N87" s="435" t="n"/>
      <c r="O87" s="435" t="n"/>
      <c r="P87" s="435" t="n"/>
      <c r="Q87" s="400">
        <f>IFERROR((O87-P87),"N/A")</f>
        <v/>
      </c>
      <c r="R87" s="385">
        <f>IFERROR((O87-P87)/ABS(P87),"N/A")</f>
        <v/>
      </c>
      <c r="S87" s="400">
        <f>IFERROR((O87-N87),"N/A")</f>
        <v/>
      </c>
      <c r="T87" s="385">
        <f>IFERROR((O87-N87)/ABS(N87),"N/A")</f>
        <v/>
      </c>
    </row>
    <row r="88" outlineLevel="1">
      <c r="B88" s="397" t="n"/>
      <c r="C88" s="397" t="inlineStr">
        <is>
          <t>Total COGs</t>
        </is>
      </c>
      <c r="D88" s="397" t="n"/>
      <c r="E88" s="396">
        <f>"thsd</f>
        <v/>
      </c>
      <c r="F88" s="375" t="inlineStr">
        <is>
          <t>+</t>
        </is>
      </c>
      <c r="G88" s="435" t="n"/>
      <c r="H88" s="435" t="n"/>
      <c r="I88" s="435" t="n"/>
      <c r="J88" s="400">
        <f>IFERROR((H88-I88),"N/A")</f>
        <v/>
      </c>
      <c r="K88" s="385">
        <f>IFERROR((H88-I88)/ABS(I88),"N/A")</f>
        <v/>
      </c>
      <c r="L88" s="400">
        <f>IFERROR((H88-G88),"N/A")</f>
        <v/>
      </c>
      <c r="M88" s="385">
        <f>IFERROR((H88-G88)/ABS(G88),"N/A")</f>
        <v/>
      </c>
      <c r="N88" s="435" t="n"/>
      <c r="O88" s="435" t="n"/>
      <c r="P88" s="435" t="n"/>
      <c r="Q88" s="400">
        <f>IFERROR((O88-P88),"N/A")</f>
        <v/>
      </c>
      <c r="R88" s="385">
        <f>IFERROR((O88-P88)/ABS(P88),"N/A")</f>
        <v/>
      </c>
      <c r="S88" s="400">
        <f>IFERROR((O88-N88),"N/A")</f>
        <v/>
      </c>
      <c r="T88" s="385">
        <f>IFERROR((O88-N88)/ABS(N88),"N/A")</f>
        <v/>
      </c>
    </row>
    <row r="89" outlineLevel="1">
      <c r="B89" s="395" t="n"/>
      <c r="C89" s="395" t="inlineStr">
        <is>
          <t>Other</t>
        </is>
      </c>
      <c r="D89" s="406" t="inlineStr">
        <is>
          <t>Digər</t>
        </is>
      </c>
      <c r="E89" s="396">
        <f>"thsd</f>
        <v/>
      </c>
      <c r="F89" s="375" t="inlineStr">
        <is>
          <t>+</t>
        </is>
      </c>
      <c r="G89" s="435" t="n"/>
      <c r="H89" s="435" t="n"/>
      <c r="I89" s="435" t="n"/>
      <c r="J89" s="400">
        <f>IFERROR((H89-I89),"N/A")</f>
        <v/>
      </c>
      <c r="K89" s="385">
        <f>IFERROR((H89-I89)/ABS(I89),"N/A")</f>
        <v/>
      </c>
      <c r="L89" s="400">
        <f>IFERROR((H89-G89),"N/A")</f>
        <v/>
      </c>
      <c r="M89" s="385">
        <f>IFERROR((H89-G89)/ABS(G89),"N/A")</f>
        <v/>
      </c>
      <c r="N89" s="435" t="n"/>
      <c r="O89" s="435" t="n"/>
      <c r="P89" s="435" t="n"/>
      <c r="Q89" s="400">
        <f>IFERROR((O89-P89),"N/A")</f>
        <v/>
      </c>
      <c r="R89" s="385">
        <f>IFERROR((O89-P89)/ABS(P89),"N/A")</f>
        <v/>
      </c>
      <c r="S89" s="400">
        <f>IFERROR((O89-N89),"N/A")</f>
        <v/>
      </c>
      <c r="T89" s="385">
        <f>IFERROR((O89-N89)/ABS(N89),"N/A")</f>
        <v/>
      </c>
    </row>
    <row r="90" outlineLevel="1">
      <c r="B90" s="397" t="n"/>
      <c r="C90" s="397" t="inlineStr">
        <is>
          <t>Total COGs</t>
        </is>
      </c>
      <c r="D90" s="397" t="n"/>
      <c r="E90" s="396">
        <f>"thsd</f>
        <v/>
      </c>
      <c r="F90" s="375" t="inlineStr">
        <is>
          <t>+</t>
        </is>
      </c>
      <c r="G90" s="435" t="n"/>
      <c r="H90" s="435" t="n"/>
      <c r="I90" s="435" t="n"/>
      <c r="J90" s="400">
        <f>IFERROR((H90-I90),"N/A")</f>
        <v/>
      </c>
      <c r="K90" s="385">
        <f>IFERROR((H90-I90)/ABS(I90),"N/A")</f>
        <v/>
      </c>
      <c r="L90" s="400">
        <f>IFERROR((H90-G90),"N/A")</f>
        <v/>
      </c>
      <c r="M90" s="385">
        <f>IFERROR((H90-G90)/ABS(G90),"N/A")</f>
        <v/>
      </c>
      <c r="N90" s="435" t="n"/>
      <c r="O90" s="435" t="n"/>
      <c r="P90" s="435" t="n"/>
      <c r="Q90" s="400">
        <f>IFERROR((O90-P90),"N/A")</f>
        <v/>
      </c>
      <c r="R90" s="385">
        <f>IFERROR((O90-P90)/ABS(P90),"N/A")</f>
        <v/>
      </c>
      <c r="S90" s="400">
        <f>IFERROR((O90-N90),"N/A")</f>
        <v/>
      </c>
      <c r="T90" s="385">
        <f>IFERROR((O90-N90)/ABS(N90),"N/A")</f>
        <v/>
      </c>
    </row>
    <row r="91">
      <c r="D91" s="353" t="n"/>
      <c r="Q91" s="446" t="n"/>
    </row>
    <row r="92">
      <c r="Q92" s="446" t="n"/>
    </row>
    <row r="93">
      <c r="Q93" s="446" t="n"/>
    </row>
    <row r="94">
      <c r="Q94" s="446" t="n"/>
    </row>
    <row r="95">
      <c r="Q95" s="446" t="n"/>
    </row>
    <row r="96"/>
    <row r="97">
      <c r="D97" s="353" t="n"/>
    </row>
  </sheetData>
  <mergeCells count="21">
    <mergeCell ref="G14:M14"/>
    <mergeCell ref="B12:B13"/>
    <mergeCell ref="Q12:R12"/>
    <mergeCell ref="S12:T12"/>
    <mergeCell ref="F12:F13"/>
    <mergeCell ref="N12:N13"/>
    <mergeCell ref="L12:M12"/>
    <mergeCell ref="C12:C13"/>
    <mergeCell ref="I12:I13"/>
    <mergeCell ref="O12:O13"/>
    <mergeCell ref="N11:T11"/>
    <mergeCell ref="D12:D13"/>
    <mergeCell ref="G11:M11"/>
    <mergeCell ref="H12:H13"/>
    <mergeCell ref="P12:P13"/>
    <mergeCell ref="D9:E9"/>
    <mergeCell ref="D8:E8"/>
    <mergeCell ref="N14:T14"/>
    <mergeCell ref="J12:K12"/>
    <mergeCell ref="E12:E13"/>
    <mergeCell ref="G12:G1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T84"/>
  <sheetViews>
    <sheetView topLeftCell="C1" workbookViewId="0">
      <selection activeCell="A1" sqref="A1:XFD1048576"/>
    </sheetView>
  </sheetViews>
  <sheetFormatPr baseColWidth="8" defaultColWidth="8.5703125" defaultRowHeight="14.25"/>
  <cols>
    <col hidden="1" width="8" customWidth="1" style="352" min="1" max="1"/>
    <col hidden="1" width="16.42578125" customWidth="1" style="352" min="2" max="2"/>
    <col width="33.5703125" customWidth="1" style="352" min="3" max="3"/>
    <col width="31.42578125" customWidth="1" style="352" min="4" max="4"/>
    <col width="21.5703125" customWidth="1" style="353" min="5" max="5"/>
    <col width="10.5703125" customWidth="1" style="353" min="6" max="6"/>
    <col width="29.5703125" customWidth="1" style="354" min="7" max="9"/>
    <col width="34.42578125" customWidth="1" style="354" min="10" max="10"/>
    <col width="34.42578125" customWidth="1" style="489" min="11" max="11"/>
    <col width="34.42578125" customWidth="1" style="356" min="12" max="12"/>
    <col width="34.42578125" customWidth="1" style="492" min="13" max="13"/>
    <col width="26.5703125" customWidth="1" style="352" min="14" max="15"/>
    <col width="26.42578125" customWidth="1" style="352" min="16" max="16"/>
    <col width="34.42578125" customWidth="1" style="352" min="17" max="20"/>
    <col width="8.5703125" customWidth="1" style="352" min="21" max="16384"/>
  </cols>
  <sheetData>
    <row r="1">
      <c r="K1" s="489" t="n"/>
      <c r="M1" s="492" t="n"/>
    </row>
    <row r="2" ht="18" customHeight="1">
      <c r="D2" s="447" t="n"/>
      <c r="I2" s="447" t="n"/>
      <c r="J2" s="447" t="n"/>
      <c r="K2" s="489" t="n"/>
      <c r="M2" s="492" t="n"/>
    </row>
    <row r="3">
      <c r="D3" s="353" t="n"/>
      <c r="K3" s="489" t="n"/>
      <c r="M3" s="492" t="n"/>
    </row>
    <row r="4" ht="15" customHeight="1">
      <c r="D4" s="353" t="n"/>
      <c r="K4" s="489" t="n"/>
      <c r="M4" s="492" t="n"/>
    </row>
    <row r="5">
      <c r="D5" s="353" t="n"/>
      <c r="K5" s="489" t="n"/>
      <c r="M5" s="492" t="n"/>
    </row>
    <row r="6" ht="46.35" customHeight="1">
      <c r="B6" s="420" t="n"/>
      <c r="D6" s="448" t="n"/>
      <c r="E6" s="352" t="n"/>
      <c r="K6" s="489" t="n"/>
      <c r="M6" s="492" t="n"/>
    </row>
    <row r="7">
      <c r="B7" s="420" t="n"/>
      <c r="D7" s="449" t="n"/>
      <c r="E7" s="352" t="n"/>
      <c r="F7" s="352" t="n"/>
      <c r="K7" s="489" t="n"/>
      <c r="M7" s="492" t="n"/>
    </row>
    <row r="8" ht="34.5" customHeight="1">
      <c r="B8" s="420" t="n"/>
      <c r="F8" s="421" t="n"/>
      <c r="I8" s="451" t="n"/>
      <c r="J8" s="451" t="n"/>
      <c r="K8" s="489" t="n"/>
      <c r="M8" s="492" t="n"/>
    </row>
    <row r="9" ht="15.75" customHeight="1">
      <c r="B9" s="361" t="n"/>
      <c r="C9" s="362" t="inlineStr">
        <is>
          <t>Entity Name</t>
        </is>
      </c>
      <c r="D9" s="743">
        <f>IF([1]Segment_map!$D$4=0,"THE COMPANY HAS NOT BEEN PICKED",[1]Segment_map!$D$4)</f>
        <v/>
      </c>
      <c r="E9" s="862" t="n"/>
      <c r="F9" s="421" t="n"/>
      <c r="H9" s="450" t="n"/>
      <c r="I9" s="451" t="n"/>
      <c r="J9" s="451" t="n"/>
      <c r="K9" s="489" t="n"/>
      <c r="M9" s="492" t="n"/>
    </row>
    <row r="10" ht="15.75" customFormat="1" customHeight="1" s="452">
      <c r="B10" s="453" t="n"/>
      <c r="C10" s="454" t="inlineStr">
        <is>
          <t>Currency</t>
        </is>
      </c>
      <c r="D10" s="744">
        <f>IF([1]Segment_map!$J$4="","CURRENCY HAS NOT BEEN PICKED",[1]Segment_map!$J$4)</f>
        <v/>
      </c>
      <c r="E10" s="872" t="n"/>
      <c r="F10" s="228" t="n"/>
      <c r="G10" s="769">
        <f>'[1]P&amp;L'!E6</f>
        <v/>
      </c>
      <c r="H10" s="889" t="n"/>
      <c r="I10" s="889" t="n"/>
      <c r="J10" s="889" t="n"/>
      <c r="K10" s="889" t="n"/>
      <c r="L10" s="889" t="n"/>
      <c r="M10" s="889" t="n"/>
      <c r="N10" s="770">
        <f>'[1]P&amp;L'!P6</f>
        <v/>
      </c>
      <c r="O10" s="889" t="n"/>
      <c r="P10" s="889" t="n"/>
      <c r="Q10" s="889" t="n"/>
      <c r="R10" s="889" t="n"/>
      <c r="S10" s="889" t="n"/>
      <c r="T10" s="889" t="n"/>
    </row>
    <row r="11" ht="42.6" customFormat="1" customHeight="1" s="455">
      <c r="B11" s="746" t="inlineStr">
        <is>
          <t>Code</t>
        </is>
      </c>
      <c r="C11" s="746" t="inlineStr">
        <is>
          <t>Line item</t>
        </is>
      </c>
      <c r="D11" s="746" t="inlineStr">
        <is>
          <t>Sətir elementi</t>
        </is>
      </c>
      <c r="E11" s="757" t="inlineStr">
        <is>
          <t>Units of measurement</t>
        </is>
      </c>
      <c r="F11" s="771" t="inlineStr">
        <is>
          <t>+/-</t>
        </is>
      </c>
      <c r="G11" s="753" t="inlineStr">
        <is>
          <t>Same period of the previous year actual</t>
        </is>
      </c>
      <c r="H11" s="767" t="inlineStr">
        <is>
          <t>Current period actual</t>
        </is>
      </c>
      <c r="I11" s="767" t="inlineStr">
        <is>
          <t>Current period plan</t>
        </is>
      </c>
      <c r="J11" s="768" t="inlineStr">
        <is>
          <t>Deviations actual to plan of current period</t>
        </is>
      </c>
      <c r="K11" s="890" t="n"/>
      <c r="L11" s="768" t="inlineStr">
        <is>
          <t>Deviations of current from previous period</t>
        </is>
      </c>
      <c r="M11" s="890" t="n"/>
      <c r="N11" s="757" t="inlineStr">
        <is>
          <t>Same period of the previous year actual</t>
        </is>
      </c>
      <c r="O11" s="763" t="inlineStr">
        <is>
          <t>Current period actual</t>
        </is>
      </c>
      <c r="P11" s="763" t="inlineStr">
        <is>
          <t>Current period plan</t>
        </is>
      </c>
      <c r="Q11" s="764" t="inlineStr">
        <is>
          <t>Deviations actual to plan of current period</t>
        </is>
      </c>
      <c r="R11" s="890" t="n"/>
      <c r="S11" s="764" t="inlineStr">
        <is>
          <t>Deviations of current from previous period</t>
        </is>
      </c>
      <c r="T11" s="890" t="n"/>
    </row>
    <row r="12" ht="94.5" customHeight="1">
      <c r="A12" s="351" t="n"/>
      <c r="B12" s="874" t="n"/>
      <c r="C12" s="874" t="n"/>
      <c r="D12" s="874" t="n"/>
      <c r="E12" s="874" t="n"/>
      <c r="F12" s="868" t="n"/>
      <c r="G12" s="874" t="n"/>
      <c r="H12" s="874" t="n"/>
      <c r="I12" s="874" t="n"/>
      <c r="J12" s="456" t="inlineStr">
        <is>
          <t>Deviation from current period plan in absolute</t>
        </is>
      </c>
      <c r="K12" s="457" t="n"/>
      <c r="L12" s="456" t="inlineStr">
        <is>
          <t>Deviation from same period of the previous year in absolute</t>
        </is>
      </c>
      <c r="M12" s="458" t="inlineStr">
        <is>
          <t>Deviation from same period of the previous year, %</t>
        </is>
      </c>
      <c r="N12" s="874" t="n"/>
      <c r="O12" s="874" t="n"/>
      <c r="P12" s="874" t="n"/>
      <c r="Q12" s="459" t="inlineStr">
        <is>
          <t>Deviation from current period plan in absolute</t>
        </is>
      </c>
      <c r="R12" s="459" t="n"/>
      <c r="S12" s="460" t="inlineStr">
        <is>
          <t>Deviation from same period of the previous year in absolute</t>
        </is>
      </c>
      <c r="T12" s="460" t="inlineStr">
        <is>
          <t>Deviation from same period of the previous year, %</t>
        </is>
      </c>
    </row>
    <row r="13" ht="15.75" customHeight="1">
      <c r="A13" s="351" t="n"/>
      <c r="B13" s="461" t="n"/>
      <c r="C13" s="746" t="n"/>
      <c r="D13" s="746" t="n"/>
      <c r="E13" s="757" t="n"/>
      <c r="F13" s="463" t="n"/>
      <c r="G13" s="765">
        <f>'[1]P&amp;L'!E9</f>
        <v/>
      </c>
      <c r="H13" s="891" t="n"/>
      <c r="I13" s="891" t="n"/>
      <c r="J13" s="891" t="n"/>
      <c r="K13" s="891" t="n"/>
      <c r="L13" s="891" t="n"/>
      <c r="M13" s="891" t="n"/>
      <c r="N13" s="766">
        <f>'[1]P&amp;L'!P9</f>
        <v/>
      </c>
      <c r="O13" s="891" t="n"/>
      <c r="P13" s="891" t="n"/>
      <c r="Q13" s="891" t="n"/>
      <c r="R13" s="891" t="n"/>
      <c r="S13" s="891" t="n"/>
      <c r="T13" s="891" t="n"/>
    </row>
    <row r="14" customFormat="1" s="354">
      <c r="B14" s="464" t="n">
        <v>1</v>
      </c>
      <c r="C14" s="464" t="n">
        <v>2</v>
      </c>
      <c r="D14" s="464" t="n">
        <v>3</v>
      </c>
      <c r="E14" s="464" t="n">
        <v>4</v>
      </c>
      <c r="F14" s="464" t="n">
        <v>5</v>
      </c>
      <c r="G14" s="464" t="n">
        <v>6</v>
      </c>
      <c r="H14" s="464" t="n">
        <v>7</v>
      </c>
      <c r="I14" s="464" t="n">
        <v>8</v>
      </c>
      <c r="J14" s="464" t="n">
        <v>9</v>
      </c>
      <c r="K14" s="464" t="n">
        <v>10</v>
      </c>
      <c r="L14" s="464" t="n">
        <v>11</v>
      </c>
      <c r="M14" s="464" t="n">
        <v>12</v>
      </c>
      <c r="N14" s="464" t="n">
        <v>13</v>
      </c>
      <c r="O14" s="464" t="n">
        <v>14</v>
      </c>
      <c r="P14" s="464" t="n">
        <v>15</v>
      </c>
      <c r="Q14" s="464" t="n">
        <v>16</v>
      </c>
      <c r="R14" s="464" t="n">
        <v>17</v>
      </c>
      <c r="S14" s="464" t="n">
        <v>18</v>
      </c>
      <c r="T14" s="464" t="n">
        <v>19</v>
      </c>
    </row>
    <row r="15" ht="24" customHeight="1">
      <c r="B15" s="465" t="inlineStr">
        <is>
          <t>01.A</t>
        </is>
      </c>
      <c r="C15" s="465" t="inlineStr">
        <is>
          <t xml:space="preserve">Products revenue </t>
        </is>
      </c>
      <c r="D15" s="465" t="n"/>
      <c r="E15" s="466">
        <f>"thsd</f>
        <v/>
      </c>
      <c r="F15" s="375" t="inlineStr">
        <is>
          <t>+</t>
        </is>
      </c>
      <c r="G15" s="377">
        <f>IF(AND(G17="N/A",),"N/A",SUM(G17))</f>
        <v/>
      </c>
      <c r="H15" s="377">
        <f>IF(AND(H17="N/A",),"N/A",SUM(H17))</f>
        <v/>
      </c>
      <c r="I15" s="377">
        <f>IF(AND(I17="N/A",),"N/A",SUM(I17))</f>
        <v/>
      </c>
      <c r="J15" s="892">
        <f>IFERROR(H15-I15,"N/A")</f>
        <v/>
      </c>
      <c r="K15" s="468">
        <f>IFERROR((H15-I15)/ABS(I15),"N/A")</f>
        <v/>
      </c>
      <c r="L15" s="892">
        <f>IFERROR(H15-G15,"N/A")</f>
        <v/>
      </c>
      <c r="M15" s="468">
        <f>IFERROR((H15-G15)/ABS(G15),"N/A")</f>
        <v/>
      </c>
      <c r="N15" s="377">
        <f>IF(AND(N17="N/A",),"N/A",SUM(N17))</f>
        <v/>
      </c>
      <c r="O15" s="377">
        <f>IF(AND(O17="N/A",),"N/A",SUM(O17))</f>
        <v/>
      </c>
      <c r="P15" s="377">
        <f>IF(AND(P17="N/A",),"N/A",SUM(P17))</f>
        <v/>
      </c>
      <c r="Q15" s="893">
        <f>IFERROR(O15-P15,"N/A")</f>
        <v/>
      </c>
      <c r="R15" s="468">
        <f>IFERROR((O15-P15)/ABS(P15),"N/A")</f>
        <v/>
      </c>
      <c r="S15" s="892">
        <f>IFERROR(O15-N15,"N/A")</f>
        <v/>
      </c>
      <c r="T15" s="468">
        <f>IFERROR((O15-N15)/ABS(N15),"N/A")</f>
        <v/>
      </c>
    </row>
    <row r="16">
      <c r="B16" s="483" t="n"/>
      <c r="C16" s="483" t="inlineStr">
        <is>
          <t>COGS</t>
        </is>
      </c>
      <c r="D16" s="483" t="n"/>
      <c r="E16" s="383">
        <f>"thsd</f>
        <v/>
      </c>
      <c r="F16" s="375" t="inlineStr">
        <is>
          <t>+</t>
        </is>
      </c>
      <c r="G16" s="471">
        <f>IF(AND(G22="N/A",G27="N/A",G32="N/A",G38="N/A",G43="N/A",G48="N/A"),"N/A",SUM(IFERROR(G22*G20,0),IFERROR(G27*G25,0),IFERROR(G32*G30,0),IFERROR(G38*G36,0),IFERROR(G43*G41,0),IFERROR(G48*G46,0)))</f>
        <v/>
      </c>
      <c r="H16" s="471">
        <f>IF(AND(H22="N/A",H27="N/A",H32="N/A",H38="N/A",H43="N/A",H48="N/A"),"N/A",SUM(IFERROR(H22*H20,0),IFERROR(H27*H25,0),IFERROR(H32*H30,0),IFERROR(H38*H36,0),IFERROR(H43*H41,0),IFERROR(H48*H46,0)))</f>
        <v/>
      </c>
      <c r="I16" s="471">
        <f>IF(AND(I22="N/A",I27="N/A",I32="N/A",I38="N/A",I43="N/A",I48="N/A"),"N/A",SUM(IFERROR(I22*I20,0),IFERROR(I27*I25,0),IFERROR(I32*I30,0),IFERROR(I38*I36,0),IFERROR(I43*I41,0),IFERROR(I48*I46,0)))</f>
        <v/>
      </c>
      <c r="J16" s="894">
        <f>IFERROR(H16-I16,"N/A")</f>
        <v/>
      </c>
      <c r="K16" s="473">
        <f>IFERROR((H16-I16)/ABS(I16),"N/A")</f>
        <v/>
      </c>
      <c r="L16" s="894">
        <f>IFERROR(H16-G16,"N/A")</f>
        <v/>
      </c>
      <c r="M16" s="473">
        <f>IFERROR((H16-G16)/ABS(G16),"N/A")</f>
        <v/>
      </c>
      <c r="N16" s="471">
        <f>IF(AND(N22="N/A",N27="N/A",N32="N/A",N38="N/A",N43="N/A",N48="N/A"),"N/A",SUM(IFERROR(N22*N20,0),IFERROR(N27*N25,0),IFERROR(N32*N30,0),IFERROR(N38*N36,0),IFERROR(N43*N41,0),IFERROR(N48*N46,0)))</f>
        <v/>
      </c>
      <c r="O16" s="471">
        <f>IF(AND(O22="N/A",O27="N/A",O32="N/A",O38="N/A",O43="N/A",O48="N/A"),"N/A",SUM(IFERROR(O22*O20,0),IFERROR(O27*O25,0),IFERROR(O32*O30,0),IFERROR(O38*O36,0),IFERROR(O43*O41,0),IFERROR(O48*O46,0)))</f>
        <v/>
      </c>
      <c r="P16" s="471">
        <f>IF(AND(P22="N/A",P27="N/A",P32="N/A",P38="N/A",P43="N/A",P48="N/A"),"N/A",SUM(IFERROR(P22*P20,0),IFERROR(P27*P25,0),IFERROR(P32*P30,0),IFERROR(P38*P36,0),IFERROR(P43*P41,0),IFERROR(P48*P46,0)))</f>
        <v/>
      </c>
      <c r="Q16" s="894">
        <f>IFERROR(O16-P16,"N/A")</f>
        <v/>
      </c>
      <c r="R16" s="473">
        <f>IFERROR((O16-P16)/ABS(P16),"N/A")</f>
        <v/>
      </c>
      <c r="S16" s="894">
        <f>IFERROR(O16-N16,"N/A")</f>
        <v/>
      </c>
      <c r="T16" s="473">
        <f>IFERROR((O16-N16)/ABS(N16),"N/A")</f>
        <v/>
      </c>
    </row>
    <row r="17">
      <c r="B17" s="474" t="n"/>
      <c r="C17" s="475" t="inlineStr">
        <is>
          <t>Natural gas</t>
        </is>
      </c>
      <c r="D17" s="475" t="inlineStr">
        <is>
          <t>Təbii qaz</t>
        </is>
      </c>
      <c r="E17" s="476">
        <f>"thsd</f>
        <v/>
      </c>
      <c r="F17" s="375" t="inlineStr">
        <is>
          <t>+</t>
        </is>
      </c>
      <c r="G17" s="143">
        <f>IF(AND(G18="N/A",G34="N/A"),"N/A",SUM(G18,G34))</f>
        <v/>
      </c>
      <c r="H17" s="143">
        <f>IF(AND(H18="N/A",H34="N/A"),"N/A",SUM(H18,H34))</f>
        <v/>
      </c>
      <c r="I17" s="143">
        <f>IF(AND(I18="N/A",I34="N/A"),"N/A",SUM(I18,I34))</f>
        <v/>
      </c>
      <c r="J17" s="894">
        <f>IFERROR(H17-I17,"N/A")</f>
        <v/>
      </c>
      <c r="K17" s="477">
        <f>IFERROR((H17-I17)/ABS(I17),"N/A")</f>
        <v/>
      </c>
      <c r="L17" s="894">
        <f>IFERROR(H17-G17,"N/A")</f>
        <v/>
      </c>
      <c r="M17" s="477">
        <f>IFERROR((H17-G17)/ABS(G17),"N/A")</f>
        <v/>
      </c>
      <c r="N17" s="143">
        <f>IF(AND(N18="N/A",N34="N/A"),"N/A",SUM(N18,N34))</f>
        <v/>
      </c>
      <c r="O17" s="143">
        <f>IF(AND(O18="N/A",O34="N/A"),"N/A",SUM(O18,O34))</f>
        <v/>
      </c>
      <c r="P17" s="143">
        <f>IF(AND(P18="N/A",P34="N/A"),"N/A",SUM(P18,P34))</f>
        <v/>
      </c>
      <c r="Q17" s="894">
        <f>IFERROR(O17-P17,"N/A")</f>
        <v/>
      </c>
      <c r="R17" s="477">
        <f>IFERROR((O17-P17)/ABS(P17),"N/A")</f>
        <v/>
      </c>
      <c r="S17" s="894">
        <f>IFERROR(O17-N17,"N/A")</f>
        <v/>
      </c>
      <c r="T17" s="477">
        <f>IFERROR((O17-N17)/ABS(N17),"N/A")</f>
        <v/>
      </c>
    </row>
    <row r="18" ht="25.5" customHeight="1">
      <c r="B18" s="478" t="n"/>
      <c r="C18" s="390" t="inlineStr">
        <is>
          <t>Local revenue (for Entity location)</t>
        </is>
      </c>
      <c r="D18" s="390" t="n"/>
      <c r="E18" s="479">
        <f>"thsd</f>
        <v/>
      </c>
      <c r="F18" s="375" t="inlineStr">
        <is>
          <t>+</t>
        </is>
      </c>
      <c r="G18" s="433">
        <f>IF(AND(G19="N/A",G24="N/A",G29="N/A"),"N/A",SUM(G19,G24,G29))</f>
        <v/>
      </c>
      <c r="H18" s="433">
        <f>IF(AND(H19="N/A",H24="N/A",H29="N/A"),"N/A",SUM(H19,H24,H29))</f>
        <v/>
      </c>
      <c r="I18" s="433">
        <f>IF(AND(I19="N/A",I24="N/A",I29="N/A"),"N/A",SUM(I19,I24,I29))</f>
        <v/>
      </c>
      <c r="J18" s="894">
        <f>IFERROR(H18-I18,"N/A")</f>
        <v/>
      </c>
      <c r="K18" s="477">
        <f>IFERROR((H18-I18)/ABS(I18),"N/A")</f>
        <v/>
      </c>
      <c r="L18" s="894">
        <f>IFERROR(H18-G18,"N/A")</f>
        <v/>
      </c>
      <c r="M18" s="477">
        <f>IFERROR((H18-G18)/ABS(G18),"N/A")</f>
        <v/>
      </c>
      <c r="N18" s="433">
        <f>IF(AND(N19="N/A",N24="N/A",N29="N/A"),"N/A",SUM(N19,N24,N29))</f>
        <v/>
      </c>
      <c r="O18" s="433">
        <f>IF(AND(O19="N/A",O24="N/A",O29="N/A"),"N/A",SUM(O19,O24,O29))</f>
        <v/>
      </c>
      <c r="P18" s="433">
        <f>IF(AND(P19="N/A",P24="N/A",P29="N/A"),"N/A",SUM(P19,P24,P29))</f>
        <v/>
      </c>
      <c r="Q18" s="894">
        <f>IFERROR(O18-P18,"N/A")</f>
        <v/>
      </c>
      <c r="R18" s="477">
        <f>IFERROR((O18-P18)/ABS(P18),"N/A")</f>
        <v/>
      </c>
      <c r="S18" s="894">
        <f>IFERROR(O18-N18,"N/A")</f>
        <v/>
      </c>
      <c r="T18" s="477">
        <f>IFERROR((O18-N18)/ABS(N18),"N/A")</f>
        <v/>
      </c>
    </row>
    <row r="19">
      <c r="B19" s="480" t="n"/>
      <c r="C19" s="480" t="inlineStr">
        <is>
          <t>Residential customers</t>
        </is>
      </c>
      <c r="D19" s="480" t="inlineStr">
        <is>
          <t>Əhali</t>
        </is>
      </c>
      <c r="E19" s="481">
        <f>"thsd</f>
        <v/>
      </c>
      <c r="F19" s="375" t="inlineStr">
        <is>
          <t>+</t>
        </is>
      </c>
      <c r="G19" s="158" t="n">
        <v>16916.39086651244</v>
      </c>
      <c r="H19" s="158" t="n">
        <v>17321.33838988156</v>
      </c>
      <c r="I19" s="158" t="n">
        <v>14477.64705882353</v>
      </c>
      <c r="J19" s="894">
        <f>IFERROR(H19-I19,"N/A")</f>
        <v/>
      </c>
      <c r="K19" s="482">
        <f>IFERROR((H19-I19)/ABS(I19),"N/A")</f>
        <v/>
      </c>
      <c r="L19" s="894">
        <f>IFERROR(H19-G19,"N/A")</f>
        <v/>
      </c>
      <c r="M19" s="482">
        <f>IFERROR((H19-G19)/ABS(G19),"N/A")</f>
        <v/>
      </c>
      <c r="N19" s="158" t="n">
        <v>112634.4051831382</v>
      </c>
      <c r="O19" s="158" t="n">
        <v>115245.8973228891</v>
      </c>
      <c r="P19" s="158" t="n">
        <v>106924.1176470589</v>
      </c>
      <c r="Q19" s="894">
        <f>IFERROR(O19-P19,"N/A")</f>
        <v/>
      </c>
      <c r="R19" s="482">
        <f>IFERROR((O19-P19)/ABS(P19),"N/A")</f>
        <v/>
      </c>
      <c r="S19" s="894">
        <f>IFERROR(O19-N19,"N/A")</f>
        <v/>
      </c>
      <c r="T19" s="482">
        <f>IFERROR((O19-N19)/ABS(N19),"N/A")</f>
        <v/>
      </c>
    </row>
    <row r="20">
      <c r="B20" s="483" t="n"/>
      <c r="C20" s="483" t="inlineStr">
        <is>
          <t>Sales volume</t>
        </is>
      </c>
      <c r="D20" s="483" t="n"/>
      <c r="E20" s="481" t="inlineStr">
        <is>
          <t>mln m3</t>
        </is>
      </c>
      <c r="F20" s="375" t="inlineStr">
        <is>
          <t>+</t>
        </is>
      </c>
      <c r="G20" s="158" t="n">
        <v>94.65341199999999</v>
      </c>
      <c r="H20" s="158" t="n">
        <v>97.20447900000001</v>
      </c>
      <c r="I20" s="158" t="n">
        <v>89.708</v>
      </c>
      <c r="J20" s="894">
        <f>IFERROR(H20-I20,"N/A")</f>
        <v/>
      </c>
      <c r="K20" s="473">
        <f>IFERROR((H20-I20)/ABS(I20),"N/A")</f>
        <v/>
      </c>
      <c r="L20" s="894">
        <f>IFERROR(H20-G20,"N/A")</f>
        <v/>
      </c>
      <c r="M20" s="473">
        <f>IFERROR((H20-G20)/ABS(G20),"N/A")</f>
        <v/>
      </c>
      <c r="N20" s="158" t="n">
        <v>608.8485089999998</v>
      </c>
      <c r="O20" s="158" t="n">
        <v>641.774453</v>
      </c>
      <c r="P20" s="158" t="n">
        <v>662.574</v>
      </c>
      <c r="Q20" s="894">
        <f>IFERROR(O20-P20,"N/A")</f>
        <v/>
      </c>
      <c r="R20" s="473">
        <f>IFERROR((O20-P20)/ABS(P20),"N/A")</f>
        <v/>
      </c>
      <c r="S20" s="894">
        <f>IFERROR(O20-N20,"N/A")</f>
        <v/>
      </c>
      <c r="T20" s="473">
        <f>IFERROR((O20-N20)/ABS(N20),"N/A")</f>
        <v/>
      </c>
    </row>
    <row r="21">
      <c r="B21" s="483" t="n"/>
      <c r="C21" s="483" t="inlineStr">
        <is>
          <t>Price</t>
        </is>
      </c>
      <c r="D21" s="483" t="inlineStr">
        <is>
          <t>Qiyməti</t>
        </is>
      </c>
      <c r="E21" s="481">
        <f>$D$10&amp;"</f>
        <v/>
      </c>
      <c r="F21" s="375" t="inlineStr">
        <is>
          <t>+</t>
        </is>
      </c>
      <c r="G21" s="471">
        <f>IF(G20=0,0,IFERROR(G19/G20,"N/A"))</f>
        <v/>
      </c>
      <c r="H21" s="471">
        <f>IF(H20=0,0,IFERROR(H19/H20,"N/A"))</f>
        <v/>
      </c>
      <c r="I21" s="471">
        <f>IF(I20=0,0,IFERROR(I19/I20,"N/A"))</f>
        <v/>
      </c>
      <c r="J21" s="894">
        <f>IFERROR(H21-I21,"N/A")</f>
        <v/>
      </c>
      <c r="K21" s="473">
        <f>IFERROR((H21-I21)/ABS(I21),"N/A")</f>
        <v/>
      </c>
      <c r="L21" s="894">
        <f>IFERROR(H21-G21,"N/A")</f>
        <v/>
      </c>
      <c r="M21" s="473">
        <f>IFERROR((H21-G21)/ABS(G21),"N/A")</f>
        <v/>
      </c>
      <c r="N21" s="471">
        <f>IF(N20=0,0,IFERROR(N19/N20,"N/A"))</f>
        <v/>
      </c>
      <c r="O21" s="471">
        <f>IF(O20=0,0,IFERROR(O19/O20,"N/A"))</f>
        <v/>
      </c>
      <c r="P21" s="471">
        <f>IF(P20=0,0,IFERROR(P19/P20,"N/A"))</f>
        <v/>
      </c>
      <c r="Q21" s="894">
        <f>IFERROR(O21-P21,"N/A")</f>
        <v/>
      </c>
      <c r="R21" s="473">
        <f>IFERROR((O21-P21)/ABS(P21),"N/A")</f>
        <v/>
      </c>
      <c r="S21" s="894">
        <f>IFERROR(O21-N21,"N/A")</f>
        <v/>
      </c>
      <c r="T21" s="473">
        <f>IFERROR((O21-N21)/ABS(N21),"N/A")</f>
        <v/>
      </c>
    </row>
    <row r="22">
      <c r="B22" s="483" t="n"/>
      <c r="C22" s="483" t="inlineStr">
        <is>
          <t>COGs</t>
        </is>
      </c>
      <c r="D22" s="397" t="n"/>
      <c r="E22" s="481">
        <f>$D$10&amp;"</f>
        <v/>
      </c>
      <c r="F22" s="375" t="inlineStr">
        <is>
          <t>+</t>
        </is>
      </c>
      <c r="G22" s="399">
        <f>IF(G20=0,0,IFERROR(G23/G20,"N/A"))</f>
        <v/>
      </c>
      <c r="H22" s="399">
        <f>IF(H20=0,0,IFERROR(H23/H20,"N/A"))</f>
        <v/>
      </c>
      <c r="I22" s="399">
        <f>IF(I20=0,0,IFERROR(I23/I20,"N/A"))</f>
        <v/>
      </c>
      <c r="J22" s="400">
        <f>IFERROR((H22-I22),"N/A")</f>
        <v/>
      </c>
      <c r="K22" s="385">
        <f>IFERROR((H22-I22)/ABS(I22),"N/A")</f>
        <v/>
      </c>
      <c r="L22" s="400">
        <f>IFERROR((H22-G22),"N/A")</f>
        <v/>
      </c>
      <c r="M22" s="385">
        <f>IFERROR((H22-G22)/ABS(G22),"N/A")</f>
        <v/>
      </c>
      <c r="N22" s="399">
        <f>IF(N20=0,0,IFERROR(N23/N20,"N/A"))</f>
        <v/>
      </c>
      <c r="O22" s="399">
        <f>IF(O20=0,0,IFERROR(O23/O20,"N/A"))</f>
        <v/>
      </c>
      <c r="P22" s="399">
        <f>IF(P20=0,0,IFERROR(P23/P20,"N/A"))</f>
        <v/>
      </c>
      <c r="Q22" s="184">
        <f>IFERROR((O22-P22),"N/A")</f>
        <v/>
      </c>
      <c r="R22" s="385">
        <f>IFERROR((O22-P22)/ABS(P22),"N/A")</f>
        <v/>
      </c>
      <c r="S22" s="400">
        <f>IFERROR((O22-N22),"N/A")</f>
        <v/>
      </c>
      <c r="T22" s="385">
        <f>IFERROR((O22-N22)/ABS(N22),"N/A")</f>
        <v/>
      </c>
    </row>
    <row r="23">
      <c r="B23" s="483" t="n"/>
      <c r="C23" s="483" t="inlineStr">
        <is>
          <t>Total COGs</t>
        </is>
      </c>
      <c r="D23" s="397" t="n"/>
      <c r="E23" s="481">
        <f>"thsd</f>
        <v/>
      </c>
      <c r="F23" s="375" t="inlineStr">
        <is>
          <t>+</t>
        </is>
      </c>
      <c r="G23" s="158" t="n">
        <v>4594.64508107612</v>
      </c>
      <c r="H23" s="158" t="n">
        <v>5720.67309065219</v>
      </c>
      <c r="I23" s="158" t="n">
        <v>4329.682587364943</v>
      </c>
      <c r="J23" s="400">
        <f>IFERROR((H23-I23),"N/A")</f>
        <v/>
      </c>
      <c r="K23" s="385">
        <f>IFERROR((H23-I23)/ABS(I23),"N/A")</f>
        <v/>
      </c>
      <c r="L23" s="400">
        <f>IFERROR((H23-G23),"N/A")</f>
        <v/>
      </c>
      <c r="M23" s="385">
        <f>IFERROR((H23-G23)/ABS(G23),"N/A")</f>
        <v/>
      </c>
      <c r="N23" s="158" t="n">
        <v>33328.49120319606</v>
      </c>
      <c r="O23" s="158" t="n">
        <v>29588.90007217237</v>
      </c>
      <c r="P23" s="158" t="n">
        <v>31683.19437018414</v>
      </c>
      <c r="Q23" s="184">
        <f>IFERROR((O23-P23),"N/A")</f>
        <v/>
      </c>
      <c r="R23" s="385">
        <f>IFERROR((O23-P23)/ABS(P23),"N/A")</f>
        <v/>
      </c>
      <c r="S23" s="400">
        <f>IFERROR((O23-N23),"N/A")</f>
        <v/>
      </c>
      <c r="T23" s="385">
        <f>IFERROR((O23-N23)/ABS(N23),"N/A")</f>
        <v/>
      </c>
    </row>
    <row r="24">
      <c r="B24" s="480" t="n"/>
      <c r="C24" s="480" t="inlineStr">
        <is>
          <t>Non-residential customers</t>
        </is>
      </c>
      <c r="D24" s="480" t="inlineStr">
        <is>
          <t>Qeyri-əhali</t>
        </is>
      </c>
      <c r="E24" s="481">
        <f>"thsd</f>
        <v/>
      </c>
      <c r="F24" s="375" t="inlineStr">
        <is>
          <t>+</t>
        </is>
      </c>
      <c r="G24" s="158" t="n">
        <v>9826.905186670889</v>
      </c>
      <c r="H24" s="158" t="n">
        <v>8828.704483302934</v>
      </c>
      <c r="I24" s="158" t="n">
        <v>7984.117647058823</v>
      </c>
      <c r="J24" s="894">
        <f>IFERROR(H24-I24,"N/A")</f>
        <v/>
      </c>
      <c r="K24" s="482">
        <f>IFERROR((H24-I24)/ABS(I24),"N/A")</f>
        <v/>
      </c>
      <c r="L24" s="894">
        <f>IFERROR(H24-G24,"N/A")</f>
        <v/>
      </c>
      <c r="M24" s="482">
        <f>IFERROR((H24-G24)/ABS(G24),"N/A")</f>
        <v/>
      </c>
      <c r="N24" s="158" t="n">
        <v>62273.97951776117</v>
      </c>
      <c r="O24" s="158" t="n">
        <v>73261.95065404796</v>
      </c>
      <c r="P24" s="158" t="n">
        <v>69417.05882352943</v>
      </c>
      <c r="Q24" s="894">
        <f>IFERROR(O24-P24,"N/A")</f>
        <v/>
      </c>
      <c r="R24" s="482">
        <f>IFERROR((O24-P24)/ABS(P24),"N/A")</f>
        <v/>
      </c>
      <c r="S24" s="894">
        <f>IFERROR(O24-N24,"N/A")</f>
        <v/>
      </c>
      <c r="T24" s="482">
        <f>IFERROR((O24-N24)/ABS(N24),"N/A")</f>
        <v/>
      </c>
    </row>
    <row r="25">
      <c r="B25" s="483" t="n"/>
      <c r="C25" s="483" t="inlineStr">
        <is>
          <t>Sales volume</t>
        </is>
      </c>
      <c r="D25" s="483" t="n"/>
      <c r="E25" s="481" t="inlineStr">
        <is>
          <t>mln m3</t>
        </is>
      </c>
      <c r="F25" s="375" t="inlineStr">
        <is>
          <t>+</t>
        </is>
      </c>
      <c r="G25" s="158" t="n">
        <v>22.87955499999998</v>
      </c>
      <c r="H25" s="158" t="n">
        <v>22.467445</v>
      </c>
      <c r="I25" s="158" t="n">
        <v>20.6682224175</v>
      </c>
      <c r="J25" s="894">
        <f>IFERROR(H25-I25,"N/A")</f>
        <v/>
      </c>
      <c r="K25" s="473">
        <f>IFERROR((H25-I25)/ABS(I25),"N/A")</f>
        <v/>
      </c>
      <c r="L25" s="894">
        <f>IFERROR(H25-G25,"N/A")</f>
        <v/>
      </c>
      <c r="M25" s="473">
        <f>IFERROR((H25-G25)/ABS(G25),"N/A")</f>
        <v/>
      </c>
      <c r="N25" s="158" t="n">
        <v>160.1314349999999</v>
      </c>
      <c r="O25" s="158" t="n">
        <v>174.605895</v>
      </c>
      <c r="P25" s="158" t="n">
        <v>179.6936666175</v>
      </c>
      <c r="Q25" s="894">
        <f>IFERROR(O25-P25,"N/A")</f>
        <v/>
      </c>
      <c r="R25" s="473">
        <f>IFERROR((O25-P25)/ABS(P25),"N/A")</f>
        <v/>
      </c>
      <c r="S25" s="894">
        <f>IFERROR(O25-N25,"N/A")</f>
        <v/>
      </c>
      <c r="T25" s="473">
        <f>IFERROR((O25-N25)/ABS(N25),"N/A")</f>
        <v/>
      </c>
    </row>
    <row r="26">
      <c r="B26" s="483" t="n"/>
      <c r="C26" s="483" t="inlineStr">
        <is>
          <t>Price</t>
        </is>
      </c>
      <c r="D26" s="483" t="inlineStr">
        <is>
          <t>Qiyməti</t>
        </is>
      </c>
      <c r="E26" s="481">
        <f>$D$10&amp;"</f>
        <v/>
      </c>
      <c r="F26" s="375" t="inlineStr">
        <is>
          <t>+</t>
        </is>
      </c>
      <c r="G26" s="471">
        <f>IF(G25=0,0,IFERROR(G24/G25,"N/A"))</f>
        <v/>
      </c>
      <c r="H26" s="471">
        <f>IF(H25=0,0,IFERROR(H24/H25,"N/A"))</f>
        <v/>
      </c>
      <c r="I26" s="471">
        <f>IF(I25=0,0,IFERROR(I24/I25,"N/A"))</f>
        <v/>
      </c>
      <c r="J26" s="894">
        <f>IFERROR(H26-I26,"N/A")</f>
        <v/>
      </c>
      <c r="K26" s="473">
        <f>IFERROR((H26-I26)/ABS(I26),"N/A")</f>
        <v/>
      </c>
      <c r="L26" s="894">
        <f>IFERROR(H26-G26,"N/A")</f>
        <v/>
      </c>
      <c r="M26" s="473">
        <f>IFERROR((H26-G26)/ABS(G26),"N/A")</f>
        <v/>
      </c>
      <c r="N26" s="471">
        <f>IF(N25=0,0,IFERROR(N24/N25,"N/A"))</f>
        <v/>
      </c>
      <c r="O26" s="471">
        <f>IF(O25=0,0,IFERROR(O24/O25,"N/A"))</f>
        <v/>
      </c>
      <c r="P26" s="471">
        <f>IF(P25=0,0,IFERROR(P24/P25,"N/A"))</f>
        <v/>
      </c>
      <c r="Q26" s="894">
        <f>IFERROR(O26-P26,"N/A")</f>
        <v/>
      </c>
      <c r="R26" s="473">
        <f>IFERROR((O26-P26)/ABS(P26),"N/A")</f>
        <v/>
      </c>
      <c r="S26" s="894">
        <f>IFERROR(O26-N26,"N/A")</f>
        <v/>
      </c>
      <c r="T26" s="473">
        <f>IFERROR((O26-N26)/ABS(N26),"N/A")</f>
        <v/>
      </c>
    </row>
    <row r="27">
      <c r="B27" s="483" t="n"/>
      <c r="C27" s="483" t="inlineStr">
        <is>
          <t>COGs</t>
        </is>
      </c>
      <c r="D27" s="397" t="n"/>
      <c r="E27" s="481">
        <f>$D$10&amp;"</f>
        <v/>
      </c>
      <c r="F27" s="375" t="inlineStr">
        <is>
          <t>+</t>
        </is>
      </c>
      <c r="G27" s="399">
        <f>IF(G25=0,0,IFERROR(G28/G25,"N/A"))</f>
        <v/>
      </c>
      <c r="H27" s="399">
        <f>IF(H25=0,0,IFERROR(H28/H25,"N/A"))</f>
        <v/>
      </c>
      <c r="I27" s="399">
        <f>IF(I25=0,0,IFERROR(I28/I25,"N/A"))</f>
        <v/>
      </c>
      <c r="J27" s="400">
        <f>IFERROR((H27-I27),"N/A")</f>
        <v/>
      </c>
      <c r="K27" s="385">
        <f>IFERROR((H27-I27)/ABS(I27),"N/A")</f>
        <v/>
      </c>
      <c r="L27" s="400">
        <f>IFERROR((H27-G27),"N/A")</f>
        <v/>
      </c>
      <c r="M27" s="385">
        <f>IFERROR((H27-G27)/ABS(G27),"N/A")</f>
        <v/>
      </c>
      <c r="N27" s="399">
        <f>IF(N25=0,0,IFERROR(N28/N25,"N/A"))</f>
        <v/>
      </c>
      <c r="O27" s="399">
        <f>IF(O25=0,0,IFERROR(O28/O25,"N/A"))</f>
        <v/>
      </c>
      <c r="P27" s="399">
        <f>IF(P25=0,0,IFERROR(P28/P25,"N/A"))</f>
        <v/>
      </c>
      <c r="Q27" s="184">
        <f>IFERROR((O27-P27),"N/A")</f>
        <v/>
      </c>
      <c r="R27" s="385">
        <f>IFERROR((O27-P27)/ABS(P27),"N/A")</f>
        <v/>
      </c>
      <c r="S27" s="400">
        <f>IFERROR((O27-N27),"N/A")</f>
        <v/>
      </c>
      <c r="T27" s="385">
        <f>IFERROR((O27-N27)/ABS(N27),"N/A")</f>
        <v/>
      </c>
    </row>
    <row r="28">
      <c r="B28" s="483" t="n"/>
      <c r="C28" s="483" t="inlineStr">
        <is>
          <t>Total COGs</t>
        </is>
      </c>
      <c r="D28" s="397" t="n"/>
      <c r="E28" s="481">
        <f>"thsd</f>
        <v/>
      </c>
      <c r="F28" s="375" t="inlineStr">
        <is>
          <t>+</t>
        </is>
      </c>
      <c r="G28" s="158" t="n">
        <v>5170.756364254847</v>
      </c>
      <c r="H28" s="158" t="n">
        <v>4008.399407674685</v>
      </c>
      <c r="I28" s="158" t="n">
        <v>4609.840327999199</v>
      </c>
      <c r="J28" s="400">
        <f>IFERROR((H28-I28),"N/A")</f>
        <v/>
      </c>
      <c r="K28" s="385">
        <f>IFERROR((H28-I28)/ABS(I28),"N/A")</f>
        <v/>
      </c>
      <c r="L28" s="400">
        <f>IFERROR((H28-G28),"N/A")</f>
        <v/>
      </c>
      <c r="M28" s="385">
        <f>IFERROR((H28-G28)/ABS(G28),"N/A")</f>
        <v/>
      </c>
      <c r="N28" s="158" t="n">
        <v>33624.95391370727</v>
      </c>
      <c r="O28" s="158" t="n">
        <v>34367.0810766066</v>
      </c>
      <c r="P28" s="158" t="n">
        <v>40078.87540236719</v>
      </c>
      <c r="Q28" s="184">
        <f>IFERROR((O28-P28),"N/A")</f>
        <v/>
      </c>
      <c r="R28" s="385">
        <f>IFERROR((O28-P28)/ABS(P28),"N/A")</f>
        <v/>
      </c>
      <c r="S28" s="400">
        <f>IFERROR((O28-N28),"N/A")</f>
        <v/>
      </c>
      <c r="T28" s="385">
        <f>IFERROR((O28-N28)/ABS(N28),"N/A")</f>
        <v/>
      </c>
    </row>
    <row r="29">
      <c r="B29" s="480" t="n"/>
      <c r="C29" s="480" t="inlineStr">
        <is>
          <t>Other</t>
        </is>
      </c>
      <c r="D29" s="480" t="inlineStr">
        <is>
          <t>Digər</t>
        </is>
      </c>
      <c r="E29" s="481">
        <f>"thsd</f>
        <v/>
      </c>
      <c r="F29" s="375" t="inlineStr">
        <is>
          <t>+</t>
        </is>
      </c>
      <c r="G29" s="158" t="n"/>
      <c r="H29" s="158" t="n"/>
      <c r="I29" s="158" t="n"/>
      <c r="J29" s="894">
        <f>IFERROR(H29-I29,"N/A")</f>
        <v/>
      </c>
      <c r="K29" s="482">
        <f>IFERROR((H29-I29)/ABS(I29),"N/A")</f>
        <v/>
      </c>
      <c r="L29" s="894">
        <f>IFERROR(H29-G29,"N/A")</f>
        <v/>
      </c>
      <c r="M29" s="482">
        <f>IFERROR((H29-G29)/ABS(G29),"N/A")</f>
        <v/>
      </c>
      <c r="N29" s="158" t="n"/>
      <c r="O29" s="158" t="n"/>
      <c r="P29" s="158" t="n"/>
      <c r="Q29" s="894">
        <f>IFERROR(O29-P29,"N/A")</f>
        <v/>
      </c>
      <c r="R29" s="482">
        <f>IFERROR((O29-P29)/ABS(P29),"N/A")</f>
        <v/>
      </c>
      <c r="S29" s="894">
        <f>IFERROR(O29-N29,"N/A")</f>
        <v/>
      </c>
      <c r="T29" s="482">
        <f>IFERROR((O29-N29)/ABS(N29),"N/A")</f>
        <v/>
      </c>
    </row>
    <row r="30">
      <c r="B30" s="483" t="n"/>
      <c r="C30" s="483" t="inlineStr">
        <is>
          <t>Sales volume</t>
        </is>
      </c>
      <c r="D30" s="483" t="n"/>
      <c r="E30" s="481" t="inlineStr">
        <is>
          <t>mln m3</t>
        </is>
      </c>
      <c r="F30" s="375" t="inlineStr">
        <is>
          <t>+</t>
        </is>
      </c>
      <c r="G30" s="158" t="n"/>
      <c r="H30" s="158" t="n"/>
      <c r="I30" s="158" t="n"/>
      <c r="J30" s="894">
        <f>IFERROR(H30-I30,"N/A")</f>
        <v/>
      </c>
      <c r="K30" s="473">
        <f>IFERROR((H30-I30)/ABS(I30),"N/A")</f>
        <v/>
      </c>
      <c r="L30" s="894">
        <f>IFERROR(H30-G30,"N/A")</f>
        <v/>
      </c>
      <c r="M30" s="473">
        <f>IFERROR((H30-G30)/ABS(G30),"N/A")</f>
        <v/>
      </c>
      <c r="N30" s="158" t="n"/>
      <c r="O30" s="158" t="n"/>
      <c r="P30" s="158" t="n"/>
      <c r="Q30" s="894">
        <f>IFERROR(O30-P30,"N/A")</f>
        <v/>
      </c>
      <c r="R30" s="473">
        <f>IFERROR((O30-P30)/ABS(P30),"N/A")</f>
        <v/>
      </c>
      <c r="S30" s="894">
        <f>IFERROR(O30-N30,"N/A")</f>
        <v/>
      </c>
      <c r="T30" s="473">
        <f>IFERROR((O30-N30)/ABS(N30),"N/A")</f>
        <v/>
      </c>
    </row>
    <row r="31">
      <c r="B31" s="483" t="n"/>
      <c r="C31" s="483" t="inlineStr">
        <is>
          <t>Price</t>
        </is>
      </c>
      <c r="D31" s="483" t="inlineStr">
        <is>
          <t>Qiyməti</t>
        </is>
      </c>
      <c r="E31" s="481">
        <f>$D$10&amp;"</f>
        <v/>
      </c>
      <c r="F31" s="375" t="inlineStr">
        <is>
          <t>+</t>
        </is>
      </c>
      <c r="G31" s="471">
        <f>IF(G30=0,0,IFERROR(G29/G30,"N/A"))</f>
        <v/>
      </c>
      <c r="H31" s="471">
        <f>IF(H30=0,0,IFERROR(H29/H30,"N/A"))</f>
        <v/>
      </c>
      <c r="I31" s="471">
        <f>IF(I30=0,0,IFERROR(I29/I30,"N/A"))</f>
        <v/>
      </c>
      <c r="J31" s="894">
        <f>IFERROR(H31-I31,"N/A")</f>
        <v/>
      </c>
      <c r="K31" s="473">
        <f>IFERROR((H31-I31)/ABS(I31),"N/A")</f>
        <v/>
      </c>
      <c r="L31" s="894">
        <f>IFERROR(H31-G31,"N/A")</f>
        <v/>
      </c>
      <c r="M31" s="473">
        <f>IFERROR((H31-G31)/ABS(G31),"N/A")</f>
        <v/>
      </c>
      <c r="N31" s="471">
        <f>IF(N30=0,0,IFERROR(N29/N30,"N/A"))</f>
        <v/>
      </c>
      <c r="O31" s="471">
        <f>IF(O30=0,0,IFERROR(O29/O30,"N/A"))</f>
        <v/>
      </c>
      <c r="P31" s="471">
        <f>IF(P30=0,0,IFERROR(P29/P30,"N/A"))</f>
        <v/>
      </c>
      <c r="Q31" s="894">
        <f>IFERROR(O31-P31,"N/A")</f>
        <v/>
      </c>
      <c r="R31" s="473">
        <f>IFERROR((O31-P31)/ABS(P31),"N/A")</f>
        <v/>
      </c>
      <c r="S31" s="894">
        <f>IFERROR(O31-N31,"N/A")</f>
        <v/>
      </c>
      <c r="T31" s="473">
        <f>IFERROR((O31-N31)/ABS(N31),"N/A")</f>
        <v/>
      </c>
    </row>
    <row r="32">
      <c r="B32" s="483" t="n"/>
      <c r="C32" s="483" t="inlineStr">
        <is>
          <t>COGs</t>
        </is>
      </c>
      <c r="D32" s="397" t="n"/>
      <c r="E32" s="481">
        <f>$D$10&amp;"</f>
        <v/>
      </c>
      <c r="F32" s="375" t="inlineStr">
        <is>
          <t>+</t>
        </is>
      </c>
      <c r="G32" s="399">
        <f>IF(G30=0,0,IFERROR(G33/G30,"N/A"))</f>
        <v/>
      </c>
      <c r="H32" s="399">
        <f>IF(H30=0,0,IFERROR(H33/H30,"N/A"))</f>
        <v/>
      </c>
      <c r="I32" s="399">
        <f>IF(I30=0,0,IFERROR(I33/I30,"N/A"))</f>
        <v/>
      </c>
      <c r="J32" s="400">
        <f>IFERROR((H32-I32),"N/A")</f>
        <v/>
      </c>
      <c r="K32" s="385">
        <f>IFERROR((H32-I32)/ABS(I32),"N/A")</f>
        <v/>
      </c>
      <c r="L32" s="400">
        <f>IFERROR((H32-G32),"N/A")</f>
        <v/>
      </c>
      <c r="M32" s="385">
        <f>IFERROR((H32-G32)/ABS(G32),"N/A")</f>
        <v/>
      </c>
      <c r="N32" s="399">
        <f>IF(N30=0,0,IFERROR(N33/N30,"N/A"))</f>
        <v/>
      </c>
      <c r="O32" s="399">
        <f>IF(O30=0,0,IFERROR(O33/O30,"N/A"))</f>
        <v/>
      </c>
      <c r="P32" s="399">
        <f>IF(P30=0,0,IFERROR(P33/P30,"N/A"))</f>
        <v/>
      </c>
      <c r="Q32" s="184">
        <f>IFERROR((O32-P32),"N/A")</f>
        <v/>
      </c>
      <c r="R32" s="385">
        <f>IFERROR((O32-P32)/ABS(P32),"N/A")</f>
        <v/>
      </c>
      <c r="S32" s="400">
        <f>IFERROR((O32-N32),"N/A")</f>
        <v/>
      </c>
      <c r="T32" s="385">
        <f>IFERROR((O32-N32)/ABS(N32),"N/A")</f>
        <v/>
      </c>
    </row>
    <row r="33">
      <c r="B33" s="483" t="n"/>
      <c r="C33" s="483" t="inlineStr">
        <is>
          <t>Total COGs</t>
        </is>
      </c>
      <c r="D33" s="397" t="n"/>
      <c r="E33" s="481">
        <f>"thsd</f>
        <v/>
      </c>
      <c r="F33" s="375" t="inlineStr">
        <is>
          <t>+</t>
        </is>
      </c>
      <c r="G33" s="158" t="n"/>
      <c r="H33" s="158" t="n"/>
      <c r="I33" s="158" t="n"/>
      <c r="J33" s="400">
        <f>IFERROR((H33-I33),"N/A")</f>
        <v/>
      </c>
      <c r="K33" s="385">
        <f>IFERROR((H33-I33)/ABS(I33),"N/A")</f>
        <v/>
      </c>
      <c r="L33" s="400">
        <f>IFERROR((H33-G33),"N/A")</f>
        <v/>
      </c>
      <c r="M33" s="385">
        <f>IFERROR((H33-G33)/ABS(G33),"N/A")</f>
        <v/>
      </c>
      <c r="N33" s="158" t="n"/>
      <c r="O33" s="158" t="n"/>
      <c r="P33" s="158" t="n"/>
      <c r="Q33" s="184">
        <f>IFERROR((O33-P33),"N/A")</f>
        <v/>
      </c>
      <c r="R33" s="385">
        <f>IFERROR((O33-P33)/ABS(P33),"N/A")</f>
        <v/>
      </c>
      <c r="S33" s="400">
        <f>IFERROR((O33-N33),"N/A")</f>
        <v/>
      </c>
      <c r="T33" s="385">
        <f>IFERROR((O33-N33)/ABS(N33),"N/A")</f>
        <v/>
      </c>
    </row>
    <row r="34" ht="25.5" customHeight="1">
      <c r="B34" s="478" t="n"/>
      <c r="C34" s="484" t="inlineStr">
        <is>
          <t>Overseas revenue (for Entity location)</t>
        </is>
      </c>
      <c r="D34" s="484" t="n"/>
      <c r="E34" s="485">
        <f>"thsd</f>
        <v/>
      </c>
      <c r="F34" s="375" t="inlineStr">
        <is>
          <t>+</t>
        </is>
      </c>
      <c r="G34" s="486">
        <f>IF(AND(G35="N/A",G40="N/A",G45="N/A"),"N/A",SUM(G35,G40,G45))</f>
        <v/>
      </c>
      <c r="H34" s="486">
        <f>IF(AND(H35="N/A",H40="N/A",H45="N/A"),"N/A",SUM(H35,H40,H45))</f>
        <v/>
      </c>
      <c r="I34" s="486">
        <f>IF(AND(I35="N/A",I40="N/A",I45="N/A"),"N/A",SUM(I35,I40,I45))</f>
        <v/>
      </c>
      <c r="J34" s="894">
        <f>IFERROR(H34-I34,"N/A")</f>
        <v/>
      </c>
      <c r="K34" s="477">
        <f>IFERROR((H34-I34)/ABS(I34),"N/A")</f>
        <v/>
      </c>
      <c r="L34" s="894">
        <f>IFERROR(H34-G34,"N/A")</f>
        <v/>
      </c>
      <c r="M34" s="477">
        <f>IFERROR((H34-G34)/ABS(G34),"N/A")</f>
        <v/>
      </c>
      <c r="N34" s="486">
        <f>IF(AND(N35="N/A",N40="N/A",N45="N/A"),"N/A",SUM(N35,N40,N45))</f>
        <v/>
      </c>
      <c r="O34" s="486">
        <f>IF(AND(O35="N/A",O40="N/A",O45="N/A"),"N/A",SUM(O35,O40,O45))</f>
        <v/>
      </c>
      <c r="P34" s="486">
        <f>IF(AND(P35="N/A",P40="N/A",P45="N/A"),"N/A",SUM(P35,P40,P45))</f>
        <v/>
      </c>
      <c r="Q34" s="894">
        <f>IFERROR(O34-P34,"N/A")</f>
        <v/>
      </c>
      <c r="R34" s="477">
        <f>IFERROR((O34-P34)/ABS(P34),"N/A")</f>
        <v/>
      </c>
      <c r="S34" s="894">
        <f>IFERROR(O34-N34,"N/A")</f>
        <v/>
      </c>
      <c r="T34" s="477">
        <f>IFERROR((O34-N34)/ABS(N34),"N/A")</f>
        <v/>
      </c>
    </row>
    <row r="35">
      <c r="B35" s="480" t="n"/>
      <c r="C35" s="480">
        <f>C19</f>
        <v/>
      </c>
      <c r="D35" s="480">
        <f>D19</f>
        <v/>
      </c>
      <c r="E35" s="481">
        <f>"thsd</f>
        <v/>
      </c>
      <c r="F35" s="375" t="inlineStr">
        <is>
          <t>+</t>
        </is>
      </c>
      <c r="G35" s="158" t="n"/>
      <c r="H35" s="158" t="n"/>
      <c r="I35" s="158" t="n"/>
      <c r="J35" s="894">
        <f>IFERROR(H35-I35,"N/A")</f>
        <v/>
      </c>
      <c r="K35" s="482">
        <f>IFERROR((H35-I35)/ABS(I35),"N/A")</f>
        <v/>
      </c>
      <c r="L35" s="894">
        <f>IFERROR(H35-G35,"N/A")</f>
        <v/>
      </c>
      <c r="M35" s="482">
        <f>IFERROR((H35-G35)/ABS(G35),"N/A")</f>
        <v/>
      </c>
      <c r="N35" s="158" t="n"/>
      <c r="O35" s="158" t="n"/>
      <c r="P35" s="158" t="n"/>
      <c r="Q35" s="894">
        <f>IFERROR(O35-P35,"N/A")</f>
        <v/>
      </c>
      <c r="R35" s="482">
        <f>IFERROR((O35-P35)/ABS(P35),"N/A")</f>
        <v/>
      </c>
      <c r="S35" s="894">
        <f>IFERROR(O35-N35,"N/A")</f>
        <v/>
      </c>
      <c r="T35" s="482">
        <f>IFERROR((O35-N35)/ABS(N35),"N/A")</f>
        <v/>
      </c>
    </row>
    <row r="36">
      <c r="B36" s="483" t="n"/>
      <c r="C36" s="483" t="inlineStr">
        <is>
          <t>Sales volume</t>
        </is>
      </c>
      <c r="D36" s="487" t="n"/>
      <c r="E36" s="481" t="inlineStr">
        <is>
          <t>mln m3</t>
        </is>
      </c>
      <c r="F36" s="375" t="inlineStr">
        <is>
          <t>+</t>
        </is>
      </c>
      <c r="G36" s="158" t="n"/>
      <c r="H36" s="158" t="n"/>
      <c r="I36" s="158" t="n"/>
      <c r="J36" s="894">
        <f>IFERROR(H36-I36,"N/A")</f>
        <v/>
      </c>
      <c r="K36" s="473">
        <f>IFERROR((H36-I36)/ABS(I36),"N/A")</f>
        <v/>
      </c>
      <c r="L36" s="894">
        <f>IFERROR(H36-G36,"N/A")</f>
        <v/>
      </c>
      <c r="M36" s="473">
        <f>IFERROR((H36-G36)/ABS(G36),"N/A")</f>
        <v/>
      </c>
      <c r="N36" s="158" t="n"/>
      <c r="O36" s="158" t="n"/>
      <c r="P36" s="158" t="n"/>
      <c r="Q36" s="894">
        <f>IFERROR(O36-P36,"N/A")</f>
        <v/>
      </c>
      <c r="R36" s="473">
        <f>IFERROR((O36-P36)/ABS(P36),"N/A")</f>
        <v/>
      </c>
      <c r="S36" s="894">
        <f>IFERROR(O36-N36,"N/A")</f>
        <v/>
      </c>
      <c r="T36" s="473">
        <f>IFERROR((O36-N36)/ABS(N36),"N/A")</f>
        <v/>
      </c>
    </row>
    <row r="37">
      <c r="B37" s="483" t="n"/>
      <c r="C37" s="483" t="inlineStr">
        <is>
          <t>Price</t>
        </is>
      </c>
      <c r="D37" s="487" t="inlineStr">
        <is>
          <t>Qiyməti</t>
        </is>
      </c>
      <c r="E37" s="481">
        <f>$D$10&amp;"</f>
        <v/>
      </c>
      <c r="F37" s="375" t="inlineStr">
        <is>
          <t>+</t>
        </is>
      </c>
      <c r="G37" s="471">
        <f>IF(G36=0,0,IFERROR(G35/G36,"N/A"))</f>
        <v/>
      </c>
      <c r="H37" s="471">
        <f>IF(H36=0,0,IFERROR(H35/H36,"N/A"))</f>
        <v/>
      </c>
      <c r="I37" s="471">
        <f>IF(I36=0,0,IFERROR(I35/I36,"N/A"))</f>
        <v/>
      </c>
      <c r="J37" s="894">
        <f>IFERROR(H37-I37,"N/A")</f>
        <v/>
      </c>
      <c r="K37" s="473">
        <f>IFERROR((H37-I37)/ABS(I37),"N/A")</f>
        <v/>
      </c>
      <c r="L37" s="894">
        <f>IFERROR(H37-G37,"N/A")</f>
        <v/>
      </c>
      <c r="M37" s="473">
        <f>IFERROR((H37-G37)/ABS(G37),"N/A")</f>
        <v/>
      </c>
      <c r="N37" s="471">
        <f>IF(N36=0,0,IFERROR(N35/N36,"N/A"))</f>
        <v/>
      </c>
      <c r="O37" s="471">
        <f>IF(O36=0,0,IFERROR(O35/O36,"N/A"))</f>
        <v/>
      </c>
      <c r="P37" s="471">
        <f>IF(P36=0,0,IFERROR(P35/P36,"N/A"))</f>
        <v/>
      </c>
      <c r="Q37" s="894">
        <f>IFERROR(O37-P37,"N/A")</f>
        <v/>
      </c>
      <c r="R37" s="473">
        <f>IFERROR((O37-P37)/ABS(P37),"N/A")</f>
        <v/>
      </c>
      <c r="S37" s="894">
        <f>IFERROR(O37-N37,"N/A")</f>
        <v/>
      </c>
      <c r="T37" s="473">
        <f>IFERROR((O37-N37)/ABS(N37),"N/A")</f>
        <v/>
      </c>
    </row>
    <row r="38">
      <c r="B38" s="483" t="n"/>
      <c r="C38" s="483" t="inlineStr">
        <is>
          <t>COGs</t>
        </is>
      </c>
      <c r="D38" s="397" t="n"/>
      <c r="E38" s="481">
        <f>$D$10&amp;"</f>
        <v/>
      </c>
      <c r="F38" s="375" t="inlineStr">
        <is>
          <t>+</t>
        </is>
      </c>
      <c r="G38" s="399">
        <f>IF(G36=0,0,IFERROR(G39/G36,"N/A"))</f>
        <v/>
      </c>
      <c r="H38" s="399">
        <f>IF(H36=0,0,IFERROR(H39/H36,"N/A"))</f>
        <v/>
      </c>
      <c r="I38" s="399">
        <f>IF(I36=0,0,IFERROR(I39/I36,"N/A"))</f>
        <v/>
      </c>
      <c r="J38" s="400">
        <f>IFERROR((H38-I38),"N/A")</f>
        <v/>
      </c>
      <c r="K38" s="385">
        <f>IFERROR((H38-I38)/ABS(I38),"N/A")</f>
        <v/>
      </c>
      <c r="L38" s="400">
        <f>IFERROR((H38-G38),"N/A")</f>
        <v/>
      </c>
      <c r="M38" s="385">
        <f>IFERROR((H38-G38)/ABS(G38),"N/A")</f>
        <v/>
      </c>
      <c r="N38" s="399">
        <f>IF(N36=0,0,IFERROR(N39/N36,"N/A"))</f>
        <v/>
      </c>
      <c r="O38" s="399">
        <f>IF(O36=0,0,IFERROR(O39/O36,"N/A"))</f>
        <v/>
      </c>
      <c r="P38" s="399">
        <f>IF(P36=0,0,IFERROR(P39/P36,"N/A"))</f>
        <v/>
      </c>
      <c r="Q38" s="184">
        <f>IFERROR((O38-P38),"N/A")</f>
        <v/>
      </c>
      <c r="R38" s="385">
        <f>IFERROR((O38-P38)/ABS(P38),"N/A")</f>
        <v/>
      </c>
      <c r="S38" s="400">
        <f>IFERROR((O38-N38),"N/A")</f>
        <v/>
      </c>
      <c r="T38" s="385">
        <f>IFERROR((O38-N38)/ABS(N38),"N/A")</f>
        <v/>
      </c>
    </row>
    <row r="39">
      <c r="B39" s="483" t="n"/>
      <c r="C39" s="483" t="inlineStr">
        <is>
          <t>Total COGs</t>
        </is>
      </c>
      <c r="D39" s="397" t="n"/>
      <c r="E39" s="481">
        <f>"thsd</f>
        <v/>
      </c>
      <c r="F39" s="375" t="inlineStr">
        <is>
          <t>+</t>
        </is>
      </c>
      <c r="G39" s="158" t="n"/>
      <c r="H39" s="158" t="n"/>
      <c r="I39" s="158" t="n"/>
      <c r="J39" s="400">
        <f>IFERROR((H39-I39),"N/A")</f>
        <v/>
      </c>
      <c r="K39" s="385">
        <f>IFERROR((H39-I39)/ABS(I39),"N/A")</f>
        <v/>
      </c>
      <c r="L39" s="400">
        <f>IFERROR((H39-G39),"N/A")</f>
        <v/>
      </c>
      <c r="M39" s="385">
        <f>IFERROR((H39-G39)/ABS(G39),"N/A")</f>
        <v/>
      </c>
      <c r="N39" s="158" t="n"/>
      <c r="O39" s="158" t="n"/>
      <c r="P39" s="158" t="n"/>
      <c r="Q39" s="184">
        <f>IFERROR((O39-P39),"N/A")</f>
        <v/>
      </c>
      <c r="R39" s="385">
        <f>IFERROR((O39-P39)/ABS(P39),"N/A")</f>
        <v/>
      </c>
      <c r="S39" s="400">
        <f>IFERROR((O39-N39),"N/A")</f>
        <v/>
      </c>
      <c r="T39" s="385">
        <f>IFERROR((O39-N39)/ABS(N39),"N/A")</f>
        <v/>
      </c>
    </row>
    <row r="40">
      <c r="B40" s="480" t="n"/>
      <c r="C40" s="480">
        <f>C24</f>
        <v/>
      </c>
      <c r="D40" s="480">
        <f>D24</f>
        <v/>
      </c>
      <c r="E40" s="481">
        <f>"thsd</f>
        <v/>
      </c>
      <c r="F40" s="375" t="inlineStr">
        <is>
          <t>+</t>
        </is>
      </c>
      <c r="G40" s="158" t="n"/>
      <c r="H40" s="158" t="n"/>
      <c r="I40" s="158" t="n"/>
      <c r="J40" s="894">
        <f>IFERROR(H40-I40,"N/A")</f>
        <v/>
      </c>
      <c r="K40" s="482">
        <f>IFERROR((H40-I40)/ABS(I40),"N/A")</f>
        <v/>
      </c>
      <c r="L40" s="894">
        <f>IFERROR(H40-G40,"N/A")</f>
        <v/>
      </c>
      <c r="M40" s="482">
        <f>IFERROR((H40-G40)/ABS(G40),"N/A")</f>
        <v/>
      </c>
      <c r="N40" s="158" t="n"/>
      <c r="O40" s="158" t="n"/>
      <c r="P40" s="158" t="n"/>
      <c r="Q40" s="894">
        <f>IFERROR(O40-P40,"N/A")</f>
        <v/>
      </c>
      <c r="R40" s="482">
        <f>IFERROR((O40-P40)/ABS(P40),"N/A")</f>
        <v/>
      </c>
      <c r="S40" s="894">
        <f>IFERROR(O40-N40,"N/A")</f>
        <v/>
      </c>
      <c r="T40" s="482">
        <f>IFERROR((O40-N40)/ABS(N40),"N/A")</f>
        <v/>
      </c>
    </row>
    <row r="41">
      <c r="B41" s="483" t="n"/>
      <c r="C41" s="483" t="inlineStr">
        <is>
          <t>Sales volume</t>
        </is>
      </c>
      <c r="D41" s="487" t="n"/>
      <c r="E41" s="481" t="inlineStr">
        <is>
          <t>mln m3</t>
        </is>
      </c>
      <c r="F41" s="375" t="inlineStr">
        <is>
          <t>+</t>
        </is>
      </c>
      <c r="G41" s="158" t="n"/>
      <c r="H41" s="158" t="n"/>
      <c r="I41" s="158" t="n"/>
      <c r="J41" s="894">
        <f>IFERROR(H41-I41,"N/A")</f>
        <v/>
      </c>
      <c r="K41" s="473">
        <f>IFERROR((H41-I41)/ABS(I41),"N/A")</f>
        <v/>
      </c>
      <c r="L41" s="894">
        <f>IFERROR(H41-G41,"N/A")</f>
        <v/>
      </c>
      <c r="M41" s="473">
        <f>IFERROR((H41-G41)/ABS(G41),"N/A")</f>
        <v/>
      </c>
      <c r="N41" s="158" t="n"/>
      <c r="O41" s="158" t="n"/>
      <c r="P41" s="158" t="n"/>
      <c r="Q41" s="894">
        <f>IFERROR(O41-P41,"N/A")</f>
        <v/>
      </c>
      <c r="R41" s="473">
        <f>IFERROR((O41-P41)/ABS(P41),"N/A")</f>
        <v/>
      </c>
      <c r="S41" s="894">
        <f>IFERROR(O41-N41,"N/A")</f>
        <v/>
      </c>
      <c r="T41" s="473">
        <f>IFERROR((O41-N41)/ABS(N41),"N/A")</f>
        <v/>
      </c>
    </row>
    <row r="42">
      <c r="B42" s="483" t="n"/>
      <c r="C42" s="483" t="inlineStr">
        <is>
          <t>Price</t>
        </is>
      </c>
      <c r="D42" s="487" t="inlineStr">
        <is>
          <t>Qiyməti</t>
        </is>
      </c>
      <c r="E42" s="481">
        <f>$D$10&amp;"</f>
        <v/>
      </c>
      <c r="F42" s="375" t="inlineStr">
        <is>
          <t>+</t>
        </is>
      </c>
      <c r="G42" s="471">
        <f>IF(G41=0,0,IFERROR(G40/G41,"N/A"))</f>
        <v/>
      </c>
      <c r="H42" s="471">
        <f>IF(H41=0,0,IFERROR(H40/H41,"N/A"))</f>
        <v/>
      </c>
      <c r="I42" s="471">
        <f>IF(I41=0,0,IFERROR(I40/I41,"N/A"))</f>
        <v/>
      </c>
      <c r="J42" s="894">
        <f>IFERROR(H42-I42,"N/A")</f>
        <v/>
      </c>
      <c r="K42" s="473">
        <f>IFERROR((H42-I42)/ABS(I42),"N/A")</f>
        <v/>
      </c>
      <c r="L42" s="894">
        <f>IFERROR(H42-G42,"N/A")</f>
        <v/>
      </c>
      <c r="M42" s="473">
        <f>IFERROR((H42-G42)/ABS(G42),"N/A")</f>
        <v/>
      </c>
      <c r="N42" s="471">
        <f>IF(N41=0,0,IFERROR(N40/N41,"N/A"))</f>
        <v/>
      </c>
      <c r="O42" s="471">
        <f>IF(O41=0,0,IFERROR(O40/O41,"N/A"))</f>
        <v/>
      </c>
      <c r="P42" s="471">
        <f>IF(P41=0,0,IFERROR(P40/P41,"N/A"))</f>
        <v/>
      </c>
      <c r="Q42" s="894">
        <f>IFERROR(O42-P42,"N/A")</f>
        <v/>
      </c>
      <c r="R42" s="473">
        <f>IFERROR((O42-P42)/ABS(P42),"N/A")</f>
        <v/>
      </c>
      <c r="S42" s="894">
        <f>IFERROR(O42-N42,"N/A")</f>
        <v/>
      </c>
      <c r="T42" s="473">
        <f>IFERROR((O42-N42)/ABS(N42),"N/A")</f>
        <v/>
      </c>
    </row>
    <row r="43">
      <c r="B43" s="483" t="n"/>
      <c r="C43" s="483" t="inlineStr">
        <is>
          <t>COGs</t>
        </is>
      </c>
      <c r="D43" s="397" t="n"/>
      <c r="E43" s="481">
        <f>$D$10&amp;"</f>
        <v/>
      </c>
      <c r="F43" s="375" t="inlineStr">
        <is>
          <t>+</t>
        </is>
      </c>
      <c r="G43" s="399">
        <f>IF(G41=0,0,IFERROR(G44/G41,"N/A"))</f>
        <v/>
      </c>
      <c r="H43" s="399">
        <f>IF(H41=0,0,IFERROR(H44/H41,"N/A"))</f>
        <v/>
      </c>
      <c r="I43" s="399">
        <f>IF(I41=0,0,IFERROR(I44/I41,"N/A"))</f>
        <v/>
      </c>
      <c r="J43" s="400">
        <f>IFERROR((H43-I43),"N/A")</f>
        <v/>
      </c>
      <c r="K43" s="385">
        <f>IFERROR((H43-I43)/ABS(I43),"N/A")</f>
        <v/>
      </c>
      <c r="L43" s="400">
        <f>IFERROR((H43-G43),"N/A")</f>
        <v/>
      </c>
      <c r="M43" s="385">
        <f>IFERROR((H43-G43)/ABS(G43),"N/A")</f>
        <v/>
      </c>
      <c r="N43" s="399">
        <f>IF(N41=0,0,IFERROR(N44/N41,"N/A"))</f>
        <v/>
      </c>
      <c r="O43" s="399">
        <f>IF(O41=0,0,IFERROR(O44/O41,"N/A"))</f>
        <v/>
      </c>
      <c r="P43" s="399">
        <f>IF(P41=0,0,IFERROR(P44/P41,"N/A"))</f>
        <v/>
      </c>
      <c r="Q43" s="184">
        <f>IFERROR((O43-P43),"N/A")</f>
        <v/>
      </c>
      <c r="R43" s="385">
        <f>IFERROR((O43-P43)/ABS(P43),"N/A")</f>
        <v/>
      </c>
      <c r="S43" s="400">
        <f>IFERROR((O43-N43),"N/A")</f>
        <v/>
      </c>
      <c r="T43" s="385">
        <f>IFERROR((O43-N43)/ABS(N43),"N/A")</f>
        <v/>
      </c>
    </row>
    <row r="44">
      <c r="B44" s="483" t="n"/>
      <c r="C44" s="483" t="inlineStr">
        <is>
          <t>Total COGs</t>
        </is>
      </c>
      <c r="D44" s="397" t="n"/>
      <c r="E44" s="481">
        <f>"thsd</f>
        <v/>
      </c>
      <c r="F44" s="375" t="inlineStr">
        <is>
          <t>+</t>
        </is>
      </c>
      <c r="G44" s="158" t="n"/>
      <c r="H44" s="158" t="n"/>
      <c r="I44" s="158" t="n"/>
      <c r="J44" s="400">
        <f>IFERROR((H44-I44),"N/A")</f>
        <v/>
      </c>
      <c r="K44" s="385">
        <f>IFERROR((H44-I44)/ABS(I44),"N/A")</f>
        <v/>
      </c>
      <c r="L44" s="400">
        <f>IFERROR((H44-G44),"N/A")</f>
        <v/>
      </c>
      <c r="M44" s="385">
        <f>IFERROR((H44-G44)/ABS(G44),"N/A")</f>
        <v/>
      </c>
      <c r="N44" s="158" t="n"/>
      <c r="O44" s="158" t="n"/>
      <c r="P44" s="158" t="n"/>
      <c r="Q44" s="184">
        <f>IFERROR((O44-P44),"N/A")</f>
        <v/>
      </c>
      <c r="R44" s="385">
        <f>IFERROR((O44-P44)/ABS(P44),"N/A")</f>
        <v/>
      </c>
      <c r="S44" s="400">
        <f>IFERROR((O44-N44),"N/A")</f>
        <v/>
      </c>
      <c r="T44" s="385">
        <f>IFERROR((O44-N44)/ABS(N44),"N/A")</f>
        <v/>
      </c>
    </row>
    <row r="45">
      <c r="B45" s="480" t="n"/>
      <c r="C45" s="480">
        <f>C29</f>
        <v/>
      </c>
      <c r="D45" s="480" t="inlineStr">
        <is>
          <t>Digər</t>
        </is>
      </c>
      <c r="E45" s="481">
        <f>"thsd</f>
        <v/>
      </c>
      <c r="F45" s="375" t="inlineStr">
        <is>
          <t>+</t>
        </is>
      </c>
      <c r="G45" s="158" t="n"/>
      <c r="H45" s="158" t="n"/>
      <c r="I45" s="158" t="n"/>
      <c r="J45" s="894">
        <f>IFERROR(H45-I45,"N/A")</f>
        <v/>
      </c>
      <c r="K45" s="482">
        <f>IFERROR((H45-I45)/ABS(I45),"N/A")</f>
        <v/>
      </c>
      <c r="L45" s="894">
        <f>IFERROR(H45-G45,"N/A")</f>
        <v/>
      </c>
      <c r="M45" s="482">
        <f>IFERROR((H45-G45)/ABS(G45),"N/A")</f>
        <v/>
      </c>
      <c r="N45" s="158" t="n"/>
      <c r="O45" s="158" t="n"/>
      <c r="P45" s="158" t="n"/>
      <c r="Q45" s="894">
        <f>IFERROR(O45-P45,"N/A")</f>
        <v/>
      </c>
      <c r="R45" s="482">
        <f>IFERROR((O45-P45)/ABS(P45),"N/A")</f>
        <v/>
      </c>
      <c r="S45" s="894">
        <f>IFERROR(O45-N45,"N/A")</f>
        <v/>
      </c>
      <c r="T45" s="482">
        <f>IFERROR((O45-N45)/ABS(N45),"N/A")</f>
        <v/>
      </c>
    </row>
    <row r="46">
      <c r="B46" s="483" t="n"/>
      <c r="C46" s="483" t="inlineStr">
        <is>
          <t>Sales volume</t>
        </is>
      </c>
      <c r="D46" s="487" t="n"/>
      <c r="E46" s="481" t="inlineStr">
        <is>
          <t>mln m3</t>
        </is>
      </c>
      <c r="F46" s="375" t="inlineStr">
        <is>
          <t>+</t>
        </is>
      </c>
      <c r="G46" s="158" t="n"/>
      <c r="H46" s="158" t="n"/>
      <c r="I46" s="158" t="n"/>
      <c r="J46" s="894">
        <f>IFERROR(H46-I46,"N/A")</f>
        <v/>
      </c>
      <c r="K46" s="473">
        <f>IFERROR((H46-I46)/ABS(I46),"N/A")</f>
        <v/>
      </c>
      <c r="L46" s="894">
        <f>IFERROR(H46-G46,"N/A")</f>
        <v/>
      </c>
      <c r="M46" s="473">
        <f>IFERROR((H46-G46)/ABS(G46),"N/A")</f>
        <v/>
      </c>
      <c r="N46" s="158" t="n"/>
      <c r="O46" s="158" t="n"/>
      <c r="P46" s="158" t="n"/>
      <c r="Q46" s="894">
        <f>IFERROR(O46-P46,"N/A")</f>
        <v/>
      </c>
      <c r="R46" s="473">
        <f>IFERROR((O46-P46)/ABS(P46),"N/A")</f>
        <v/>
      </c>
      <c r="S46" s="894">
        <f>IFERROR(O46-N46,"N/A")</f>
        <v/>
      </c>
      <c r="T46" s="473">
        <f>IFERROR((O46-N46)/ABS(N46),"N/A")</f>
        <v/>
      </c>
    </row>
    <row r="47">
      <c r="B47" s="483" t="n"/>
      <c r="C47" s="483" t="inlineStr">
        <is>
          <t>Price</t>
        </is>
      </c>
      <c r="D47" s="487" t="inlineStr">
        <is>
          <t>Qiyməti</t>
        </is>
      </c>
      <c r="E47" s="481">
        <f>$D$10&amp;"</f>
        <v/>
      </c>
      <c r="F47" s="375" t="inlineStr">
        <is>
          <t>+</t>
        </is>
      </c>
      <c r="G47" s="471">
        <f>IF(G46=0,0,IFERROR(G45/G46,"N/A"))</f>
        <v/>
      </c>
      <c r="H47" s="471">
        <f>IF(H46=0,0,IFERROR(H45/H46,"N/A"))</f>
        <v/>
      </c>
      <c r="I47" s="471">
        <f>IF(I46=0,0,IFERROR(I45/I46,"N/A"))</f>
        <v/>
      </c>
      <c r="J47" s="894">
        <f>IFERROR(H47-I47,"N/A")</f>
        <v/>
      </c>
      <c r="K47" s="473">
        <f>IFERROR((H47-I47)/ABS(I47),"N/A")</f>
        <v/>
      </c>
      <c r="L47" s="894">
        <f>IFERROR(H47-G47,"N/A")</f>
        <v/>
      </c>
      <c r="M47" s="473">
        <f>IFERROR((H47-G47)/ABS(G47),"N/A")</f>
        <v/>
      </c>
      <c r="N47" s="471">
        <f>IF(N46=0,0,IFERROR(N45/N46,"N/A"))</f>
        <v/>
      </c>
      <c r="O47" s="471">
        <f>IF(O46=0,0,IFERROR(O45/O46,"N/A"))</f>
        <v/>
      </c>
      <c r="P47" s="471">
        <f>IF(P46=0,0,IFERROR(P45/P46,"N/A"))</f>
        <v/>
      </c>
      <c r="Q47" s="894">
        <f>IFERROR(O47-P47,"N/A")</f>
        <v/>
      </c>
      <c r="R47" s="473">
        <f>IFERROR((O47-P47)/ABS(P47),"N/A")</f>
        <v/>
      </c>
      <c r="S47" s="894">
        <f>IFERROR(O47-N47,"N/A")</f>
        <v/>
      </c>
      <c r="T47" s="473">
        <f>IFERROR((O47-N47)/ABS(N47),"N/A")</f>
        <v/>
      </c>
    </row>
    <row r="48">
      <c r="B48" s="483" t="n"/>
      <c r="C48" s="483" t="inlineStr">
        <is>
          <t>COGs</t>
        </is>
      </c>
      <c r="D48" s="397" t="n"/>
      <c r="E48" s="481">
        <f>$D$10&amp;"</f>
        <v/>
      </c>
      <c r="F48" s="375" t="inlineStr">
        <is>
          <t>+</t>
        </is>
      </c>
      <c r="G48" s="399">
        <f>IF(G46=0,0,IFERROR(G49/G46,"N/A"))</f>
        <v/>
      </c>
      <c r="H48" s="399">
        <f>IF(H46=0,0,IFERROR(H49/H46,"N/A"))</f>
        <v/>
      </c>
      <c r="I48" s="399">
        <f>IF(I46=0,0,IFERROR(I49/I46,"N/A"))</f>
        <v/>
      </c>
      <c r="J48" s="400">
        <f>IFERROR((H48-I48),"N/A")</f>
        <v/>
      </c>
      <c r="K48" s="385">
        <f>IFERROR((H48-I48)/ABS(I48),"N/A")</f>
        <v/>
      </c>
      <c r="L48" s="400">
        <f>IFERROR((H48-G48),"N/A")</f>
        <v/>
      </c>
      <c r="M48" s="385">
        <f>IFERROR((H48-G48)/ABS(G48),"N/A")</f>
        <v/>
      </c>
      <c r="N48" s="399">
        <f>IF(N46=0,0,IFERROR(N49/N46,"N/A"))</f>
        <v/>
      </c>
      <c r="O48" s="399">
        <f>IF(O46=0,0,IFERROR(O49/O46,"N/A"))</f>
        <v/>
      </c>
      <c r="P48" s="399">
        <f>IF(P46=0,0,IFERROR(P49/P46,"N/A"))</f>
        <v/>
      </c>
      <c r="Q48" s="184">
        <f>IFERROR((O48-P48),"N/A")</f>
        <v/>
      </c>
      <c r="R48" s="385">
        <f>IFERROR((O48-P48)/ABS(P48),"N/A")</f>
        <v/>
      </c>
      <c r="S48" s="400">
        <f>IFERROR((O48-N48),"N/A")</f>
        <v/>
      </c>
      <c r="T48" s="385">
        <f>IFERROR((O48-N48)/ABS(N48),"N/A")</f>
        <v/>
      </c>
    </row>
    <row r="49">
      <c r="B49" s="483" t="n"/>
      <c r="C49" s="483" t="inlineStr">
        <is>
          <t>Total COGs</t>
        </is>
      </c>
      <c r="D49" s="397" t="n"/>
      <c r="E49" s="481">
        <f>"thsd</f>
        <v/>
      </c>
      <c r="F49" s="375" t="inlineStr">
        <is>
          <t>+</t>
        </is>
      </c>
      <c r="G49" s="158" t="n"/>
      <c r="H49" s="158" t="n"/>
      <c r="I49" s="158" t="n"/>
      <c r="J49" s="400">
        <f>IFERROR((H49-I49),"N/A")</f>
        <v/>
      </c>
      <c r="K49" s="385">
        <f>IFERROR((H49-I49)/ABS(I49),"N/A")</f>
        <v/>
      </c>
      <c r="L49" s="400">
        <f>IFERROR((H49-G49),"N/A")</f>
        <v/>
      </c>
      <c r="M49" s="385">
        <f>IFERROR((H49-G49)/ABS(G49),"N/A")</f>
        <v/>
      </c>
      <c r="N49" s="158" t="n"/>
      <c r="O49" s="158" t="n"/>
      <c r="P49" s="158" t="n"/>
      <c r="Q49" s="184">
        <f>IFERROR((O49-P49),"N/A")</f>
        <v/>
      </c>
      <c r="R49" s="385">
        <f>IFERROR((O49-P49)/ABS(P49),"N/A")</f>
        <v/>
      </c>
      <c r="S49" s="400">
        <f>IFERROR((O49-N49),"N/A")</f>
        <v/>
      </c>
      <c r="T49" s="385">
        <f>IFERROR((O49-N49)/ABS(N49),"N/A")</f>
        <v/>
      </c>
    </row>
    <row r="50">
      <c r="F50" s="354" t="n"/>
      <c r="J50" s="895" t="n"/>
      <c r="K50" s="489" t="n"/>
      <c r="L50" s="896" t="n"/>
      <c r="M50" s="492" t="n"/>
    </row>
    <row r="51">
      <c r="F51" s="354" t="n"/>
      <c r="K51" s="489" t="n"/>
      <c r="M51" s="492" t="n"/>
    </row>
    <row r="52">
      <c r="F52" s="354" t="n"/>
      <c r="K52" s="489" t="n"/>
      <c r="M52" s="492" t="n"/>
    </row>
    <row r="53">
      <c r="F53" s="354" t="n"/>
      <c r="K53" s="489" t="n"/>
      <c r="M53" s="492" t="n"/>
    </row>
    <row r="54">
      <c r="F54" s="354" t="n"/>
      <c r="K54" s="489" t="n"/>
      <c r="M54" s="492" t="n"/>
    </row>
    <row r="55">
      <c r="F55" s="354" t="n"/>
      <c r="K55" s="489" t="n"/>
      <c r="M55" s="492" t="n"/>
    </row>
    <row r="56">
      <c r="F56" s="354" t="n"/>
      <c r="K56" s="489" t="n"/>
      <c r="M56" s="492" t="n"/>
    </row>
    <row r="57">
      <c r="F57" s="354" t="n"/>
      <c r="K57" s="489" t="n"/>
      <c r="M57" s="492" t="n"/>
    </row>
    <row r="58">
      <c r="F58" s="354" t="n"/>
      <c r="K58" s="489" t="n"/>
      <c r="M58" s="492" t="n"/>
    </row>
    <row r="59">
      <c r="F59" s="354" t="n"/>
      <c r="K59" s="489" t="n"/>
      <c r="M59" s="492" t="n"/>
    </row>
    <row r="60">
      <c r="F60" s="354" t="n"/>
      <c r="K60" s="489" t="n"/>
      <c r="M60" s="492" t="n"/>
    </row>
    <row r="61">
      <c r="F61" s="354" t="n"/>
      <c r="K61" s="489" t="n"/>
      <c r="M61" s="492" t="n"/>
    </row>
    <row r="62">
      <c r="F62" s="354" t="n"/>
      <c r="K62" s="489" t="n"/>
      <c r="M62" s="492" t="n"/>
    </row>
    <row r="63">
      <c r="F63" s="354" t="n"/>
      <c r="K63" s="489" t="n"/>
      <c r="M63" s="492" t="n"/>
    </row>
    <row r="64">
      <c r="F64" s="354" t="n"/>
      <c r="K64" s="489" t="n"/>
      <c r="M64" s="492" t="n"/>
    </row>
    <row r="65">
      <c r="F65" s="354" t="n"/>
      <c r="K65" s="489" t="n"/>
      <c r="M65" s="492" t="n"/>
    </row>
    <row r="66">
      <c r="F66" s="354" t="n"/>
      <c r="K66" s="489" t="n"/>
      <c r="M66" s="492" t="n"/>
    </row>
    <row r="67">
      <c r="F67" s="354" t="n"/>
      <c r="K67" s="489" t="n"/>
      <c r="M67" s="492" t="n"/>
    </row>
    <row r="68">
      <c r="F68" s="354" t="n"/>
      <c r="K68" s="489" t="n"/>
      <c r="M68" s="492" t="n"/>
    </row>
    <row r="69">
      <c r="F69" s="354" t="n"/>
      <c r="K69" s="489" t="n"/>
      <c r="M69" s="492" t="n"/>
    </row>
    <row r="70">
      <c r="F70" s="354" t="n"/>
      <c r="K70" s="489" t="n"/>
      <c r="M70" s="492" t="n"/>
    </row>
    <row r="71">
      <c r="F71" s="354" t="n"/>
      <c r="K71" s="489" t="n"/>
      <c r="M71" s="492" t="n"/>
    </row>
    <row r="72">
      <c r="F72" s="354" t="n"/>
      <c r="K72" s="489" t="n"/>
      <c r="M72" s="492" t="n"/>
    </row>
    <row r="73">
      <c r="F73" s="354" t="n"/>
      <c r="K73" s="489" t="n"/>
      <c r="M73" s="492" t="n"/>
    </row>
    <row r="74">
      <c r="F74" s="354" t="n"/>
      <c r="K74" s="489" t="n"/>
      <c r="M74" s="492" t="n"/>
    </row>
    <row r="75">
      <c r="F75" s="354" t="n"/>
      <c r="K75" s="489" t="n"/>
      <c r="M75" s="492" t="n"/>
    </row>
    <row r="76">
      <c r="F76" s="354" t="n"/>
      <c r="K76" s="489" t="n"/>
      <c r="M76" s="492" t="n"/>
    </row>
    <row r="77">
      <c r="F77" s="354" t="n"/>
      <c r="K77" s="489" t="n"/>
      <c r="M77" s="492" t="n"/>
    </row>
    <row r="78">
      <c r="F78" s="354" t="n"/>
      <c r="K78" s="489" t="n"/>
      <c r="M78" s="492" t="n"/>
    </row>
    <row r="79">
      <c r="F79" s="354" t="n"/>
      <c r="K79" s="489" t="n"/>
      <c r="M79" s="492" t="n"/>
    </row>
    <row r="80">
      <c r="F80" s="354" t="n"/>
      <c r="K80" s="489" t="n"/>
      <c r="M80" s="492" t="n"/>
    </row>
    <row r="81">
      <c r="F81" s="354" t="n"/>
      <c r="K81" s="489" t="n"/>
      <c r="M81" s="492" t="n"/>
    </row>
    <row r="82">
      <c r="F82" s="354" t="n"/>
      <c r="K82" s="489" t="n"/>
      <c r="M82" s="492" t="n"/>
    </row>
    <row r="83">
      <c r="K83" s="489" t="n"/>
      <c r="M83" s="492" t="n"/>
    </row>
    <row r="84">
      <c r="K84" s="489" t="n"/>
      <c r="M84" s="492" t="n"/>
    </row>
  </sheetData>
  <mergeCells count="21">
    <mergeCell ref="N13:T13"/>
    <mergeCell ref="D10:E10"/>
    <mergeCell ref="B11:B12"/>
    <mergeCell ref="D11:D12"/>
    <mergeCell ref="H11:H12"/>
    <mergeCell ref="P11:P12"/>
    <mergeCell ref="S11:T11"/>
    <mergeCell ref="C11:C12"/>
    <mergeCell ref="E11:E12"/>
    <mergeCell ref="J11:K11"/>
    <mergeCell ref="O11:O12"/>
    <mergeCell ref="D9:E9"/>
    <mergeCell ref="F11:F12"/>
    <mergeCell ref="G10:M10"/>
    <mergeCell ref="N11:N12"/>
    <mergeCell ref="G13:M13"/>
    <mergeCell ref="Q11:R11"/>
    <mergeCell ref="L11:M11"/>
    <mergeCell ref="G11:G12"/>
    <mergeCell ref="I11:I12"/>
    <mergeCell ref="N10:T10"/>
  </mergeCells>
  <dataValidations count="1">
    <dataValidation sqref="E5:F5" showDropDown="0" showInputMessage="1" showErrorMessage="1" allowBlank="1" type="list">
      <formula1>"Manat, USD"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C257"/>
  <sheetViews>
    <sheetView topLeftCell="B1" workbookViewId="0">
      <selection activeCell="A1" sqref="A1:XFD1048576"/>
    </sheetView>
  </sheetViews>
  <sheetFormatPr baseColWidth="8" defaultColWidth="47.5703125" defaultRowHeight="12.75" outlineLevelRow="1"/>
  <cols>
    <col hidden="1" width="11.42578125" customWidth="1" style="30" min="1" max="1"/>
    <col width="23.5703125" customWidth="1" style="30" min="2" max="2"/>
    <col width="53.42578125" customWidth="1" style="30" min="3" max="3"/>
    <col width="52" customWidth="1" style="30" min="4" max="4"/>
    <col width="19.5703125" customWidth="1" style="30" min="5" max="5"/>
    <col width="10.42578125" customWidth="1" style="30" min="6" max="6"/>
    <col width="22" customWidth="1" style="30" min="7" max="7"/>
    <col width="15.5703125" customWidth="1" style="30" min="8" max="8"/>
    <col width="14.5703125" customWidth="1" style="30" min="9" max="9"/>
    <col width="26.5703125" customWidth="1" style="503" min="10" max="10"/>
    <col width="22.42578125" customWidth="1" style="30" min="11" max="11"/>
    <col width="25.5703125" customWidth="1" style="555" min="12" max="12"/>
    <col width="23.5703125" customWidth="1" style="555" min="13" max="14"/>
    <col width="22.42578125" customWidth="1" style="555" min="15" max="15"/>
    <col width="20.42578125" customWidth="1" style="555" min="16" max="16"/>
    <col width="30" customWidth="1" style="555" min="17" max="17"/>
    <col width="30.42578125" customWidth="1" style="553" min="18" max="19"/>
    <col width="21.5703125" customWidth="1" style="30" min="20" max="21"/>
    <col width="29.42578125" customWidth="1" style="30" min="22" max="22"/>
    <col width="21.5703125" customWidth="1" style="30" min="23" max="23"/>
    <col collapsed="1" width="21.5703125" customWidth="1" style="30" min="24" max="24"/>
    <col hidden="1" outlineLevel="1" width="64.42578125" customWidth="1" style="30" min="25" max="25"/>
    <col hidden="1" outlineLevel="1" width="59.42578125" customWidth="1" style="266" min="26" max="26"/>
    <col hidden="1" outlineLevel="1" width="55.42578125" customWidth="1" style="30" min="27" max="27"/>
    <col hidden="1" outlineLevel="1" width="47.5703125" customWidth="1" style="30" min="28" max="29"/>
    <col width="47.5703125" customWidth="1" style="30" min="30" max="16384"/>
  </cols>
  <sheetData>
    <row r="1" ht="18" customHeight="1">
      <c r="J1" s="30" t="n"/>
      <c r="L1" s="555" t="n"/>
      <c r="M1" s="494" t="n"/>
      <c r="N1" s="494" t="n"/>
      <c r="O1" s="555" t="n"/>
      <c r="P1" s="555" t="n"/>
      <c r="Q1" s="555" t="n"/>
      <c r="R1" s="30" t="n"/>
      <c r="S1" s="447" t="n"/>
      <c r="T1" s="447" t="n"/>
      <c r="Z1" s="266" t="n"/>
    </row>
    <row r="2">
      <c r="J2" s="30" t="n"/>
      <c r="L2" s="555" t="n"/>
      <c r="M2" s="555" t="n"/>
      <c r="N2" s="555" t="n"/>
      <c r="O2" s="555" t="n"/>
      <c r="P2" s="555" t="n"/>
      <c r="Q2" s="555" t="n"/>
      <c r="R2" s="30" t="n"/>
      <c r="S2" s="30" t="n"/>
      <c r="Z2" s="266" t="n"/>
    </row>
    <row r="3">
      <c r="J3" s="30" t="n"/>
      <c r="L3" s="555" t="n"/>
      <c r="M3" s="555" t="n"/>
      <c r="N3" s="555" t="n"/>
      <c r="O3" s="555" t="n"/>
      <c r="P3" s="555" t="n"/>
      <c r="Q3" s="555" t="n"/>
      <c r="R3" s="30" t="n"/>
      <c r="S3" s="30" t="n"/>
      <c r="Z3" s="266" t="n"/>
    </row>
    <row r="4">
      <c r="J4" s="30" t="n"/>
      <c r="L4" s="555" t="n"/>
      <c r="M4" s="555" t="n"/>
      <c r="N4" s="555" t="n"/>
      <c r="O4" s="555" t="n"/>
      <c r="P4" s="555" t="n"/>
      <c r="Q4" s="555" t="n"/>
      <c r="R4" s="30" t="n"/>
      <c r="S4" s="30" t="n"/>
      <c r="Z4" s="266" t="n"/>
    </row>
    <row r="5" ht="21" customHeight="1">
      <c r="J5" s="30" t="n"/>
      <c r="L5" s="555" t="n"/>
      <c r="M5" s="555" t="n"/>
      <c r="N5" s="555" t="n"/>
      <c r="O5" s="555" t="n"/>
      <c r="P5" s="555" t="n"/>
      <c r="Q5" s="555" t="n"/>
      <c r="R5" s="30" t="n"/>
      <c r="S5" s="30" t="n"/>
      <c r="Z5" s="266" t="n"/>
      <c r="AA5" s="266" t="n"/>
    </row>
    <row r="6">
      <c r="J6" s="30" t="n"/>
      <c r="L6" s="555" t="n"/>
      <c r="M6" s="555" t="n"/>
      <c r="N6" s="555" t="n"/>
      <c r="O6" s="555" t="n"/>
      <c r="P6" s="555" t="n"/>
      <c r="Q6" s="555" t="n"/>
      <c r="R6" s="30" t="n"/>
      <c r="S6" s="30" t="n"/>
      <c r="Z6" s="496" t="n"/>
      <c r="AA6" s="266" t="n"/>
    </row>
    <row r="7" ht="64.5" customHeight="1">
      <c r="D7" s="497" t="inlineStr">
        <is>
          <t>Please input data↓</t>
        </is>
      </c>
      <c r="J7" s="30" t="n"/>
      <c r="L7" s="555" t="n"/>
      <c r="M7" s="555" t="n"/>
      <c r="N7" s="555" t="n"/>
      <c r="O7" s="555" t="n"/>
      <c r="P7" s="555" t="n"/>
      <c r="Q7" s="555" t="n"/>
      <c r="R7" s="30" t="n"/>
      <c r="S7" s="30" t="n"/>
      <c r="Z7" s="266" t="n"/>
    </row>
    <row r="8" ht="15.75" customHeight="1">
      <c r="C8" s="498" t="inlineStr">
        <is>
          <t>Ending date of reporting period</t>
        </is>
      </c>
      <c r="D8" s="499" t="n"/>
      <c r="J8" s="30" t="n"/>
      <c r="L8" s="555" t="n"/>
      <c r="M8" s="555" t="n"/>
      <c r="N8" s="555" t="n"/>
      <c r="O8" s="555" t="n"/>
      <c r="P8" s="555" t="n"/>
      <c r="Q8" s="555" t="n"/>
      <c r="R8" s="30" t="n"/>
      <c r="S8" s="30" t="n"/>
      <c r="Z8" s="266" t="n"/>
    </row>
    <row r="9" ht="15.75" customHeight="1">
      <c r="C9" s="498" t="inlineStr">
        <is>
          <t>Entity Name</t>
        </is>
      </c>
      <c r="D9" s="743">
        <f>IF([1]Segment_map!$D$4=0,"THE COMPANY HAS NOT BEEN PICKED",[1]Segment_map!$D$4)</f>
        <v/>
      </c>
      <c r="E9" s="862" t="n"/>
      <c r="F9" s="500" t="n"/>
      <c r="G9" s="500" t="n"/>
      <c r="H9" s="500" t="n"/>
      <c r="I9" s="500" t="n"/>
      <c r="J9" s="500" t="n"/>
      <c r="K9" s="500" t="n"/>
      <c r="L9" s="555" t="n"/>
      <c r="M9" s="555" t="n"/>
      <c r="N9" s="555" t="n"/>
      <c r="O9" s="30" t="n"/>
      <c r="P9" s="30" t="n"/>
      <c r="Q9" s="30" t="n"/>
      <c r="R9" s="30" t="n"/>
      <c r="S9" s="30" t="n"/>
      <c r="Z9" s="266" t="n"/>
    </row>
    <row r="10" ht="15.75" customHeight="1">
      <c r="B10" s="501" t="n"/>
      <c r="C10" s="498" t="inlineStr">
        <is>
          <t>Currency</t>
        </is>
      </c>
      <c r="D10" s="744">
        <f>[1]Segment_map!$J$4</f>
        <v/>
      </c>
      <c r="E10" s="872" t="n"/>
      <c r="F10" s="21" t="n"/>
      <c r="G10" s="502" t="n"/>
      <c r="H10" s="502" t="n"/>
      <c r="I10" s="502" t="n"/>
      <c r="J10" s="502" t="n"/>
      <c r="K10" s="502" t="n"/>
      <c r="L10" s="555" t="n"/>
      <c r="M10" s="30" t="n"/>
      <c r="N10" s="30" t="n"/>
      <c r="O10" s="30" t="n"/>
      <c r="P10" s="30" t="n"/>
      <c r="Q10" s="30" t="n"/>
      <c r="R10" s="30" t="n"/>
      <c r="S10" s="30" t="n"/>
      <c r="Z10" s="266" t="n"/>
      <c r="AA10" s="555" t="n"/>
    </row>
    <row r="11" ht="14.1" customFormat="1" customHeight="1" s="503">
      <c r="B11" s="504" t="n"/>
      <c r="E11" s="505" t="n"/>
      <c r="F11" s="24">
        <f>"! Please, enter amounts in thousands " &amp;D11</f>
        <v/>
      </c>
      <c r="G11" s="505" t="n"/>
      <c r="H11" s="505" t="n"/>
      <c r="I11" s="505" t="n"/>
      <c r="J11" s="505" t="n"/>
      <c r="K11" s="505" t="n"/>
      <c r="L11" s="505" t="n"/>
      <c r="O11" s="792" t="inlineStr">
        <is>
          <t>Month</t>
        </is>
      </c>
      <c r="P11" s="861" t="n"/>
      <c r="Q11" s="861" t="n"/>
      <c r="R11" s="861" t="n"/>
      <c r="S11" s="793" t="n"/>
      <c r="T11" s="792" t="inlineStr">
        <is>
          <t>Cumulative</t>
        </is>
      </c>
      <c r="U11" s="861" t="n"/>
      <c r="V11" s="861" t="n"/>
      <c r="W11" s="861" t="n"/>
      <c r="X11" s="793" t="n"/>
      <c r="Z11" s="507" t="n"/>
    </row>
    <row r="12" ht="35.85" customHeight="1">
      <c r="A12" s="795" t="inlineStr">
        <is>
          <t>Code</t>
        </is>
      </c>
      <c r="B12" s="757" t="inlineStr">
        <is>
          <t>Segment</t>
        </is>
      </c>
      <c r="C12" s="757" t="inlineStr">
        <is>
          <t>Project Name</t>
        </is>
      </c>
      <c r="D12" s="757" t="inlineStr">
        <is>
          <t>Project description</t>
        </is>
      </c>
      <c r="E12" s="757" t="inlineStr">
        <is>
          <t>Units of measurement</t>
        </is>
      </c>
      <c r="F12" s="757" t="inlineStr">
        <is>
          <t>+/-</t>
        </is>
      </c>
      <c r="G12" s="897" t="inlineStr">
        <is>
          <t>Strategic Priority</t>
        </is>
      </c>
      <c r="H12" s="897" t="inlineStr">
        <is>
          <t>Project Actual Start Date</t>
        </is>
      </c>
      <c r="I12" s="897" t="inlineStr">
        <is>
          <t>Project Planned End Date</t>
        </is>
      </c>
      <c r="J12" s="897" t="inlineStr">
        <is>
          <t>Risk Factors Status</t>
        </is>
      </c>
      <c r="K12" s="897" t="inlineStr">
        <is>
          <t>Risk Factor Comments</t>
        </is>
      </c>
      <c r="L12" s="897" t="inlineStr">
        <is>
          <t>Total budget of the project</t>
        </is>
      </c>
      <c r="M12" s="897" t="inlineStr">
        <is>
          <t>Overall actual project execution from the start date till reporting date</t>
        </is>
      </c>
      <c r="N12" s="898" t="n"/>
      <c r="O12" s="715" t="inlineStr">
        <is>
          <t>Reporting period actual execution</t>
        </is>
      </c>
      <c r="P12" s="787" t="n"/>
      <c r="Q12" s="899" t="inlineStr">
        <is>
          <t>Deviations actual to plan of current period</t>
        </is>
      </c>
      <c r="R12" s="900" t="n"/>
      <c r="S12" s="901" t="n"/>
      <c r="T12" s="757" t="inlineStr">
        <is>
          <t>Reporting period actual execution</t>
        </is>
      </c>
      <c r="U12" s="757" t="inlineStr">
        <is>
          <t>Reporting period planned execution</t>
        </is>
      </c>
      <c r="V12" s="508" t="inlineStr">
        <is>
          <t>Deviations actual to plan of current period</t>
        </is>
      </c>
      <c r="W12" s="861" t="n"/>
      <c r="X12" s="862" t="n"/>
      <c r="Z12" s="266" t="n"/>
    </row>
    <row r="13" ht="156.75" customHeight="1">
      <c r="A13" s="865" t="n"/>
      <c r="B13" s="874" t="n"/>
      <c r="C13" s="874" t="n"/>
      <c r="D13" s="874" t="n"/>
      <c r="E13" s="874" t="n"/>
      <c r="F13" s="874" t="n"/>
      <c r="G13" s="902" t="n"/>
      <c r="H13" s="902" t="n"/>
      <c r="I13" s="902" t="n"/>
      <c r="J13" s="902" t="n"/>
      <c r="K13" s="902" t="n"/>
      <c r="L13" s="902" t="n"/>
      <c r="M13" s="902" t="n"/>
      <c r="N13" s="903" t="n"/>
      <c r="O13" s="864" t="n"/>
      <c r="P13" s="864" t="n"/>
      <c r="Q13" s="715" t="inlineStr">
        <is>
          <t>Deviation from current period plan in absolute</t>
        </is>
      </c>
      <c r="R13" s="291" t="n"/>
      <c r="S13" s="291" t="inlineStr">
        <is>
          <t>Comment to deviation from current period plan</t>
        </is>
      </c>
      <c r="T13" s="874" t="n"/>
      <c r="U13" s="874" t="n"/>
      <c r="V13" s="508" t="inlineStr">
        <is>
          <t>Deviation from current period plan in absolute</t>
        </is>
      </c>
      <c r="W13" s="509" t="n"/>
      <c r="X13" s="509" t="inlineStr">
        <is>
          <t>Comments to deviation form current period plan</t>
        </is>
      </c>
      <c r="Y13" s="775" t="inlineStr">
        <is>
          <t>PLEASE DO NOT MODIFY THE COLUMNS CONTENT
THIS IS NOT MEANINGFUL DATA
THE COLUMNS ARE FOR BACKWARDS COMPATIBILITY COMPENSATING FOR THE LACK OF "FILTER", "SORT" &amp; "XLOOKUP" FUNCTIONS IN EARLIER EXCEL EDITIONS AND SERVE AS AN ANALOGUE TO THEM</t>
        </is>
      </c>
    </row>
    <row r="14" ht="18" customHeight="1">
      <c r="A14" s="510" t="n"/>
      <c r="B14" s="510" t="n"/>
      <c r="C14" s="510" t="n"/>
      <c r="D14" s="510" t="n"/>
      <c r="E14" s="510" t="n"/>
      <c r="F14" s="510" t="n"/>
      <c r="G14" s="510" t="n"/>
      <c r="H14" s="510" t="n"/>
      <c r="I14" s="510" t="n"/>
      <c r="J14" s="510" t="n"/>
      <c r="K14" s="510" t="n"/>
      <c r="L14" s="510" t="n"/>
      <c r="M14" s="510" t="n"/>
      <c r="N14" s="511" t="n"/>
      <c r="O14" s="904">
        <f>'[1]P&amp;L'!E9</f>
        <v/>
      </c>
      <c r="P14" s="861" t="n"/>
      <c r="Q14" s="861" t="n"/>
      <c r="R14" s="861" t="n"/>
      <c r="S14" s="862" t="n"/>
      <c r="T14" s="780">
        <f>'[1]P&amp;L'!P9</f>
        <v/>
      </c>
      <c r="Y14" s="512" t="inlineStr">
        <is>
          <t>Serves to determine if the value is "total", "subtotal" or single-project</t>
        </is>
      </c>
      <c r="Z14" s="513" t="inlineStr">
        <is>
          <t>Serves to filter out totals, subtotals and "other" from the list</t>
        </is>
      </c>
      <c r="AA14" s="512" t="inlineStr">
        <is>
          <t>Serves to filter out non-important projects and "others"</t>
        </is>
      </c>
      <c r="AB14" s="512" t="inlineStr">
        <is>
          <t>Serves to categorize projects and make offset for the correct display</t>
        </is>
      </c>
      <c r="AC14" s="512" t="inlineStr">
        <is>
          <t>Exclusion for PSA/RSA</t>
        </is>
      </c>
    </row>
    <row r="15" ht="13.35" customHeight="1">
      <c r="A15" s="510" t="n">
        <v>1</v>
      </c>
      <c r="B15" s="510">
        <f>A15+1</f>
        <v/>
      </c>
      <c r="C15" s="510">
        <f>B15+1</f>
        <v/>
      </c>
      <c r="D15" s="510">
        <f>C15+1</f>
        <v/>
      </c>
      <c r="E15" s="510">
        <f>D15+1</f>
        <v/>
      </c>
      <c r="F15" s="510">
        <f>E15+1</f>
        <v/>
      </c>
      <c r="G15" s="510">
        <f>F15+1</f>
        <v/>
      </c>
      <c r="H15" s="510">
        <f>G15+1</f>
        <v/>
      </c>
      <c r="I15" s="510">
        <f>H15+1</f>
        <v/>
      </c>
      <c r="J15" s="510">
        <f>I15+1</f>
        <v/>
      </c>
      <c r="K15" s="510">
        <f>J15+1</f>
        <v/>
      </c>
      <c r="L15" s="510">
        <f>K15+1</f>
        <v/>
      </c>
      <c r="M15" s="510">
        <f>L15+1</f>
        <v/>
      </c>
      <c r="N15" s="510">
        <f>M15+1</f>
        <v/>
      </c>
      <c r="O15" s="510">
        <f>N15+1</f>
        <v/>
      </c>
      <c r="P15" s="510">
        <f>O15+1</f>
        <v/>
      </c>
      <c r="Q15" s="510">
        <f>P15+1</f>
        <v/>
      </c>
      <c r="R15" s="510">
        <f>Q15+1</f>
        <v/>
      </c>
      <c r="S15" s="510">
        <f>R15+1</f>
        <v/>
      </c>
      <c r="T15" s="510">
        <f>S15+1</f>
        <v/>
      </c>
      <c r="U15" s="510">
        <f>T15+1</f>
        <v/>
      </c>
      <c r="V15" s="510">
        <f>U15+1</f>
        <v/>
      </c>
      <c r="W15" s="510">
        <f>V15+1</f>
        <v/>
      </c>
      <c r="X15" s="510">
        <f>W15+1</f>
        <v/>
      </c>
      <c r="Y15" s="514" t="inlineStr">
        <is>
          <t>CATEGORY_TYPE</t>
        </is>
      </c>
      <c r="Z15" s="513" t="inlineStr">
        <is>
          <t>BUDGET_EXCLUSION_TOTALS+OTHER</t>
        </is>
      </c>
      <c r="AA15" s="512" t="inlineStr">
        <is>
          <t>BUDGET_EXCLUSION_TOTALS+OTHER+IMPORTANCE</t>
        </is>
      </c>
      <c r="AB15" s="512" t="inlineStr">
        <is>
          <t>OFFSET_CATEGORY</t>
        </is>
      </c>
      <c r="AC15" s="512" t="inlineStr">
        <is>
          <t>RSA_FILTER</t>
        </is>
      </c>
    </row>
    <row r="16" ht="15" customHeight="1">
      <c r="A16" s="515" t="n"/>
      <c r="B16" s="516" t="inlineStr">
        <is>
          <t>Upstream</t>
        </is>
      </c>
      <c r="C16" s="516" t="inlineStr">
        <is>
          <t>Total</t>
        </is>
      </c>
      <c r="D16" s="905" t="inlineStr">
        <is>
          <t>Cəmi</t>
        </is>
      </c>
      <c r="E16" s="518">
        <f>IF(ISBLANK(C16)=FALSE,"thsd</f>
        <v/>
      </c>
      <c r="F16" s="518">
        <f>IF(ISBLANK(C16)=FALSE,"+","")</f>
        <v/>
      </c>
      <c r="G16" s="519" t="n"/>
      <c r="H16" s="519" t="n"/>
      <c r="I16" s="519" t="n"/>
      <c r="J16" s="519" t="n"/>
      <c r="K16" s="520" t="n"/>
      <c r="L16" s="521">
        <f>SUMPRODUCT(--(($B17:$B$261)=$B16),--(_xlfn.ISFORMULA(L17:L$261)=TRUE),L17:L$261)</f>
        <v/>
      </c>
      <c r="M16" s="521">
        <f t="array" ref="M16">SUMPRODUCT(--(($B17:$B$261)=$B16),--(_xlfn.ISFORMULA(M17:M$261)=TRUE),M17:M$261)</f>
        <v/>
      </c>
      <c r="N16" s="521">
        <f t="array" ref="N16">SUMPRODUCT(--(($B17:$B$261)=$B16),--(_xlfn.ISFORMULA(N17:N$261)=TRUE),N17:N$261)</f>
        <v/>
      </c>
      <c r="O16" s="521">
        <f t="array" ref="O16">SUMPRODUCT(--(($B17:$B$261)=$B16),--(_xlfn.ISFORMULA(O17:O$261)=TRUE),O17:O$261)</f>
        <v/>
      </c>
      <c r="P16" s="521">
        <f t="array" ref="P16">SUMPRODUCT(--(($B17:$B$261)=$B16),--(_xlfn.ISFORMULA(P17:P$261)=TRUE),P17:P$261)</f>
        <v/>
      </c>
      <c r="Q16" s="522">
        <f>IFERROR((O16-P16),"N/A")</f>
        <v/>
      </c>
      <c r="R16" s="523">
        <f>IFERROR((O16-P16)/ABS(P16),"N/A")</f>
        <v/>
      </c>
      <c r="S16" s="524" t="n"/>
      <c r="T16" s="521">
        <f t="array" ref="T16">SUMPRODUCT(--(($B17:$B$261)=$B16),--(_xlfn.ISFORMULA(T17:T$261)=TRUE),T17:T$261)</f>
        <v/>
      </c>
      <c r="U16" s="521">
        <f t="array" ref="U16">SUMPRODUCT(--(($B17:$B$261)=$B16),--(_xlfn.ISFORMULA(U17:U$261)=TRUE),U17:U$261)</f>
        <v/>
      </c>
      <c r="V16" s="522">
        <f>IFERROR((T16-U16),"N/A")</f>
        <v/>
      </c>
      <c r="W16" s="523">
        <f>IFERROR((T16-U16)/ABS(U16),"N/A")</f>
        <v/>
      </c>
      <c r="X16" s="523" t="n"/>
      <c r="Y16" s="512">
        <f>IF(ISNUMBER(SEARCH("SUMPRODUCT",_xlfn.FORMULATEXT(L16),1))=FALSE,IF(ISNUMBER(SEARCH("INDIRECT",_xlfn.FORMULATEXT(L16),1))=TRUE,1,0),2)</f>
        <v/>
      </c>
      <c r="Z16" s="525">
        <f>IFERROR(SUMPRODUCT(--(_xlfn.ISFORMULA(L16)=FALSE),--(C16&lt;&gt;"Other Projects"),--(AC16&lt;&gt;TRUE),L16),0)</f>
        <v/>
      </c>
      <c r="AA16" s="512">
        <f>IFERROR(SUMPRODUCT(--(_xlfn.ISFORMULA(L16)=FALSE),--(C16&lt;&gt;"Other Projects"),--(G16="Yes"),--(AC16&lt;&gt;TRUE),L16),0)</f>
        <v/>
      </c>
      <c r="AB16" s="512">
        <f>IF(_xlfn.ISFORMULA(L16)=TRUE,0,AB15-1)</f>
        <v/>
      </c>
      <c r="AC16" s="512" t="n"/>
    </row>
    <row r="17" outlineLevel="1" ht="15" customHeight="1">
      <c r="A17" s="515" t="n"/>
      <c r="B17" s="526" t="inlineStr">
        <is>
          <t>Upstream</t>
        </is>
      </c>
      <c r="C17" s="527" t="inlineStr">
        <is>
          <t xml:space="preserve">All production drilling projects </t>
        </is>
      </c>
      <c r="D17" s="516" t="n"/>
      <c r="E17" s="518">
        <f>IF(ISBLANK(C17)=FALSE,"thsd</f>
        <v/>
      </c>
      <c r="F17" s="518">
        <f>IF(ISBLANK(C17)=FALSE,"+","")</f>
        <v/>
      </c>
      <c r="G17" s="519" t="n"/>
      <c r="H17" s="519" t="n"/>
      <c r="I17" s="519" t="n"/>
      <c r="J17" s="519" t="n"/>
      <c r="K17" s="520" t="n"/>
      <c r="L17" s="588">
        <f>SUM(L18:L34)</f>
        <v/>
      </c>
      <c r="M17" s="588">
        <f>SUM(INDIRECT(CHAR(COLUMN()+64)&amp;ROW(M18)&amp;":"&amp;IF(_xlfn.ISFORMULA(INDIRECT((ADDRESS(ROW()-1+MATCH(1,$Y18:$Y$261,0),COLUMN(),1,1)))),(ADDRESS(ROW()-2+MATCH(1,$Y18:$Y$261,0),COLUMN(),1,1)),(ADDRESS(ROW()-1+MATCH(1,$Y18:$Y$261,0),COLUMN(),1,1)))))</f>
        <v/>
      </c>
      <c r="N17" s="588">
        <f>SUM(INDIRECT(CHAR(COLUMN()+64)&amp;ROW(N18)&amp;":"&amp;IF(_xlfn.ISFORMULA(INDIRECT((ADDRESS(ROW()-1+MATCH(1,$Y18:$Y$261,0),COLUMN(),1,1)))),(ADDRESS(ROW()-2+MATCH(1,$Y18:$Y$261,0),COLUMN(),1,1)),(ADDRESS(ROW()-1+MATCH(1,$Y18:$Y$261,0),COLUMN(),1,1)))))</f>
        <v/>
      </c>
      <c r="O17" s="588">
        <f>SUM(INDIRECT(CHAR(COLUMN()+64)&amp;ROW(O18)&amp;":"&amp;IF(_xlfn.ISFORMULA(INDIRECT((ADDRESS(ROW()-1+MATCH(1,$Y18:$Y$261,0),COLUMN(),1,1)))),(ADDRESS(ROW()-2+MATCH(1,$Y18:$Y$261,0),COLUMN(),1,1)),(ADDRESS(ROW()-1+MATCH(1,$Y18:$Y$261,0),COLUMN(),1,1)))))</f>
        <v/>
      </c>
      <c r="P17" s="588">
        <f>SUM(INDIRECT(CHAR(COLUMN()+64)&amp;ROW(P18)&amp;":"&amp;IF(_xlfn.ISFORMULA(INDIRECT((ADDRESS(ROW()-1+MATCH(1,$Y18:$Y$261,0),COLUMN(),1,1)))),(ADDRESS(ROW()-2+MATCH(1,$Y18:$Y$261,0),COLUMN(),1,1)),(ADDRESS(ROW()-1+MATCH(1,$Y18:$Y$261,0),COLUMN(),1,1)))))</f>
        <v/>
      </c>
      <c r="Q17" s="522">
        <f>IFERROR((O17-P17),"N/A")</f>
        <v/>
      </c>
      <c r="R17" s="523">
        <f>IFERROR((O17-P17)/ABS(P17),"N/A")</f>
        <v/>
      </c>
      <c r="S17" s="529" t="n"/>
      <c r="T17" s="588">
        <f>SUM(INDIRECT(CHAR(COLUMN()+64)&amp;ROW(T18)&amp;":"&amp;IF(_xlfn.ISFORMULA(INDIRECT((ADDRESS(ROW()-1+MATCH(1,$Y18:$Y$261,0),COLUMN(),1,1)))),(ADDRESS(ROW()-2+MATCH(1,$Y18:$Y$261,0),COLUMN(),1,1)),(ADDRESS(ROW()-1+MATCH(1,$Y18:$Y$261,0),COLUMN(),1,1)))))</f>
        <v/>
      </c>
      <c r="U17" s="588">
        <f>SUM(INDIRECT(CHAR(COLUMN()+64)&amp;ROW(U18)&amp;":"&amp;IF(_xlfn.ISFORMULA(INDIRECT((ADDRESS(ROW()-1+MATCH(1,$Y18:$Y$261,0),COLUMN(),1,1)))),(ADDRESS(ROW()-2+MATCH(1,$Y18:$Y$261,0),COLUMN(),1,1)),(ADDRESS(ROW()-1+MATCH(1,$Y18:$Y$261,0),COLUMN(),1,1)))))</f>
        <v/>
      </c>
      <c r="V17" s="522">
        <f>IFERROR((T17-U17),"N/A")</f>
        <v/>
      </c>
      <c r="W17" s="523">
        <f>IFERROR((T17-U17)/ABS(U17),"N/A")</f>
        <v/>
      </c>
      <c r="X17" s="529" t="n"/>
      <c r="Y17" s="512">
        <f>IF(ISNUMBER(SEARCH("SUMPRODUCT",_xlfn.FORMULATEXT(L17),1))=FALSE,IF(ISNUMBER(SEARCH("INDIRECT",_xlfn.FORMULATEXT(L17),1))=TRUE,1,0),2)</f>
        <v/>
      </c>
      <c r="Z17" s="525">
        <f>IFERROR(SUMPRODUCT(--(_xlfn.ISFORMULA(L17)=FALSE),--(C17&lt;&gt;"Other Projects"),--(AC17&lt;&gt;TRUE),L17),0)</f>
        <v/>
      </c>
      <c r="AA17" s="512">
        <f>IFERROR(SUMPRODUCT(--(_xlfn.ISFORMULA(L17)=FALSE),--(C17&lt;&gt;"Other Projects"),--(G17="Yes"),--(AC17&lt;&gt;TRUE),L17),0)</f>
        <v/>
      </c>
      <c r="AB17" s="512">
        <f>IF(_xlfn.ISFORMULA(L17)=TRUE,0,AB16-1)</f>
        <v/>
      </c>
      <c r="AC17" s="512" t="n"/>
    </row>
    <row r="18" outlineLevel="1" ht="63.75" customHeight="1">
      <c r="A18" s="515" t="n"/>
      <c r="B18" s="526" t="inlineStr">
        <is>
          <t>Upstream</t>
        </is>
      </c>
      <c r="C18" s="530" t="inlineStr">
        <is>
          <t>[Input of the project name]</t>
        </is>
      </c>
      <c r="D18" s="531" t="inlineStr">
        <is>
          <t>[input: brief description of the project, including:</t>
        </is>
      </c>
      <c r="E18" s="518">
        <f>IF(ISBLANK(C18)=FALSE,"thsd</f>
        <v/>
      </c>
      <c r="F18" s="518">
        <f>IF(ISBLANK(C18)=FALSE,"+","")</f>
        <v/>
      </c>
      <c r="G18" s="532" t="n"/>
      <c r="H18" s="533" t="n"/>
      <c r="I18" s="533" t="n"/>
      <c r="J18" s="532" t="n"/>
      <c r="K18" s="532" t="n"/>
      <c r="L18" s="534" t="n"/>
      <c r="M18" s="534" t="n"/>
      <c r="N18" s="534" t="n"/>
      <c r="O18" s="534" t="n"/>
      <c r="P18" s="534" t="n"/>
      <c r="Q18" s="522">
        <f>IFERROR((O18-P18),"N/A")</f>
        <v/>
      </c>
      <c r="R18" s="523">
        <f>IFERROR((O18-P18)/ABS(P18),"N/A")</f>
        <v/>
      </c>
      <c r="S18" s="532" t="n"/>
      <c r="T18" s="535" t="n"/>
      <c r="U18" s="535" t="n"/>
      <c r="V18" s="522">
        <f>IFERROR((T18-U18),"N/A")</f>
        <v/>
      </c>
      <c r="W18" s="523">
        <f>IFERROR((T18-U18)/ABS(U18),"N/A")</f>
        <v/>
      </c>
      <c r="X18" s="532" t="n"/>
      <c r="Y18" s="512">
        <f>IF(ISNUMBER(SEARCH("SUMPRODUCT",_xlfn.FORMULATEXT(L18),1))=FALSE,IF(ISNUMBER(SEARCH("INDIRECT",_xlfn.FORMULATEXT(L18),1))=TRUE,1,0),2)</f>
        <v/>
      </c>
      <c r="Z18" s="525">
        <f>IFERROR(SUMPRODUCT(--(_xlfn.ISFORMULA(L18)=FALSE),--(C18&lt;&gt;"Other Projects"),--(AC18&lt;&gt;TRUE),L18),0)</f>
        <v/>
      </c>
      <c r="AA18" s="512">
        <f>IFERROR(SUMPRODUCT(--(_xlfn.ISFORMULA(L18)=FALSE),--(C18&lt;&gt;"Other Projects"),--(G18="Yes"),--(AC18&lt;&gt;TRUE),L18),0)</f>
        <v/>
      </c>
      <c r="AB18" s="512">
        <f>IF(_xlfn.ISFORMULA(L18)=TRUE,0,AB17-1)</f>
        <v/>
      </c>
      <c r="AC18" s="512" t="n"/>
    </row>
    <row r="19" outlineLevel="1" ht="63.75" customHeight="1">
      <c r="A19" s="515" t="n"/>
      <c r="B19" s="526" t="inlineStr">
        <is>
          <t>Upstream</t>
        </is>
      </c>
      <c r="C19" s="530" t="inlineStr">
        <is>
          <t>[Input of the project name]</t>
        </is>
      </c>
      <c r="D19" s="531" t="inlineStr">
        <is>
          <t>[input: brief description of the project, including:</t>
        </is>
      </c>
      <c r="E19" s="518">
        <f>IF(ISBLANK(C19)=FALSE,"thsd</f>
        <v/>
      </c>
      <c r="F19" s="518">
        <f>IF(ISBLANK(C19)=FALSE,"+","")</f>
        <v/>
      </c>
      <c r="G19" s="532" t="n"/>
      <c r="H19" s="533" t="n"/>
      <c r="I19" s="533" t="n"/>
      <c r="J19" s="536" t="n"/>
      <c r="K19" s="532" t="n"/>
      <c r="L19" s="534" t="n"/>
      <c r="M19" s="534" t="n"/>
      <c r="N19" s="534" t="n"/>
      <c r="O19" s="534" t="n"/>
      <c r="P19" s="534" t="n"/>
      <c r="Q19" s="522">
        <f>IFERROR((O19-P19),"N/A")</f>
        <v/>
      </c>
      <c r="R19" s="523">
        <f>IFERROR((O19-P19)/ABS(P19),"N/A")</f>
        <v/>
      </c>
      <c r="S19" s="532" t="n"/>
      <c r="T19" s="535" t="n"/>
      <c r="U19" s="535" t="n"/>
      <c r="V19" s="522">
        <f>IFERROR((T19-U19),"N/A")</f>
        <v/>
      </c>
      <c r="W19" s="523">
        <f>IFERROR((T19-U19)/ABS(U19),"N/A")</f>
        <v/>
      </c>
      <c r="X19" s="537" t="n"/>
      <c r="Y19" s="512">
        <f>IF(ISNUMBER(SEARCH("SUMPRODUCT",_xlfn.FORMULATEXT(L19),1))=FALSE,IF(ISNUMBER(SEARCH("INDIRECT",_xlfn.FORMULATEXT(L19),1))=TRUE,1,0),2)</f>
        <v/>
      </c>
      <c r="Z19" s="525">
        <f>IFERROR(SUMPRODUCT(--(_xlfn.ISFORMULA(L19)=FALSE),--(C19&lt;&gt;"Other Projects"),--(AC19&lt;&gt;TRUE),L19),0)</f>
        <v/>
      </c>
      <c r="AA19" s="512">
        <f>IFERROR(SUMPRODUCT(--(_xlfn.ISFORMULA(L19)=FALSE),--(C19&lt;&gt;"Other Projects"),--(G19="Yes"),--(AC19&lt;&gt;TRUE),L19),0)</f>
        <v/>
      </c>
      <c r="AB19" s="512">
        <f>IF(_xlfn.ISFORMULA(L19)=TRUE,0,AB18-1)</f>
        <v/>
      </c>
      <c r="AC19" s="512" t="n"/>
    </row>
    <row r="20" outlineLevel="1" ht="63.75" customHeight="1">
      <c r="A20" s="515" t="n"/>
      <c r="B20" s="526" t="inlineStr">
        <is>
          <t>Upstream</t>
        </is>
      </c>
      <c r="C20" s="530" t="inlineStr">
        <is>
          <t>[Input of the project name]</t>
        </is>
      </c>
      <c r="D20" s="531" t="inlineStr">
        <is>
          <t>[input: brief description of the project, including:</t>
        </is>
      </c>
      <c r="E20" s="518">
        <f>IF(ISBLANK(C20)=FALSE,"thsd</f>
        <v/>
      </c>
      <c r="F20" s="518">
        <f>IF(ISBLANK(C20)=FALSE,"+","")</f>
        <v/>
      </c>
      <c r="G20" s="532" t="n"/>
      <c r="H20" s="533" t="n"/>
      <c r="I20" s="533" t="n"/>
      <c r="J20" s="536" t="n"/>
      <c r="K20" s="537" t="n"/>
      <c r="L20" s="534" t="n"/>
      <c r="M20" s="534" t="n"/>
      <c r="N20" s="534" t="n"/>
      <c r="O20" s="534" t="n"/>
      <c r="P20" s="534" t="n"/>
      <c r="Q20" s="522">
        <f>IFERROR((O20-P20),"N/A")</f>
        <v/>
      </c>
      <c r="R20" s="523">
        <f>IFERROR((O20-P20)/ABS(P20),"N/A")</f>
        <v/>
      </c>
      <c r="S20" s="537" t="n"/>
      <c r="T20" s="538" t="n"/>
      <c r="U20" s="538" t="n"/>
      <c r="V20" s="522">
        <f>IFERROR((T20-U20),"N/A")</f>
        <v/>
      </c>
      <c r="W20" s="523">
        <f>IFERROR((T20-U20)/ABS(U20),"N/A")</f>
        <v/>
      </c>
      <c r="X20" s="537" t="n"/>
      <c r="Y20" s="512">
        <f>IF(ISNUMBER(SEARCH("SUMPRODUCT",_xlfn.FORMULATEXT(L20),1))=FALSE,IF(ISNUMBER(SEARCH("INDIRECT",_xlfn.FORMULATEXT(L20),1))=TRUE,1,0),2)</f>
        <v/>
      </c>
      <c r="Z20" s="525">
        <f>IFERROR(SUMPRODUCT(--(_xlfn.ISFORMULA(L20)=FALSE),--(C20&lt;&gt;"Other Projects"),--(AC20&lt;&gt;TRUE),L20),0)</f>
        <v/>
      </c>
      <c r="AA20" s="512">
        <f>IFERROR(SUMPRODUCT(--(_xlfn.ISFORMULA(L20)=FALSE),--(C20&lt;&gt;"Other Projects"),--(G20="Yes"),--(AC20&lt;&gt;TRUE),L20),0)</f>
        <v/>
      </c>
      <c r="AB20" s="512">
        <f>IF(_xlfn.ISFORMULA(L20)=TRUE,0,AB19-1)</f>
        <v/>
      </c>
      <c r="AC20" s="512" t="n"/>
    </row>
    <row r="21" outlineLevel="1" ht="67.34999999999999" customHeight="1">
      <c r="A21" s="515" t="n"/>
      <c r="B21" s="526" t="inlineStr">
        <is>
          <t>Upstream</t>
        </is>
      </c>
      <c r="C21" s="530" t="inlineStr">
        <is>
          <t>[Input of the project name]</t>
        </is>
      </c>
      <c r="D21" s="531" t="inlineStr">
        <is>
          <t>[input: brief description of the project, including:</t>
        </is>
      </c>
      <c r="E21" s="518">
        <f>IF(ISBLANK(C21)=FALSE,"thsd</f>
        <v/>
      </c>
      <c r="F21" s="518">
        <f>IF(ISBLANK(C21)=FALSE,"+","")</f>
        <v/>
      </c>
      <c r="G21" s="532" t="n"/>
      <c r="H21" s="533" t="n"/>
      <c r="I21" s="533" t="n"/>
      <c r="J21" s="536" t="n"/>
      <c r="K21" s="537" t="n"/>
      <c r="L21" s="534" t="n"/>
      <c r="M21" s="534" t="n"/>
      <c r="N21" s="534" t="n"/>
      <c r="O21" s="534" t="n"/>
      <c r="P21" s="534" t="n"/>
      <c r="Q21" s="522">
        <f>IFERROR((O21-P21),"N/A")</f>
        <v/>
      </c>
      <c r="R21" s="523">
        <f>IFERROR((O21-P21)/ABS(P21),"N/A")</f>
        <v/>
      </c>
      <c r="S21" s="537" t="n"/>
      <c r="T21" s="538" t="n"/>
      <c r="U21" s="538" t="n"/>
      <c r="V21" s="522">
        <f>IFERROR((T21-U21),"N/A")</f>
        <v/>
      </c>
      <c r="W21" s="523">
        <f>IFERROR((T21-U21)/ABS(U21),"N/A")</f>
        <v/>
      </c>
      <c r="X21" s="537" t="n"/>
      <c r="Y21" s="512">
        <f>IF(ISNUMBER(SEARCH("SUMPRODUCT",_xlfn.FORMULATEXT(L21),1))=FALSE,IF(ISNUMBER(SEARCH("INDIRECT",_xlfn.FORMULATEXT(L21),1))=TRUE,1,0),2)</f>
        <v/>
      </c>
      <c r="Z21" s="525">
        <f>IFERROR(SUMPRODUCT(--(_xlfn.ISFORMULA(L21)=FALSE),--(C21&lt;&gt;"Other Projects"),--(AC21&lt;&gt;TRUE),L21),0)</f>
        <v/>
      </c>
      <c r="AA21" s="512">
        <f>IFERROR(SUMPRODUCT(--(_xlfn.ISFORMULA(L21)=FALSE),--(C21&lt;&gt;"Other Projects"),--(G21="Yes"),--(AC21&lt;&gt;TRUE),L21),0)</f>
        <v/>
      </c>
      <c r="AB21" s="512">
        <f>IF(_xlfn.ISFORMULA(L21)=TRUE,0,AB20-1)</f>
        <v/>
      </c>
      <c r="AC21" s="512" t="n"/>
    </row>
    <row r="22" outlineLevel="1" ht="63.75" customHeight="1">
      <c r="A22" s="515" t="n"/>
      <c r="B22" s="526" t="inlineStr">
        <is>
          <t>Upstream</t>
        </is>
      </c>
      <c r="C22" s="530" t="inlineStr">
        <is>
          <t>[Input of the project name]</t>
        </is>
      </c>
      <c r="D22" s="531" t="inlineStr">
        <is>
          <t>[input: brief description of the project, including:</t>
        </is>
      </c>
      <c r="E22" s="518">
        <f>IF(ISBLANK(C22)=FALSE,"thsd</f>
        <v/>
      </c>
      <c r="F22" s="518">
        <f>IF(ISBLANK(C22)=FALSE,"+","")</f>
        <v/>
      </c>
      <c r="G22" s="532" t="n"/>
      <c r="H22" s="533" t="n"/>
      <c r="I22" s="533" t="n"/>
      <c r="J22" s="536" t="n"/>
      <c r="K22" s="537" t="n"/>
      <c r="L22" s="534" t="n"/>
      <c r="M22" s="534" t="n"/>
      <c r="N22" s="534" t="n"/>
      <c r="O22" s="534" t="n"/>
      <c r="P22" s="534" t="n"/>
      <c r="Q22" s="522">
        <f>IFERROR((O22-P22),"N/A")</f>
        <v/>
      </c>
      <c r="R22" s="523">
        <f>IFERROR((O22-P22)/ABS(P22),"N/A")</f>
        <v/>
      </c>
      <c r="S22" s="537" t="n"/>
      <c r="T22" s="538" t="n"/>
      <c r="U22" s="533" t="n"/>
      <c r="V22" s="522">
        <f>IFERROR((T22-U22),"N/A")</f>
        <v/>
      </c>
      <c r="W22" s="523">
        <f>IFERROR((T22-U22)/ABS(U22),"N/A")</f>
        <v/>
      </c>
      <c r="X22" s="532" t="n"/>
      <c r="Y22" s="512">
        <f>IF(ISNUMBER(SEARCH("SUMPRODUCT",_xlfn.FORMULATEXT(L22),1))=FALSE,IF(ISNUMBER(SEARCH("INDIRECT",_xlfn.FORMULATEXT(L22),1))=TRUE,1,0),2)</f>
        <v/>
      </c>
      <c r="Z22" s="525">
        <f>IFERROR(SUMPRODUCT(--(_xlfn.ISFORMULA(L22)=FALSE),--(C22&lt;&gt;"Other Projects"),--(AC22&lt;&gt;TRUE),L22),0)</f>
        <v/>
      </c>
      <c r="AA22" s="512">
        <f>IFERROR(SUMPRODUCT(--(_xlfn.ISFORMULA(L22)=FALSE),--(C22&lt;&gt;"Other Projects"),--(G22="Yes"),--(AC22&lt;&gt;TRUE),L22),0)</f>
        <v/>
      </c>
      <c r="AB22" s="512">
        <f>IF(_xlfn.ISFORMULA(L22)=TRUE,0,AB21-1)</f>
        <v/>
      </c>
      <c r="AC22" s="512" t="n"/>
    </row>
    <row r="23" outlineLevel="1" ht="65.84999999999999" customHeight="1">
      <c r="A23" s="515" t="n"/>
      <c r="B23" s="526" t="inlineStr">
        <is>
          <t>Upstream</t>
        </is>
      </c>
      <c r="C23" s="530" t="inlineStr">
        <is>
          <t>[Input of the project name]</t>
        </is>
      </c>
      <c r="D23" s="531" t="inlineStr">
        <is>
          <t>[input: brief description of the project, including:</t>
        </is>
      </c>
      <c r="E23" s="518">
        <f>IF(ISBLANK(C23)=FALSE,"thsd</f>
        <v/>
      </c>
      <c r="F23" s="518">
        <f>IF(ISBLANK(C23)=FALSE,"+","")</f>
        <v/>
      </c>
      <c r="G23" s="532" t="n"/>
      <c r="H23" s="533" t="n"/>
      <c r="I23" s="533" t="n"/>
      <c r="J23" s="536" t="n"/>
      <c r="K23" s="537" t="n"/>
      <c r="L23" s="534" t="n"/>
      <c r="M23" s="534" t="n"/>
      <c r="N23" s="534" t="n"/>
      <c r="O23" s="534" t="n"/>
      <c r="P23" s="534" t="n"/>
      <c r="Q23" s="522">
        <f>IFERROR((O23-P23),"N/A")</f>
        <v/>
      </c>
      <c r="R23" s="523">
        <f>IFERROR((O23-P23)/ABS(P23),"N/A")</f>
        <v/>
      </c>
      <c r="S23" s="537" t="n"/>
      <c r="T23" s="538" t="n"/>
      <c r="U23" s="538" t="n"/>
      <c r="V23" s="522">
        <f>IFERROR((T23-U23),"N/A")</f>
        <v/>
      </c>
      <c r="W23" s="523">
        <f>IFERROR((T23-U23)/ABS(U23),"N/A")</f>
        <v/>
      </c>
      <c r="X23" s="537" t="n"/>
      <c r="Y23" s="512">
        <f>IF(ISNUMBER(SEARCH("SUMPRODUCT",_xlfn.FORMULATEXT(L23),1))=FALSE,IF(ISNUMBER(SEARCH("INDIRECT",_xlfn.FORMULATEXT(L23),1))=TRUE,1,0),2)</f>
        <v/>
      </c>
      <c r="Z23" s="525">
        <f>IFERROR(SUMPRODUCT(--(_xlfn.ISFORMULA(L23)=FALSE),--(C23&lt;&gt;"Other Projects"),--(AC23&lt;&gt;TRUE),L23),0)</f>
        <v/>
      </c>
      <c r="AA23" s="512">
        <f>IFERROR(SUMPRODUCT(--(_xlfn.ISFORMULA(L23)=FALSE),--(C23&lt;&gt;"Other Projects"),--(G23="Yes"),--(AC23&lt;&gt;TRUE),L23),0)</f>
        <v/>
      </c>
      <c r="AB23" s="512">
        <f>IF(_xlfn.ISFORMULA(L23)=TRUE,0,AB22-1)</f>
        <v/>
      </c>
      <c r="AC23" s="512" t="n"/>
    </row>
    <row r="24" outlineLevel="1" ht="65.84999999999999" customHeight="1">
      <c r="A24" s="515" t="n"/>
      <c r="B24" s="526" t="inlineStr">
        <is>
          <t>Upstream</t>
        </is>
      </c>
      <c r="C24" s="530" t="inlineStr">
        <is>
          <t>[Input of the project name]</t>
        </is>
      </c>
      <c r="D24" s="531" t="inlineStr">
        <is>
          <t>[input: brief description of the project, including:</t>
        </is>
      </c>
      <c r="E24" s="518">
        <f>IF(ISBLANK(C24)=FALSE,"thsd</f>
        <v/>
      </c>
      <c r="F24" s="518">
        <f>IF(ISBLANK(C24)=FALSE,"+","")</f>
        <v/>
      </c>
      <c r="G24" s="532" t="n"/>
      <c r="H24" s="533" t="n"/>
      <c r="I24" s="533" t="n"/>
      <c r="J24" s="536" t="n"/>
      <c r="K24" s="537" t="n"/>
      <c r="L24" s="534" t="n"/>
      <c r="M24" s="534" t="n"/>
      <c r="N24" s="534" t="n"/>
      <c r="O24" s="534" t="n"/>
      <c r="P24" s="534" t="n"/>
      <c r="Q24" s="522">
        <f>IFERROR((O24-P24),"N/A")</f>
        <v/>
      </c>
      <c r="R24" s="523">
        <f>IFERROR((O24-P24)/ABS(P24),"N/A")</f>
        <v/>
      </c>
      <c r="S24" s="537" t="n"/>
      <c r="T24" s="538" t="n"/>
      <c r="U24" s="538" t="n"/>
      <c r="V24" s="522">
        <f>IFERROR((T24-U24),"N/A")</f>
        <v/>
      </c>
      <c r="W24" s="523">
        <f>IFERROR((T24-U24)/ABS(U24),"N/A")</f>
        <v/>
      </c>
      <c r="X24" s="537" t="n"/>
      <c r="Y24" s="512">
        <f>IF(ISNUMBER(SEARCH("SUMPRODUCT",_xlfn.FORMULATEXT(L24),1))=FALSE,IF(ISNUMBER(SEARCH("INDIRECT",_xlfn.FORMULATEXT(L24),1))=TRUE,1,0),2)</f>
        <v/>
      </c>
      <c r="Z24" s="525">
        <f>IFERROR(SUMPRODUCT(--(_xlfn.ISFORMULA(L24)=FALSE),--(C24&lt;&gt;"Other Projects"),--(AC24&lt;&gt;TRUE),L24),0)</f>
        <v/>
      </c>
      <c r="AA24" s="512">
        <f>IFERROR(SUMPRODUCT(--(_xlfn.ISFORMULA(L24)=FALSE),--(C24&lt;&gt;"Other Projects"),--(G24="Yes"),--(AC24&lt;&gt;TRUE),L24),0)</f>
        <v/>
      </c>
      <c r="AB24" s="512">
        <f>IF(_xlfn.ISFORMULA(L24)=TRUE,0,AB23-1)</f>
        <v/>
      </c>
      <c r="AC24" s="512" t="n"/>
    </row>
    <row r="25" outlineLevel="1" ht="63.75" customHeight="1">
      <c r="A25" s="515" t="n"/>
      <c r="B25" s="526" t="inlineStr">
        <is>
          <t>Upstream</t>
        </is>
      </c>
      <c r="C25" s="530" t="inlineStr">
        <is>
          <t>[Input of the project name]</t>
        </is>
      </c>
      <c r="D25" s="531" t="inlineStr">
        <is>
          <t>[input: brief description of the project, including:</t>
        </is>
      </c>
      <c r="E25" s="518">
        <f>IF(ISBLANK(C25)=FALSE,"thsd</f>
        <v/>
      </c>
      <c r="F25" s="518">
        <f>IF(ISBLANK(C25)=FALSE,"+","")</f>
        <v/>
      </c>
      <c r="G25" s="532" t="n"/>
      <c r="H25" s="533" t="n"/>
      <c r="I25" s="533" t="n"/>
      <c r="J25" s="536" t="n"/>
      <c r="K25" s="537" t="n"/>
      <c r="L25" s="534" t="n"/>
      <c r="M25" s="534" t="n"/>
      <c r="N25" s="534" t="n"/>
      <c r="O25" s="534" t="n"/>
      <c r="P25" s="534" t="n"/>
      <c r="Q25" s="522">
        <f>IFERROR((O25-P25),"N/A")</f>
        <v/>
      </c>
      <c r="R25" s="523">
        <f>IFERROR((O25-P25)/ABS(P25),"N/A")</f>
        <v/>
      </c>
      <c r="S25" s="537" t="n"/>
      <c r="T25" s="538" t="n"/>
      <c r="U25" s="538" t="n"/>
      <c r="V25" s="522">
        <f>IFERROR((T25-U25),"N/A")</f>
        <v/>
      </c>
      <c r="W25" s="523">
        <f>IFERROR((T25-U25)/ABS(U25),"N/A")</f>
        <v/>
      </c>
      <c r="X25" s="537" t="n"/>
      <c r="Y25" s="512">
        <f>IF(ISNUMBER(SEARCH("SUMPRODUCT",_xlfn.FORMULATEXT(L25),1))=FALSE,IF(ISNUMBER(SEARCH("INDIRECT",_xlfn.FORMULATEXT(L25),1))=TRUE,1,0),2)</f>
        <v/>
      </c>
      <c r="Z25" s="525">
        <f>IFERROR(SUMPRODUCT(--(_xlfn.ISFORMULA(L25)=FALSE),--(C25&lt;&gt;"Other Projects"),--(AC25&lt;&gt;TRUE),L25),0)</f>
        <v/>
      </c>
      <c r="AA25" s="512">
        <f>IFERROR(SUMPRODUCT(--(_xlfn.ISFORMULA(L25)=FALSE),--(C25&lt;&gt;"Other Projects"),--(G25="Yes"),--(AC25&lt;&gt;TRUE),L25),0)</f>
        <v/>
      </c>
      <c r="AB25" s="512">
        <f>IF(_xlfn.ISFORMULA(L25)=TRUE,0,AB24-1)</f>
        <v/>
      </c>
      <c r="AC25" s="512" t="n"/>
    </row>
    <row r="26" outlineLevel="1" ht="63.75" customHeight="1">
      <c r="A26" s="515" t="n"/>
      <c r="B26" s="526" t="inlineStr">
        <is>
          <t>Upstream</t>
        </is>
      </c>
      <c r="C26" s="530" t="inlineStr">
        <is>
          <t>[Input of the project name]</t>
        </is>
      </c>
      <c r="D26" s="531" t="inlineStr">
        <is>
          <t>[input: brief description of the project, including:</t>
        </is>
      </c>
      <c r="E26" s="518">
        <f>IF(ISBLANK(C26)=FALSE,"thsd</f>
        <v/>
      </c>
      <c r="F26" s="518">
        <f>IF(ISBLANK(C26)=FALSE,"+","")</f>
        <v/>
      </c>
      <c r="G26" s="532" t="n"/>
      <c r="H26" s="533" t="n"/>
      <c r="I26" s="533" t="n"/>
      <c r="J26" s="536" t="n"/>
      <c r="K26" s="537" t="n"/>
      <c r="L26" s="534" t="n"/>
      <c r="M26" s="534" t="n"/>
      <c r="N26" s="534" t="n"/>
      <c r="O26" s="534" t="n"/>
      <c r="P26" s="534" t="n"/>
      <c r="Q26" s="522">
        <f>IFERROR((O26-P26),"N/A")</f>
        <v/>
      </c>
      <c r="R26" s="523">
        <f>IFERROR((O26-P26)/ABS(P26),"N/A")</f>
        <v/>
      </c>
      <c r="S26" s="537" t="n"/>
      <c r="T26" s="538" t="n"/>
      <c r="U26" s="538" t="n"/>
      <c r="V26" s="522">
        <f>IFERROR((T26-U26),"N/A")</f>
        <v/>
      </c>
      <c r="W26" s="523">
        <f>IFERROR((T26-U26)/ABS(U26),"N/A")</f>
        <v/>
      </c>
      <c r="X26" s="537" t="n"/>
      <c r="Y26" s="512">
        <f>IF(ISNUMBER(SEARCH("SUMPRODUCT",_xlfn.FORMULATEXT(L26),1))=FALSE,IF(ISNUMBER(SEARCH("INDIRECT",_xlfn.FORMULATEXT(L26),1))=TRUE,1,0),2)</f>
        <v/>
      </c>
      <c r="Z26" s="525">
        <f>IFERROR(SUMPRODUCT(--(_xlfn.ISFORMULA(L26)=FALSE),--(C26&lt;&gt;"Other Projects"),--(AC26&lt;&gt;TRUE),L26),0)</f>
        <v/>
      </c>
      <c r="AA26" s="512">
        <f>IFERROR(SUMPRODUCT(--(_xlfn.ISFORMULA(L26)=FALSE),--(C26&lt;&gt;"Other Projects"),--(G26="Yes"),--(AC26&lt;&gt;TRUE),L26),0)</f>
        <v/>
      </c>
      <c r="AB26" s="512">
        <f>IF(_xlfn.ISFORMULA(L26)=TRUE,0,AB25-1)</f>
        <v/>
      </c>
      <c r="AC26" s="512" t="n"/>
    </row>
    <row r="27" outlineLevel="1" ht="63.75" customHeight="1">
      <c r="A27" s="515" t="n"/>
      <c r="B27" s="526" t="inlineStr">
        <is>
          <t>Upstream</t>
        </is>
      </c>
      <c r="C27" s="530" t="inlineStr">
        <is>
          <t>[Input of the project name]</t>
        </is>
      </c>
      <c r="D27" s="531" t="inlineStr">
        <is>
          <t>[input: brief description of the project, including:</t>
        </is>
      </c>
      <c r="E27" s="518">
        <f>IF(ISBLANK(C27)=FALSE,"thsd</f>
        <v/>
      </c>
      <c r="F27" s="518">
        <f>IF(ISBLANK(C27)=FALSE,"+","")</f>
        <v/>
      </c>
      <c r="G27" s="532" t="n"/>
      <c r="H27" s="533" t="n"/>
      <c r="I27" s="533" t="n"/>
      <c r="J27" s="536" t="n"/>
      <c r="K27" s="537" t="n"/>
      <c r="L27" s="534" t="n"/>
      <c r="M27" s="534" t="n"/>
      <c r="N27" s="534" t="n"/>
      <c r="O27" s="534" t="n"/>
      <c r="P27" s="534" t="n"/>
      <c r="Q27" s="522">
        <f>IFERROR((O27-P27),"N/A")</f>
        <v/>
      </c>
      <c r="R27" s="523">
        <f>IFERROR((O27-P27)/ABS(P27),"N/A")</f>
        <v/>
      </c>
      <c r="S27" s="537" t="n"/>
      <c r="T27" s="538" t="n"/>
      <c r="U27" s="538" t="n"/>
      <c r="V27" s="522">
        <f>IFERROR((T27-U27),"N/A")</f>
        <v/>
      </c>
      <c r="W27" s="523">
        <f>IFERROR((T27-U27)/ABS(U27),"N/A")</f>
        <v/>
      </c>
      <c r="X27" s="537" t="n"/>
      <c r="Y27" s="512">
        <f>IF(ISNUMBER(SEARCH("SUMPRODUCT",_xlfn.FORMULATEXT(L27),1))=FALSE,IF(ISNUMBER(SEARCH("INDIRECT",_xlfn.FORMULATEXT(L27),1))=TRUE,1,0),2)</f>
        <v/>
      </c>
      <c r="Z27" s="525">
        <f>IFERROR(SUMPRODUCT(--(_xlfn.ISFORMULA(L27)=FALSE),--(C27&lt;&gt;"Other Projects"),--(AC27&lt;&gt;TRUE),L27),0)</f>
        <v/>
      </c>
      <c r="AA27" s="512">
        <f>IFERROR(SUMPRODUCT(--(_xlfn.ISFORMULA(L27)=FALSE),--(C27&lt;&gt;"Other Projects"),--(G27="Yes"),--(AC27&lt;&gt;TRUE),L27),0)</f>
        <v/>
      </c>
      <c r="AB27" s="512">
        <f>IF(_xlfn.ISFORMULA(L27)=TRUE,0,AB26-1)</f>
        <v/>
      </c>
      <c r="AC27" s="512" t="n"/>
    </row>
    <row r="28" outlineLevel="1" ht="63.75" customHeight="1">
      <c r="A28" s="515" t="n"/>
      <c r="B28" s="526" t="inlineStr">
        <is>
          <t>Upstream</t>
        </is>
      </c>
      <c r="C28" s="530" t="inlineStr">
        <is>
          <t>[Input of the project name]</t>
        </is>
      </c>
      <c r="D28" s="531" t="inlineStr">
        <is>
          <t>[input: brief description of the project, including:</t>
        </is>
      </c>
      <c r="E28" s="518">
        <f>IF(ISBLANK(C28)=FALSE,"thsd</f>
        <v/>
      </c>
      <c r="F28" s="518">
        <f>IF(ISBLANK(C28)=FALSE,"+","")</f>
        <v/>
      </c>
      <c r="G28" s="532" t="n"/>
      <c r="H28" s="533" t="n"/>
      <c r="I28" s="533" t="n"/>
      <c r="J28" s="536" t="n"/>
      <c r="K28" s="537" t="n"/>
      <c r="L28" s="534" t="n"/>
      <c r="M28" s="534" t="n"/>
      <c r="N28" s="534" t="n"/>
      <c r="O28" s="534" t="n"/>
      <c r="P28" s="534" t="n"/>
      <c r="Q28" s="522">
        <f>IFERROR((O28-P28),"N/A")</f>
        <v/>
      </c>
      <c r="R28" s="523">
        <f>IFERROR((O28-P28)/ABS(P28),"N/A")</f>
        <v/>
      </c>
      <c r="S28" s="537" t="n"/>
      <c r="T28" s="538" t="n"/>
      <c r="U28" s="538" t="n"/>
      <c r="V28" s="522">
        <f>IFERROR((T28-U28),"N/A")</f>
        <v/>
      </c>
      <c r="W28" s="523">
        <f>IFERROR((T28-U28)/ABS(U28),"N/A")</f>
        <v/>
      </c>
      <c r="X28" s="537" t="n"/>
      <c r="Y28" s="512">
        <f>IF(ISNUMBER(SEARCH("SUMPRODUCT",_xlfn.FORMULATEXT(L28),1))=FALSE,IF(ISNUMBER(SEARCH("INDIRECT",_xlfn.FORMULATEXT(L28),1))=TRUE,1,0),2)</f>
        <v/>
      </c>
      <c r="Z28" s="525">
        <f>IFERROR(SUMPRODUCT(--(_xlfn.ISFORMULA(L28)=FALSE),--(C28&lt;&gt;"Other Projects"),--(AC28&lt;&gt;TRUE),L28),0)</f>
        <v/>
      </c>
      <c r="AA28" s="512">
        <f>IFERROR(SUMPRODUCT(--(_xlfn.ISFORMULA(L28)=FALSE),--(C28&lt;&gt;"Other Projects"),--(G28="Yes"),--(AC28&lt;&gt;TRUE),L28),0)</f>
        <v/>
      </c>
      <c r="AB28" s="512">
        <f>IF(_xlfn.ISFORMULA(L28)=TRUE,0,AB27-1)</f>
        <v/>
      </c>
      <c r="AC28" s="512" t="n"/>
    </row>
    <row r="29" outlineLevel="1" ht="63.75" customHeight="1">
      <c r="A29" s="515" t="n"/>
      <c r="B29" s="526" t="inlineStr">
        <is>
          <t>Upstream</t>
        </is>
      </c>
      <c r="C29" s="530" t="inlineStr">
        <is>
          <t>[Input of the project name]</t>
        </is>
      </c>
      <c r="D29" s="531" t="inlineStr">
        <is>
          <t>[input: brief description of the project, including:</t>
        </is>
      </c>
      <c r="E29" s="518">
        <f>IF(ISBLANK(C29)=FALSE,"thsd</f>
        <v/>
      </c>
      <c r="F29" s="518">
        <f>IF(ISBLANK(C29)=FALSE,"+","")</f>
        <v/>
      </c>
      <c r="G29" s="532" t="n"/>
      <c r="H29" s="533" t="n"/>
      <c r="I29" s="533" t="n"/>
      <c r="J29" s="536" t="n"/>
      <c r="K29" s="537" t="n"/>
      <c r="L29" s="534" t="n"/>
      <c r="M29" s="534" t="n"/>
      <c r="N29" s="534" t="n"/>
      <c r="O29" s="534" t="n"/>
      <c r="P29" s="534" t="n"/>
      <c r="Q29" s="522">
        <f>IFERROR((O29-P29),"N/A")</f>
        <v/>
      </c>
      <c r="R29" s="523">
        <f>IFERROR((O29-P29)/ABS(P29),"N/A")</f>
        <v/>
      </c>
      <c r="S29" s="537" t="n"/>
      <c r="T29" s="538" t="n"/>
      <c r="U29" s="538" t="n"/>
      <c r="V29" s="522">
        <f>IFERROR((T29-U29),"N/A")</f>
        <v/>
      </c>
      <c r="W29" s="523">
        <f>IFERROR((T29-U29)/ABS(U29),"N/A")</f>
        <v/>
      </c>
      <c r="X29" s="537" t="n"/>
      <c r="Y29" s="512">
        <f>IF(ISNUMBER(SEARCH("SUMPRODUCT",_xlfn.FORMULATEXT(L29),1))=FALSE,IF(ISNUMBER(SEARCH("INDIRECT",_xlfn.FORMULATEXT(L29),1))=TRUE,1,0),2)</f>
        <v/>
      </c>
      <c r="Z29" s="525">
        <f>IFERROR(SUMPRODUCT(--(_xlfn.ISFORMULA(L29)=FALSE),--(C29&lt;&gt;"Other Projects"),--(AC29&lt;&gt;TRUE),L29),0)</f>
        <v/>
      </c>
      <c r="AA29" s="512">
        <f>IFERROR(SUMPRODUCT(--(_xlfn.ISFORMULA(L29)=FALSE),--(C29&lt;&gt;"Other Projects"),--(G29="Yes"),--(AC29&lt;&gt;TRUE),L29),0)</f>
        <v/>
      </c>
      <c r="AB29" s="512">
        <f>IF(_xlfn.ISFORMULA(L29)=TRUE,0,AB28-1)</f>
        <v/>
      </c>
      <c r="AC29" s="512" t="n"/>
    </row>
    <row r="30" outlineLevel="1" ht="63.75" customHeight="1">
      <c r="A30" s="515" t="n"/>
      <c r="B30" s="526" t="inlineStr">
        <is>
          <t>Upstream</t>
        </is>
      </c>
      <c r="C30" s="530" t="inlineStr">
        <is>
          <t>[Input of the project name]</t>
        </is>
      </c>
      <c r="D30" s="531" t="inlineStr">
        <is>
          <t>[input: brief description of the project, including:</t>
        </is>
      </c>
      <c r="E30" s="518">
        <f>IF(ISBLANK(C30)=FALSE,"thsd</f>
        <v/>
      </c>
      <c r="F30" s="518">
        <f>IF(ISBLANK(C30)=FALSE,"+","")</f>
        <v/>
      </c>
      <c r="G30" s="532" t="n"/>
      <c r="H30" s="533" t="n"/>
      <c r="I30" s="533" t="n"/>
      <c r="J30" s="536" t="n"/>
      <c r="K30" s="537" t="n"/>
      <c r="L30" s="534" t="n"/>
      <c r="M30" s="534" t="n"/>
      <c r="N30" s="534" t="n"/>
      <c r="O30" s="534" t="n"/>
      <c r="P30" s="534" t="n"/>
      <c r="Q30" s="522">
        <f>IFERROR((O30-P30),"N/A")</f>
        <v/>
      </c>
      <c r="R30" s="523">
        <f>IFERROR((O30-P30)/ABS(P30),"N/A")</f>
        <v/>
      </c>
      <c r="S30" s="537" t="n"/>
      <c r="T30" s="538" t="n"/>
      <c r="U30" s="538" t="n"/>
      <c r="V30" s="522">
        <f>IFERROR((T30-U30),"N/A")</f>
        <v/>
      </c>
      <c r="W30" s="523">
        <f>IFERROR((T30-U30)/ABS(U30),"N/A")</f>
        <v/>
      </c>
      <c r="X30" s="537" t="n"/>
      <c r="Y30" s="512">
        <f>IF(ISNUMBER(SEARCH("SUMPRODUCT",_xlfn.FORMULATEXT(L30),1))=FALSE,IF(ISNUMBER(SEARCH("INDIRECT",_xlfn.FORMULATEXT(L30),1))=TRUE,1,0),2)</f>
        <v/>
      </c>
      <c r="Z30" s="525">
        <f>IFERROR(SUMPRODUCT(--(_xlfn.ISFORMULA(L30)=FALSE),--(C30&lt;&gt;"Other Projects"),--(AC30&lt;&gt;TRUE),L30),0)</f>
        <v/>
      </c>
      <c r="AA30" s="512">
        <f>IFERROR(SUMPRODUCT(--(_xlfn.ISFORMULA(L30)=FALSE),--(C30&lt;&gt;"Other Projects"),--(G30="Yes"),--(AC30&lt;&gt;TRUE),L30),0)</f>
        <v/>
      </c>
      <c r="AB30" s="512">
        <f>IF(_xlfn.ISFORMULA(L30)=TRUE,0,AB29-1)</f>
        <v/>
      </c>
      <c r="AC30" s="512" t="n"/>
    </row>
    <row r="31" outlineLevel="1" ht="63.75" customHeight="1">
      <c r="A31" s="515" t="n"/>
      <c r="B31" s="526" t="inlineStr">
        <is>
          <t>Upstream</t>
        </is>
      </c>
      <c r="C31" s="530" t="inlineStr">
        <is>
          <t>[Input of the project name]</t>
        </is>
      </c>
      <c r="D31" s="531" t="inlineStr">
        <is>
          <t>[input: brief description of the project, including:</t>
        </is>
      </c>
      <c r="E31" s="518">
        <f>IF(ISBLANK(C31)=FALSE,"thsd</f>
        <v/>
      </c>
      <c r="F31" s="518">
        <f>IF(ISBLANK(C31)=FALSE,"+","")</f>
        <v/>
      </c>
      <c r="G31" s="532" t="n"/>
      <c r="H31" s="533" t="n"/>
      <c r="I31" s="533" t="n"/>
      <c r="J31" s="536" t="n"/>
      <c r="K31" s="537" t="n"/>
      <c r="L31" s="534" t="n"/>
      <c r="M31" s="534" t="n"/>
      <c r="N31" s="534" t="n"/>
      <c r="O31" s="534" t="n"/>
      <c r="P31" s="534" t="n"/>
      <c r="Q31" s="522">
        <f>IFERROR((O31-P31),"N/A")</f>
        <v/>
      </c>
      <c r="R31" s="523">
        <f>IFERROR((O31-P31)/ABS(P31),"N/A")</f>
        <v/>
      </c>
      <c r="S31" s="537" t="n"/>
      <c r="T31" s="538" t="n"/>
      <c r="U31" s="538" t="n"/>
      <c r="V31" s="522">
        <f>IFERROR((T31-U31),"N/A")</f>
        <v/>
      </c>
      <c r="W31" s="523">
        <f>IFERROR((T31-U31)/ABS(U31),"N/A")</f>
        <v/>
      </c>
      <c r="X31" s="537" t="n"/>
      <c r="Y31" s="512">
        <f>IF(ISNUMBER(SEARCH("SUMPRODUCT",_xlfn.FORMULATEXT(L31),1))=FALSE,IF(ISNUMBER(SEARCH("INDIRECT",_xlfn.FORMULATEXT(L31),1))=TRUE,1,0),2)</f>
        <v/>
      </c>
      <c r="Z31" s="525">
        <f>IFERROR(SUMPRODUCT(--(_xlfn.ISFORMULA(L31)=FALSE),--(C31&lt;&gt;"Other Projects"),--(AC31&lt;&gt;TRUE),L31),0)</f>
        <v/>
      </c>
      <c r="AA31" s="512">
        <f>IFERROR(SUMPRODUCT(--(_xlfn.ISFORMULA(L31)=FALSE),--(C31&lt;&gt;"Other Projects"),--(G31="Yes"),--(AC31&lt;&gt;TRUE),L31),0)</f>
        <v/>
      </c>
      <c r="AB31" s="512">
        <f>IF(_xlfn.ISFORMULA(L31)=TRUE,0,AB30-1)</f>
        <v/>
      </c>
      <c r="AC31" s="512" t="n"/>
    </row>
    <row r="32" outlineLevel="1" ht="63.75" customHeight="1">
      <c r="A32" s="515" t="n"/>
      <c r="B32" s="526" t="inlineStr">
        <is>
          <t>Upstream</t>
        </is>
      </c>
      <c r="C32" s="530" t="inlineStr">
        <is>
          <t>[Input of the project name]</t>
        </is>
      </c>
      <c r="D32" s="531" t="inlineStr">
        <is>
          <t>[input: brief description of the project, including:</t>
        </is>
      </c>
      <c r="E32" s="518">
        <f>IF(ISBLANK(C32)=FALSE,"thsd</f>
        <v/>
      </c>
      <c r="F32" s="518">
        <f>IF(ISBLANK(C32)=FALSE,"+","")</f>
        <v/>
      </c>
      <c r="G32" s="532" t="n"/>
      <c r="H32" s="533" t="n"/>
      <c r="I32" s="533" t="n"/>
      <c r="J32" s="536" t="n"/>
      <c r="K32" s="537" t="n"/>
      <c r="L32" s="534" t="n"/>
      <c r="M32" s="534" t="n"/>
      <c r="N32" s="534" t="n"/>
      <c r="O32" s="534" t="n"/>
      <c r="P32" s="534" t="n"/>
      <c r="Q32" s="522">
        <f>IFERROR((O32-P32),"N/A")</f>
        <v/>
      </c>
      <c r="R32" s="523">
        <f>IFERROR((O32-P32)/ABS(P32),"N/A")</f>
        <v/>
      </c>
      <c r="S32" s="537" t="n"/>
      <c r="T32" s="538" t="n"/>
      <c r="U32" s="538" t="n"/>
      <c r="V32" s="522">
        <f>IFERROR((T32-U32),"N/A")</f>
        <v/>
      </c>
      <c r="W32" s="523">
        <f>IFERROR((T32-U32)/ABS(U32),"N/A")</f>
        <v/>
      </c>
      <c r="X32" s="537" t="n"/>
      <c r="Y32" s="512">
        <f>IF(ISNUMBER(SEARCH("SUMPRODUCT",_xlfn.FORMULATEXT(L32),1))=FALSE,IF(ISNUMBER(SEARCH("INDIRECT",_xlfn.FORMULATEXT(L32),1))=TRUE,1,0),2)</f>
        <v/>
      </c>
      <c r="Z32" s="525">
        <f>IFERROR(SUMPRODUCT(--(_xlfn.ISFORMULA(L32)=FALSE),--(C32&lt;&gt;"Other Projects"),--(AC32&lt;&gt;TRUE),L32),0)</f>
        <v/>
      </c>
      <c r="AA32" s="512">
        <f>IFERROR(SUMPRODUCT(--(_xlfn.ISFORMULA(L32)=FALSE),--(C32&lt;&gt;"Other Projects"),--(G32="Yes"),--(AC32&lt;&gt;TRUE),L32),0)</f>
        <v/>
      </c>
      <c r="AB32" s="512">
        <f>IF(_xlfn.ISFORMULA(L32)=TRUE,0,AB31-1)</f>
        <v/>
      </c>
      <c r="AC32" s="512" t="n"/>
    </row>
    <row r="33" outlineLevel="1" ht="63.75" customHeight="1">
      <c r="A33" s="515" t="n"/>
      <c r="B33" s="526" t="inlineStr">
        <is>
          <t>Upstream</t>
        </is>
      </c>
      <c r="C33" s="530" t="inlineStr">
        <is>
          <t>[Input of the project name]</t>
        </is>
      </c>
      <c r="D33" s="531" t="inlineStr">
        <is>
          <t>[input: brief description of the project, including:</t>
        </is>
      </c>
      <c r="E33" s="518">
        <f>IF(ISBLANK(C33)=FALSE,"thsd</f>
        <v/>
      </c>
      <c r="F33" s="518">
        <f>IF(ISBLANK(C33)=FALSE,"+","")</f>
        <v/>
      </c>
      <c r="G33" s="532" t="n"/>
      <c r="H33" s="533" t="n"/>
      <c r="I33" s="533" t="n"/>
      <c r="J33" s="536" t="n"/>
      <c r="K33" s="537" t="n"/>
      <c r="L33" s="534" t="n"/>
      <c r="M33" s="534" t="n"/>
      <c r="N33" s="534" t="n"/>
      <c r="O33" s="534" t="n"/>
      <c r="P33" s="534" t="n"/>
      <c r="Q33" s="522">
        <f>IFERROR((O33-P33),"N/A")</f>
        <v/>
      </c>
      <c r="R33" s="523">
        <f>IFERROR((O33-P33)/ABS(P33),"N/A")</f>
        <v/>
      </c>
      <c r="S33" s="537" t="n"/>
      <c r="T33" s="538" t="n"/>
      <c r="U33" s="538" t="n"/>
      <c r="V33" s="522">
        <f>IFERROR((T33-U33),"N/A")</f>
        <v/>
      </c>
      <c r="W33" s="523">
        <f>IFERROR((T33-U33)/ABS(U33),"N/A")</f>
        <v/>
      </c>
      <c r="X33" s="537" t="n"/>
      <c r="Y33" s="512">
        <f>IF(ISNUMBER(SEARCH("SUMPRODUCT",_xlfn.FORMULATEXT(L33),1))=FALSE,IF(ISNUMBER(SEARCH("INDIRECT",_xlfn.FORMULATEXT(L33),1))=TRUE,1,0),2)</f>
        <v/>
      </c>
      <c r="Z33" s="525">
        <f>IFERROR(SUMPRODUCT(--(_xlfn.ISFORMULA(L33)=FALSE),--(C33&lt;&gt;"Other Projects"),--(AC33&lt;&gt;TRUE),L33),0)</f>
        <v/>
      </c>
      <c r="AA33" s="512">
        <f>IFERROR(SUMPRODUCT(--(_xlfn.ISFORMULA(L33)=FALSE),--(C33&lt;&gt;"Other Projects"),--(G33="Yes"),--(AC33&lt;&gt;TRUE),L33),0)</f>
        <v/>
      </c>
      <c r="AB33" s="512">
        <f>IF(_xlfn.ISFORMULA(L33)=TRUE,0,AB32-1)</f>
        <v/>
      </c>
      <c r="AC33" s="512" t="n"/>
    </row>
    <row r="34" outlineLevel="1">
      <c r="A34" s="515" t="n"/>
      <c r="B34" s="526" t="inlineStr">
        <is>
          <t>Upstream</t>
        </is>
      </c>
      <c r="C34" s="539" t="inlineStr">
        <is>
          <t>Other projects</t>
        </is>
      </c>
      <c r="D34" s="540" t="n"/>
      <c r="E34" s="518">
        <f>IF(ISBLANK(C34)=FALSE,"thsd</f>
        <v/>
      </c>
      <c r="F34" s="518">
        <f>IF(ISBLANK(C34)=FALSE,"+","")</f>
        <v/>
      </c>
      <c r="G34" s="532" t="n"/>
      <c r="H34" s="533" t="n"/>
      <c r="I34" s="533" t="n"/>
      <c r="J34" s="536" t="n"/>
      <c r="K34" s="537" t="n"/>
      <c r="L34" s="534" t="n"/>
      <c r="M34" s="534" t="n"/>
      <c r="N34" s="534" t="n"/>
      <c r="O34" s="534" t="n"/>
      <c r="P34" s="534" t="n"/>
      <c r="Q34" s="522">
        <f>IFERROR((O34-P34),"N/A")</f>
        <v/>
      </c>
      <c r="R34" s="523">
        <f>IFERROR((O34-P34)/ABS(P34),"N/A")</f>
        <v/>
      </c>
      <c r="S34" s="537" t="n"/>
      <c r="T34" s="538" t="n"/>
      <c r="U34" s="538" t="n"/>
      <c r="V34" s="522">
        <f>IFERROR((T34-U34),"N/A")</f>
        <v/>
      </c>
      <c r="W34" s="523">
        <f>IFERROR((T34-U34)/ABS(U34),"N/A")</f>
        <v/>
      </c>
      <c r="X34" s="537" t="n"/>
      <c r="Y34" s="512">
        <f>IF(ISNUMBER(SEARCH("SUMPRODUCT",_xlfn.FORMULATEXT(L34),1))=FALSE,IF(ISNUMBER(SEARCH("INDIRECT",_xlfn.FORMULATEXT(L34),1))=TRUE,1,0),2)</f>
        <v/>
      </c>
      <c r="Z34" s="525">
        <f>IFERROR(SUMPRODUCT(--(_xlfn.ISFORMULA(L34)=FALSE),--(C34&lt;&gt;"Other Projects"),--(AC34&lt;&gt;TRUE),L34),0)</f>
        <v/>
      </c>
      <c r="AA34" s="512">
        <f>IFERROR(SUMPRODUCT(--(_xlfn.ISFORMULA(L34)=FALSE),--(C34&lt;&gt;"Other Projects"),--(G34="Yes"),--(AC34&lt;&gt;TRUE),L34),0)</f>
        <v/>
      </c>
      <c r="AB34" s="512">
        <f>IF(_xlfn.ISFORMULA(L34)=TRUE,0,AB33-1)</f>
        <v/>
      </c>
      <c r="AC34" s="512" t="n"/>
    </row>
    <row r="35" outlineLevel="1" ht="15" customHeight="1">
      <c r="A35" s="515" t="n"/>
      <c r="B35" s="526" t="inlineStr">
        <is>
          <t>Upstream</t>
        </is>
      </c>
      <c r="C35" s="527" t="inlineStr">
        <is>
          <t xml:space="preserve">All exploration drilling projects </t>
        </is>
      </c>
      <c r="D35" s="516" t="n"/>
      <c r="E35" s="518">
        <f>IF(ISBLANK(C35)=FALSE,"thsd</f>
        <v/>
      </c>
      <c r="F35" s="518">
        <f>IF(ISBLANK(C35)=FALSE,"+","")</f>
        <v/>
      </c>
      <c r="G35" s="519" t="n"/>
      <c r="H35" s="519" t="n"/>
      <c r="I35" s="519" t="n"/>
      <c r="J35" s="519" t="n"/>
      <c r="K35" s="537" t="n"/>
      <c r="L35" s="588">
        <f>SUM(INDIRECT(CHAR(COLUMN()+64)&amp;ROW(L36)&amp;":"&amp;IF(_xlfn.ISFORMULA(INDIRECT((ADDRESS(ROW()-1+MATCH(1,$Y36:$Y$261,0),COLUMN(),1,1)))),(ADDRESS(ROW()-2+MATCH(1,$Y36:$Y$261,0),COLUMN(),1,1)),(ADDRESS(ROW()-1+MATCH(1,$Y36:$Y$261,0),COLUMN(),1,1)))))</f>
        <v/>
      </c>
      <c r="M35" s="588">
        <f>SUM(INDIRECT(CHAR(COLUMN()+64)&amp;ROW(M36)&amp;":"&amp;IF(_xlfn.ISFORMULA(INDIRECT((ADDRESS(ROW()-1+MATCH(1,$Y36:$Y$261,0),COLUMN(),1,1)))),(ADDRESS(ROW()-2+MATCH(1,$Y36:$Y$261,0),COLUMN(),1,1)),(ADDRESS(ROW()-1+MATCH(1,$Y36:$Y$261,0),COLUMN(),1,1)))))</f>
        <v/>
      </c>
      <c r="N35" s="588">
        <f>SUM(INDIRECT(CHAR(COLUMN()+64)&amp;ROW(N36)&amp;":"&amp;IF(_xlfn.ISFORMULA(INDIRECT((ADDRESS(ROW()-1+MATCH(1,$Y36:$Y$261,0),COLUMN(),1,1)))),(ADDRESS(ROW()-2+MATCH(1,$Y36:$Y$261,0),COLUMN(),1,1)),(ADDRESS(ROW()-1+MATCH(1,$Y36:$Y$261,0),COLUMN(),1,1)))))</f>
        <v/>
      </c>
      <c r="O35" s="588">
        <f>SUM(INDIRECT(CHAR(COLUMN()+64)&amp;ROW(O36)&amp;":"&amp;IF(_xlfn.ISFORMULA(INDIRECT((ADDRESS(ROW()-1+MATCH(1,$Y36:$Y$261,0),COLUMN(),1,1)))),(ADDRESS(ROW()-2+MATCH(1,$Y36:$Y$261,0),COLUMN(),1,1)),(ADDRESS(ROW()-1+MATCH(1,$Y36:$Y$261,0),COLUMN(),1,1)))))</f>
        <v/>
      </c>
      <c r="P35" s="588">
        <f>SUM(INDIRECT(CHAR(COLUMN()+64)&amp;ROW(P36)&amp;":"&amp;IF(_xlfn.ISFORMULA(INDIRECT((ADDRESS(ROW()-1+MATCH(1,$Y36:$Y$261,0),COLUMN(),1,1)))),(ADDRESS(ROW()-2+MATCH(1,$Y36:$Y$261,0),COLUMN(),1,1)),(ADDRESS(ROW()-1+MATCH(1,$Y36:$Y$261,0),COLUMN(),1,1)))))</f>
        <v/>
      </c>
      <c r="Q35" s="522">
        <f>IFERROR((O35-P35),"N/A")</f>
        <v/>
      </c>
      <c r="R35" s="523">
        <f>IFERROR((O35-P35)/ABS(P35),"N/A")</f>
        <v/>
      </c>
      <c r="S35" s="537" t="n"/>
      <c r="T35" s="588">
        <f>SUM(INDIRECT(CHAR(COLUMN()+64)&amp;ROW(T36)&amp;":"&amp;IF(_xlfn.ISFORMULA(INDIRECT((ADDRESS(ROW()-1+MATCH(1,$Y36:$Y$261,0),COLUMN(),1,1)))),(ADDRESS(ROW()-2+MATCH(1,$Y36:$Y$261,0),COLUMN(),1,1)),(ADDRESS(ROW()-1+MATCH(1,$Y36:$Y$261,0),COLUMN(),1,1)))))</f>
        <v/>
      </c>
      <c r="U35" s="588">
        <f>SUM(INDIRECT(CHAR(COLUMN()+64)&amp;ROW(U36)&amp;":"&amp;IF(_xlfn.ISFORMULA(INDIRECT((ADDRESS(ROW()-1+MATCH(1,$Y36:$Y$261,0),COLUMN(),1,1)))),(ADDRESS(ROW()-2+MATCH(1,$Y36:$Y$261,0),COLUMN(),1,1)),(ADDRESS(ROW()-1+MATCH(1,$Y36:$Y$261,0),COLUMN(),1,1)))))</f>
        <v/>
      </c>
      <c r="V35" s="522">
        <f>IFERROR((T35-U35),"N/A")</f>
        <v/>
      </c>
      <c r="W35" s="523">
        <f>IFERROR((T35-U35)/ABS(U35),"N/A")</f>
        <v/>
      </c>
      <c r="X35" s="537" t="n"/>
      <c r="Y35" s="512">
        <f>IF(ISNUMBER(SEARCH("SUMPRODUCT",_xlfn.FORMULATEXT(L35),1))=FALSE,IF(ISNUMBER(SEARCH("INDIRECT",_xlfn.FORMULATEXT(L35),1))=TRUE,1,0),2)</f>
        <v/>
      </c>
      <c r="Z35" s="525">
        <f>IFERROR(SUMPRODUCT(--(_xlfn.ISFORMULA(L35)=FALSE),--(C35&lt;&gt;"Other Projects"),--(AC35&lt;&gt;TRUE),L35),0)</f>
        <v/>
      </c>
      <c r="AA35" s="512">
        <f>IFERROR(SUMPRODUCT(--(_xlfn.ISFORMULA(L35)=FALSE),--(C35&lt;&gt;"Other Projects"),--(G35="Yes"),--(AC35&lt;&gt;TRUE),L35),0)</f>
        <v/>
      </c>
      <c r="AB35" s="512">
        <f>IF(_xlfn.ISFORMULA(L35)=TRUE,0,AB34-1)</f>
        <v/>
      </c>
      <c r="AC35" s="512" t="n"/>
    </row>
    <row r="36" outlineLevel="1" ht="63.75" customHeight="1">
      <c r="A36" s="515" t="n"/>
      <c r="B36" s="526" t="inlineStr">
        <is>
          <t>Upstream</t>
        </is>
      </c>
      <c r="C36" s="530" t="inlineStr">
        <is>
          <t>[Input of the project name]</t>
        </is>
      </c>
      <c r="D36" s="531" t="inlineStr">
        <is>
          <t>[input: brief description of the project, including:</t>
        </is>
      </c>
      <c r="E36" s="518">
        <f>IF(ISBLANK(C36)=FALSE,"thsd</f>
        <v/>
      </c>
      <c r="F36" s="518">
        <f>IF(ISBLANK(C36)=FALSE,"+","")</f>
        <v/>
      </c>
      <c r="G36" s="532" t="n"/>
      <c r="H36" s="533" t="n"/>
      <c r="I36" s="533" t="n"/>
      <c r="J36" s="536" t="n"/>
      <c r="K36" s="537" t="n"/>
      <c r="L36" s="534" t="n"/>
      <c r="M36" s="534" t="n"/>
      <c r="N36" s="534" t="n"/>
      <c r="O36" s="534" t="n"/>
      <c r="P36" s="534" t="n"/>
      <c r="Q36" s="522">
        <f>IFERROR((O36-P36),"N/A")</f>
        <v/>
      </c>
      <c r="R36" s="523">
        <f>IFERROR((O36-P36)/ABS(P36),"N/A")</f>
        <v/>
      </c>
      <c r="S36" s="537" t="n"/>
      <c r="T36" s="537" t="n"/>
      <c r="U36" s="538" t="n"/>
      <c r="V36" s="522">
        <f>IFERROR((T36-U36),"N/A")</f>
        <v/>
      </c>
      <c r="W36" s="523">
        <f>IFERROR((T36-U36)/ABS(U36),"N/A")</f>
        <v/>
      </c>
      <c r="X36" s="537" t="n"/>
      <c r="Y36" s="512">
        <f>IF(ISNUMBER(SEARCH("SUMPRODUCT",_xlfn.FORMULATEXT(L36),1))=FALSE,IF(ISNUMBER(SEARCH("INDIRECT",_xlfn.FORMULATEXT(L36),1))=TRUE,1,0),2)</f>
        <v/>
      </c>
      <c r="Z36" s="525">
        <f>IFERROR(SUMPRODUCT(--(_xlfn.ISFORMULA(L36)=FALSE),--(C36&lt;&gt;"Other Projects"),--(AC36&lt;&gt;TRUE),L36),0)</f>
        <v/>
      </c>
      <c r="AA36" s="512">
        <f>IFERROR(SUMPRODUCT(--(_xlfn.ISFORMULA(L36)=FALSE),--(C36&lt;&gt;"Other Projects"),--(G36="Yes"),--(AC36&lt;&gt;TRUE),L36),0)</f>
        <v/>
      </c>
      <c r="AB36" s="512">
        <f>IF(_xlfn.ISFORMULA(L36)=TRUE,0,AB35-1)</f>
        <v/>
      </c>
      <c r="AC36" s="512" t="n"/>
    </row>
    <row r="37" outlineLevel="1" ht="63.75" customFormat="1" customHeight="1" s="266">
      <c r="A37" s="515" t="n"/>
      <c r="B37" s="526" t="inlineStr">
        <is>
          <t>Upstream</t>
        </is>
      </c>
      <c r="C37" s="530" t="inlineStr">
        <is>
          <t>[Input of the project name]</t>
        </is>
      </c>
      <c r="D37" s="531" t="inlineStr">
        <is>
          <t>[input: brief description of the project, including:</t>
        </is>
      </c>
      <c r="E37" s="518">
        <f>IF(ISBLANK(C37)=FALSE,"thsd</f>
        <v/>
      </c>
      <c r="F37" s="518">
        <f>IF(ISBLANK(C37)=FALSE,"+","")</f>
        <v/>
      </c>
      <c r="G37" s="532" t="n"/>
      <c r="H37" s="533" t="n"/>
      <c r="I37" s="533" t="n"/>
      <c r="J37" s="536" t="n"/>
      <c r="K37" s="537" t="n"/>
      <c r="L37" s="534" t="n"/>
      <c r="M37" s="534" t="n"/>
      <c r="N37" s="534" t="n"/>
      <c r="O37" s="534" t="n"/>
      <c r="P37" s="534" t="n"/>
      <c r="Q37" s="522">
        <f>IFERROR((O37-P37),"N/A")</f>
        <v/>
      </c>
      <c r="R37" s="523">
        <f>IFERROR((O37-P37)/ABS(P37),"N/A")</f>
        <v/>
      </c>
      <c r="S37" s="537" t="n"/>
      <c r="T37" s="538" t="n"/>
      <c r="U37" s="538" t="n"/>
      <c r="V37" s="522">
        <f>IFERROR((T37-U37),"N/A")</f>
        <v/>
      </c>
      <c r="W37" s="523">
        <f>IFERROR((T37-U37)/ABS(U37),"N/A")</f>
        <v/>
      </c>
      <c r="X37" s="537" t="n"/>
      <c r="Y37" s="512">
        <f>IF(ISNUMBER(SEARCH("SUMPRODUCT",_xlfn.FORMULATEXT(L37),1))=FALSE,IF(ISNUMBER(SEARCH("INDIRECT",_xlfn.FORMULATEXT(L37),1))=TRUE,1,0),2)</f>
        <v/>
      </c>
      <c r="Z37" s="525">
        <f>IFERROR(SUMPRODUCT(--(_xlfn.ISFORMULA(L37)=FALSE),--(C37&lt;&gt;"Other Projects"),--(AC37&lt;&gt;TRUE),L37),0)</f>
        <v/>
      </c>
      <c r="AA37" s="512">
        <f>IFERROR(SUMPRODUCT(--(_xlfn.ISFORMULA(L37)=FALSE),--(C37&lt;&gt;"Other Projects"),--(G37="Yes"),--(AC37&lt;&gt;TRUE),L37),0)</f>
        <v/>
      </c>
      <c r="AB37" s="512">
        <f>IF(_xlfn.ISFORMULA(L37)=TRUE,0,AB36-1)</f>
        <v/>
      </c>
      <c r="AC37" s="512" t="n"/>
    </row>
    <row r="38" outlineLevel="1" ht="63.75" customFormat="1" customHeight="1" s="266">
      <c r="A38" s="515" t="n"/>
      <c r="B38" s="526" t="inlineStr">
        <is>
          <t>Upstream</t>
        </is>
      </c>
      <c r="C38" s="530" t="inlineStr">
        <is>
          <t>[Input of the project name]</t>
        </is>
      </c>
      <c r="D38" s="531" t="inlineStr">
        <is>
          <t>[input: brief description of the project, including:</t>
        </is>
      </c>
      <c r="E38" s="518">
        <f>IF(ISBLANK(C38)=FALSE,"thsd</f>
        <v/>
      </c>
      <c r="F38" s="518">
        <f>IF(ISBLANK(C38)=FALSE,"+","")</f>
        <v/>
      </c>
      <c r="G38" s="532" t="n"/>
      <c r="H38" s="533" t="n"/>
      <c r="I38" s="533" t="n"/>
      <c r="J38" s="536" t="n"/>
      <c r="K38" s="537" t="n"/>
      <c r="L38" s="534" t="n"/>
      <c r="M38" s="534" t="n"/>
      <c r="N38" s="534" t="n"/>
      <c r="O38" s="534" t="n"/>
      <c r="P38" s="534" t="n"/>
      <c r="Q38" s="522">
        <f>IFERROR((O38-P38),"N/A")</f>
        <v/>
      </c>
      <c r="R38" s="523">
        <f>IFERROR((O38-P38)/ABS(P38),"N/A")</f>
        <v/>
      </c>
      <c r="S38" s="537" t="n"/>
      <c r="T38" s="538" t="n"/>
      <c r="U38" s="538" t="n"/>
      <c r="V38" s="522">
        <f>IFERROR((T38-U38),"N/A")</f>
        <v/>
      </c>
      <c r="W38" s="523">
        <f>IFERROR((T38-U38)/ABS(U38),"N/A")</f>
        <v/>
      </c>
      <c r="X38" s="537" t="n"/>
      <c r="Y38" s="512">
        <f>IF(ISNUMBER(SEARCH("SUMPRODUCT",_xlfn.FORMULATEXT(L38),1))=FALSE,IF(ISNUMBER(SEARCH("INDIRECT",_xlfn.FORMULATEXT(L38),1))=TRUE,1,0),2)</f>
        <v/>
      </c>
      <c r="Z38" s="525">
        <f>IFERROR(SUMPRODUCT(--(_xlfn.ISFORMULA(L38)=FALSE),--(C38&lt;&gt;"Other Projects"),--(AC38&lt;&gt;TRUE),L38),0)</f>
        <v/>
      </c>
      <c r="AA38" s="512">
        <f>IFERROR(SUMPRODUCT(--(_xlfn.ISFORMULA(L38)=FALSE),--(C38&lt;&gt;"Other Projects"),--(G38="Yes"),--(AC38&lt;&gt;TRUE),L38),0)</f>
        <v/>
      </c>
      <c r="AB38" s="512">
        <f>IF(_xlfn.ISFORMULA(L38)=TRUE,0,AB37-1)</f>
        <v/>
      </c>
      <c r="AC38" s="512" t="n"/>
    </row>
    <row r="39" outlineLevel="1" ht="63.75" customFormat="1" customHeight="1" s="266">
      <c r="A39" s="515" t="n"/>
      <c r="B39" s="526" t="inlineStr">
        <is>
          <t>Upstream</t>
        </is>
      </c>
      <c r="C39" s="530" t="inlineStr">
        <is>
          <t>[Input of the project name]</t>
        </is>
      </c>
      <c r="D39" s="531" t="inlineStr">
        <is>
          <t>[input: brief description of the project, including:</t>
        </is>
      </c>
      <c r="E39" s="518">
        <f>IF(ISBLANK(C39)=FALSE,"thsd</f>
        <v/>
      </c>
      <c r="F39" s="518">
        <f>IF(ISBLANK(C39)=FALSE,"+","")</f>
        <v/>
      </c>
      <c r="G39" s="532" t="n"/>
      <c r="H39" s="533" t="n"/>
      <c r="I39" s="533" t="n"/>
      <c r="J39" s="536" t="n"/>
      <c r="K39" s="537" t="n"/>
      <c r="L39" s="534" t="n"/>
      <c r="M39" s="534" t="n"/>
      <c r="N39" s="534" t="n"/>
      <c r="O39" s="534" t="n"/>
      <c r="P39" s="534" t="n"/>
      <c r="Q39" s="522">
        <f>IFERROR((O39-P39),"N/A")</f>
        <v/>
      </c>
      <c r="R39" s="523">
        <f>IFERROR((O39-P39)/ABS(P39),"N/A")</f>
        <v/>
      </c>
      <c r="S39" s="537" t="n"/>
      <c r="T39" s="538" t="n"/>
      <c r="U39" s="538" t="n"/>
      <c r="V39" s="522">
        <f>IFERROR((T39-U39),"N/A")</f>
        <v/>
      </c>
      <c r="W39" s="523">
        <f>IFERROR((T39-U39)/ABS(U39),"N/A")</f>
        <v/>
      </c>
      <c r="X39" s="537" t="n"/>
      <c r="Y39" s="512">
        <f>IF(ISNUMBER(SEARCH("SUMPRODUCT",_xlfn.FORMULATEXT(L39),1))=FALSE,IF(ISNUMBER(SEARCH("INDIRECT",_xlfn.FORMULATEXT(L39),1))=TRUE,1,0),2)</f>
        <v/>
      </c>
      <c r="Z39" s="525">
        <f>IFERROR(SUMPRODUCT(--(_xlfn.ISFORMULA(L39)=FALSE),--(C39&lt;&gt;"Other Projects"),--(AC39&lt;&gt;TRUE),L39),0)</f>
        <v/>
      </c>
      <c r="AA39" s="512">
        <f>IFERROR(SUMPRODUCT(--(_xlfn.ISFORMULA(L39)=FALSE),--(C39&lt;&gt;"Other Projects"),--(G39="Yes"),--(AC39&lt;&gt;TRUE),L39),0)</f>
        <v/>
      </c>
      <c r="AB39" s="512">
        <f>IF(_xlfn.ISFORMULA(L39)=TRUE,0,AB38-1)</f>
        <v/>
      </c>
      <c r="AC39" s="512" t="n"/>
    </row>
    <row r="40" outlineLevel="1" ht="63.75" customFormat="1" customHeight="1" s="266">
      <c r="A40" s="515" t="n"/>
      <c r="B40" s="526" t="inlineStr">
        <is>
          <t>Upstream</t>
        </is>
      </c>
      <c r="C40" s="530" t="inlineStr">
        <is>
          <t>[Input of the project name]</t>
        </is>
      </c>
      <c r="D40" s="531" t="inlineStr">
        <is>
          <t>[input: brief description of the project, including:</t>
        </is>
      </c>
      <c r="E40" s="518">
        <f>IF(ISBLANK(C40)=FALSE,"thsd</f>
        <v/>
      </c>
      <c r="F40" s="518">
        <f>IF(ISBLANK(C40)=FALSE,"+","")</f>
        <v/>
      </c>
      <c r="G40" s="532" t="n"/>
      <c r="H40" s="533" t="n"/>
      <c r="I40" s="533" t="n"/>
      <c r="J40" s="536" t="n"/>
      <c r="K40" s="537" t="n"/>
      <c r="L40" s="534" t="n"/>
      <c r="M40" s="534" t="n"/>
      <c r="N40" s="534" t="n"/>
      <c r="O40" s="534" t="n"/>
      <c r="P40" s="534" t="n"/>
      <c r="Q40" s="522">
        <f>IFERROR((O40-P40),"N/A")</f>
        <v/>
      </c>
      <c r="R40" s="523">
        <f>IFERROR((O40-P40)/ABS(P40),"N/A")</f>
        <v/>
      </c>
      <c r="S40" s="537" t="n"/>
      <c r="T40" s="538" t="n"/>
      <c r="U40" s="538" t="n"/>
      <c r="V40" s="522">
        <f>IFERROR((T40-U40),"N/A")</f>
        <v/>
      </c>
      <c r="W40" s="523">
        <f>IFERROR((T40-U40)/ABS(U40),"N/A")</f>
        <v/>
      </c>
      <c r="X40" s="537" t="n"/>
      <c r="Y40" s="512">
        <f>IF(ISNUMBER(SEARCH("SUMPRODUCT",_xlfn.FORMULATEXT(L40),1))=FALSE,IF(ISNUMBER(SEARCH("INDIRECT",_xlfn.FORMULATEXT(L40),1))=TRUE,1,0),2)</f>
        <v/>
      </c>
      <c r="Z40" s="525">
        <f>IFERROR(SUMPRODUCT(--(_xlfn.ISFORMULA(L40)=FALSE),--(C40&lt;&gt;"Other Projects"),--(AC40&lt;&gt;TRUE),L40),0)</f>
        <v/>
      </c>
      <c r="AA40" s="512">
        <f>IFERROR(SUMPRODUCT(--(_xlfn.ISFORMULA(L40)=FALSE),--(C40&lt;&gt;"Other Projects"),--(G40="Yes"),--(AC40&lt;&gt;TRUE),L40),0)</f>
        <v/>
      </c>
      <c r="AB40" s="512">
        <f>IF(_xlfn.ISFORMULA(L40)=TRUE,0,AB39-1)</f>
        <v/>
      </c>
      <c r="AC40" s="512" t="n"/>
    </row>
    <row r="41" outlineLevel="1" ht="63.75" customFormat="1" customHeight="1" s="266">
      <c r="A41" s="515" t="n"/>
      <c r="B41" s="526" t="inlineStr">
        <is>
          <t>Upstream</t>
        </is>
      </c>
      <c r="C41" s="530" t="inlineStr">
        <is>
          <t>[Input of the project name]</t>
        </is>
      </c>
      <c r="D41" s="531" t="inlineStr">
        <is>
          <t>[input: brief description of the project, including:</t>
        </is>
      </c>
      <c r="E41" s="518">
        <f>IF(ISBLANK(C41)=FALSE,"thsd</f>
        <v/>
      </c>
      <c r="F41" s="518">
        <f>IF(ISBLANK(C41)=FALSE,"+","")</f>
        <v/>
      </c>
      <c r="G41" s="532" t="n"/>
      <c r="H41" s="533" t="n"/>
      <c r="I41" s="533" t="n"/>
      <c r="J41" s="536" t="n"/>
      <c r="K41" s="537" t="n"/>
      <c r="L41" s="534" t="n"/>
      <c r="M41" s="534" t="n"/>
      <c r="N41" s="534" t="n"/>
      <c r="O41" s="534" t="n"/>
      <c r="P41" s="534" t="n"/>
      <c r="Q41" s="522">
        <f>IFERROR((O41-P41),"N/A")</f>
        <v/>
      </c>
      <c r="R41" s="523">
        <f>IFERROR((O41-P41)/ABS(P41),"N/A")</f>
        <v/>
      </c>
      <c r="S41" s="537" t="n"/>
      <c r="T41" s="538" t="n"/>
      <c r="U41" s="538" t="n"/>
      <c r="V41" s="522">
        <f>IFERROR((T41-U41),"N/A")</f>
        <v/>
      </c>
      <c r="W41" s="523">
        <f>IFERROR((T41-U41)/ABS(U41),"N/A")</f>
        <v/>
      </c>
      <c r="X41" s="537" t="n"/>
      <c r="Y41" s="512">
        <f>IF(ISNUMBER(SEARCH("SUMPRODUCT",_xlfn.FORMULATEXT(L41),1))=FALSE,IF(ISNUMBER(SEARCH("INDIRECT",_xlfn.FORMULATEXT(L41),1))=TRUE,1,0),2)</f>
        <v/>
      </c>
      <c r="Z41" s="525">
        <f>IFERROR(SUMPRODUCT(--(_xlfn.ISFORMULA(L41)=FALSE),--(C41&lt;&gt;"Other Projects"),--(AC41&lt;&gt;TRUE),L41),0)</f>
        <v/>
      </c>
      <c r="AA41" s="512">
        <f>IFERROR(SUMPRODUCT(--(_xlfn.ISFORMULA(L41)=FALSE),--(C41&lt;&gt;"Other Projects"),--(G41="Yes"),--(AC41&lt;&gt;TRUE),L41),0)</f>
        <v/>
      </c>
      <c r="AB41" s="512">
        <f>IF(_xlfn.ISFORMULA(L41)=TRUE,0,AB40-1)</f>
        <v/>
      </c>
      <c r="AC41" s="512" t="n"/>
    </row>
    <row r="42" outlineLevel="1" ht="63.75" customFormat="1" customHeight="1" s="266">
      <c r="A42" s="515" t="n"/>
      <c r="B42" s="526" t="inlineStr">
        <is>
          <t>Upstream</t>
        </is>
      </c>
      <c r="C42" s="530" t="inlineStr">
        <is>
          <t>[Input of the project name]</t>
        </is>
      </c>
      <c r="D42" s="531" t="inlineStr">
        <is>
          <t>[input: brief description of the project, including:</t>
        </is>
      </c>
      <c r="E42" s="518">
        <f>IF(ISBLANK(C42)=FALSE,"thsd</f>
        <v/>
      </c>
      <c r="F42" s="518">
        <f>IF(ISBLANK(C42)=FALSE,"+","")</f>
        <v/>
      </c>
      <c r="G42" s="532" t="n"/>
      <c r="H42" s="533" t="n"/>
      <c r="I42" s="533" t="n"/>
      <c r="J42" s="536" t="n"/>
      <c r="K42" s="537" t="n"/>
      <c r="L42" s="534" t="n"/>
      <c r="M42" s="534" t="n"/>
      <c r="N42" s="534" t="n"/>
      <c r="O42" s="534" t="n"/>
      <c r="P42" s="534" t="n"/>
      <c r="Q42" s="522">
        <f>IFERROR((O42-P42),"N/A")</f>
        <v/>
      </c>
      <c r="R42" s="523">
        <f>IFERROR((O42-P42)/ABS(P42),"N/A")</f>
        <v/>
      </c>
      <c r="S42" s="537" t="n"/>
      <c r="T42" s="538" t="n"/>
      <c r="U42" s="538" t="n"/>
      <c r="V42" s="522">
        <f>IFERROR((T42-U42),"N/A")</f>
        <v/>
      </c>
      <c r="W42" s="523">
        <f>IFERROR((T42-U42)/ABS(U42),"N/A")</f>
        <v/>
      </c>
      <c r="X42" s="537" t="n"/>
      <c r="Y42" s="512">
        <f>IF(ISNUMBER(SEARCH("SUMPRODUCT",_xlfn.FORMULATEXT(L42),1))=FALSE,IF(ISNUMBER(SEARCH("INDIRECT",_xlfn.FORMULATEXT(L42),1))=TRUE,1,0),2)</f>
        <v/>
      </c>
      <c r="Z42" s="525">
        <f>IFERROR(SUMPRODUCT(--(_xlfn.ISFORMULA(L42)=FALSE),--(C42&lt;&gt;"Other Projects"),--(AC42&lt;&gt;TRUE),L42),0)</f>
        <v/>
      </c>
      <c r="AA42" s="512">
        <f>IFERROR(SUMPRODUCT(--(_xlfn.ISFORMULA(L42)=FALSE),--(C42&lt;&gt;"Other Projects"),--(G42="Yes"),--(AC42&lt;&gt;TRUE),L42),0)</f>
        <v/>
      </c>
      <c r="AB42" s="512">
        <f>IF(_xlfn.ISFORMULA(L42)=TRUE,0,AB41-1)</f>
        <v/>
      </c>
      <c r="AC42" s="512" t="n"/>
    </row>
    <row r="43" outlineLevel="1" ht="63.75" customFormat="1" customHeight="1" s="266">
      <c r="A43" s="515" t="n"/>
      <c r="B43" s="526" t="inlineStr">
        <is>
          <t>Upstream</t>
        </is>
      </c>
      <c r="C43" s="530" t="inlineStr">
        <is>
          <t>[Input of the project name]</t>
        </is>
      </c>
      <c r="D43" s="531" t="inlineStr">
        <is>
          <t>[input: brief description of the project, including:</t>
        </is>
      </c>
      <c r="E43" s="518">
        <f>IF(ISBLANK(C43)=FALSE,"thsd</f>
        <v/>
      </c>
      <c r="F43" s="518">
        <f>IF(ISBLANK(C43)=FALSE,"+","")</f>
        <v/>
      </c>
      <c r="G43" s="532" t="n"/>
      <c r="H43" s="533" t="n"/>
      <c r="I43" s="533" t="n"/>
      <c r="J43" s="536" t="n"/>
      <c r="K43" s="537" t="n"/>
      <c r="L43" s="534" t="n"/>
      <c r="M43" s="534" t="n"/>
      <c r="N43" s="534" t="n"/>
      <c r="O43" s="534" t="n"/>
      <c r="P43" s="534" t="n"/>
      <c r="Q43" s="522">
        <f>IFERROR((O43-P43),"N/A")</f>
        <v/>
      </c>
      <c r="R43" s="523">
        <f>IFERROR((O43-P43)/ABS(P43),"N/A")</f>
        <v/>
      </c>
      <c r="S43" s="537" t="n"/>
      <c r="T43" s="538" t="n"/>
      <c r="U43" s="538" t="n"/>
      <c r="V43" s="522">
        <f>IFERROR((T43-U43),"N/A")</f>
        <v/>
      </c>
      <c r="W43" s="523">
        <f>IFERROR((T43-U43)/ABS(U43),"N/A")</f>
        <v/>
      </c>
      <c r="X43" s="537" t="n"/>
      <c r="Y43" s="512">
        <f>IF(ISNUMBER(SEARCH("SUMPRODUCT",_xlfn.FORMULATEXT(L43),1))=FALSE,IF(ISNUMBER(SEARCH("INDIRECT",_xlfn.FORMULATEXT(L43),1))=TRUE,1,0),2)</f>
        <v/>
      </c>
      <c r="Z43" s="525">
        <f>IFERROR(SUMPRODUCT(--(_xlfn.ISFORMULA(L43)=FALSE),--(C43&lt;&gt;"Other Projects"),--(AC43&lt;&gt;TRUE),L43),0)</f>
        <v/>
      </c>
      <c r="AA43" s="512">
        <f>IFERROR(SUMPRODUCT(--(_xlfn.ISFORMULA(L43)=FALSE),--(C43&lt;&gt;"Other Projects"),--(G43="Yes"),--(AC43&lt;&gt;TRUE),L43),0)</f>
        <v/>
      </c>
      <c r="AB43" s="512">
        <f>IF(_xlfn.ISFORMULA(L43)=TRUE,0,AB42-1)</f>
        <v/>
      </c>
      <c r="AC43" s="512" t="n"/>
    </row>
    <row r="44" outlineLevel="1" ht="63.75" customFormat="1" customHeight="1" s="266">
      <c r="A44" s="515" t="n"/>
      <c r="B44" s="526" t="inlineStr">
        <is>
          <t>Upstream</t>
        </is>
      </c>
      <c r="C44" s="530" t="inlineStr">
        <is>
          <t>[Input of the project name]</t>
        </is>
      </c>
      <c r="D44" s="531" t="inlineStr">
        <is>
          <t>[input: brief description of the project, including:</t>
        </is>
      </c>
      <c r="E44" s="518">
        <f>IF(ISBLANK(C44)=FALSE,"thsd</f>
        <v/>
      </c>
      <c r="F44" s="518">
        <f>IF(ISBLANK(C44)=FALSE,"+","")</f>
        <v/>
      </c>
      <c r="G44" s="532" t="n"/>
      <c r="H44" s="533" t="n"/>
      <c r="I44" s="533" t="n"/>
      <c r="J44" s="536" t="n"/>
      <c r="K44" s="537" t="n"/>
      <c r="L44" s="534" t="n"/>
      <c r="M44" s="534" t="n"/>
      <c r="N44" s="534" t="n"/>
      <c r="O44" s="534" t="n"/>
      <c r="P44" s="534" t="n"/>
      <c r="Q44" s="522">
        <f>IFERROR((O44-P44),"N/A")</f>
        <v/>
      </c>
      <c r="R44" s="523">
        <f>IFERROR((O44-P44)/ABS(P44),"N/A")</f>
        <v/>
      </c>
      <c r="S44" s="537" t="n"/>
      <c r="T44" s="538" t="n"/>
      <c r="U44" s="538" t="n"/>
      <c r="V44" s="522">
        <f>IFERROR((T44-U44),"N/A")</f>
        <v/>
      </c>
      <c r="W44" s="523">
        <f>IFERROR((T44-U44)/ABS(U44),"N/A")</f>
        <v/>
      </c>
      <c r="X44" s="537" t="n"/>
      <c r="Y44" s="512">
        <f>IF(ISNUMBER(SEARCH("SUMPRODUCT",_xlfn.FORMULATEXT(L44),1))=FALSE,IF(ISNUMBER(SEARCH("INDIRECT",_xlfn.FORMULATEXT(L44),1))=TRUE,1,0),2)</f>
        <v/>
      </c>
      <c r="Z44" s="525">
        <f>IFERROR(SUMPRODUCT(--(_xlfn.ISFORMULA(L44)=FALSE),--(C44&lt;&gt;"Other Projects"),--(AC44&lt;&gt;TRUE),L44),0)</f>
        <v/>
      </c>
      <c r="AA44" s="512">
        <f>IFERROR(SUMPRODUCT(--(_xlfn.ISFORMULA(L44)=FALSE),--(C44&lt;&gt;"Other Projects"),--(G44="Yes"),--(AC44&lt;&gt;TRUE),L44),0)</f>
        <v/>
      </c>
      <c r="AB44" s="512">
        <f>IF(_xlfn.ISFORMULA(L44)=TRUE,0,AB43-1)</f>
        <v/>
      </c>
      <c r="AC44" s="512" t="n"/>
    </row>
    <row r="45" outlineLevel="1" ht="63.75" customFormat="1" customHeight="1" s="266">
      <c r="A45" s="515" t="n"/>
      <c r="B45" s="526" t="inlineStr">
        <is>
          <t>Upstream</t>
        </is>
      </c>
      <c r="C45" s="530" t="inlineStr">
        <is>
          <t>[Input of the project name]</t>
        </is>
      </c>
      <c r="D45" s="531" t="inlineStr">
        <is>
          <t>[input: brief description of the project, including:</t>
        </is>
      </c>
      <c r="E45" s="518">
        <f>IF(ISBLANK(C45)=FALSE,"thsd</f>
        <v/>
      </c>
      <c r="F45" s="518">
        <f>IF(ISBLANK(C45)=FALSE,"+","")</f>
        <v/>
      </c>
      <c r="G45" s="532" t="n"/>
      <c r="H45" s="533" t="n"/>
      <c r="I45" s="533" t="n"/>
      <c r="J45" s="536" t="n"/>
      <c r="K45" s="537" t="n"/>
      <c r="L45" s="534" t="n"/>
      <c r="M45" s="534" t="n"/>
      <c r="N45" s="534" t="n"/>
      <c r="O45" s="534" t="n"/>
      <c r="P45" s="534" t="n"/>
      <c r="Q45" s="522">
        <f>IFERROR((O45-P45),"N/A")</f>
        <v/>
      </c>
      <c r="R45" s="523">
        <f>IFERROR((O45-P45)/ABS(P45),"N/A")</f>
        <v/>
      </c>
      <c r="S45" s="537" t="n"/>
      <c r="T45" s="538" t="n"/>
      <c r="U45" s="538" t="n"/>
      <c r="V45" s="522">
        <f>IFERROR((T45-U45),"N/A")</f>
        <v/>
      </c>
      <c r="W45" s="523">
        <f>IFERROR((T45-U45)/ABS(U45),"N/A")</f>
        <v/>
      </c>
      <c r="X45" s="537" t="n"/>
      <c r="Y45" s="512">
        <f>IF(ISNUMBER(SEARCH("SUMPRODUCT",_xlfn.FORMULATEXT(L45),1))=FALSE,IF(ISNUMBER(SEARCH("INDIRECT",_xlfn.FORMULATEXT(L45),1))=TRUE,1,0),2)</f>
        <v/>
      </c>
      <c r="Z45" s="525">
        <f>IFERROR(SUMPRODUCT(--(_xlfn.ISFORMULA(L45)=FALSE),--(C45&lt;&gt;"Other Projects"),--(AC45&lt;&gt;TRUE),L45),0)</f>
        <v/>
      </c>
      <c r="AA45" s="512">
        <f>IFERROR(SUMPRODUCT(--(_xlfn.ISFORMULA(L45)=FALSE),--(C45&lt;&gt;"Other Projects"),--(G45="Yes"),--(AC45&lt;&gt;TRUE),L45),0)</f>
        <v/>
      </c>
      <c r="AB45" s="512">
        <f>IF(_xlfn.ISFORMULA(L45)=TRUE,0,AB44-1)</f>
        <v/>
      </c>
      <c r="AC45" s="512" t="n"/>
    </row>
    <row r="46" outlineLevel="1" customFormat="1" s="266">
      <c r="A46" s="515" t="n"/>
      <c r="B46" s="526" t="inlineStr">
        <is>
          <t>Upstream</t>
        </is>
      </c>
      <c r="C46" s="526" t="inlineStr">
        <is>
          <t>Other projects</t>
        </is>
      </c>
      <c r="D46" s="540" t="n"/>
      <c r="E46" s="518">
        <f>IF(ISBLANK(C46)=FALSE,"thsd</f>
        <v/>
      </c>
      <c r="F46" s="518">
        <f>IF(ISBLANK(C46)=FALSE,"+","")</f>
        <v/>
      </c>
      <c r="G46" s="532" t="n"/>
      <c r="H46" s="533" t="n"/>
      <c r="I46" s="533" t="n"/>
      <c r="J46" s="536" t="n"/>
      <c r="K46" s="537" t="n"/>
      <c r="L46" s="534" t="n"/>
      <c r="M46" s="534" t="n"/>
      <c r="N46" s="534" t="n"/>
      <c r="O46" s="534" t="n"/>
      <c r="P46" s="534" t="n"/>
      <c r="Q46" s="522">
        <f>IFERROR((O46-P46),"N/A")</f>
        <v/>
      </c>
      <c r="R46" s="523">
        <f>IFERROR((O46-P46)/ABS(P46),"N/A")</f>
        <v/>
      </c>
      <c r="S46" s="537" t="n"/>
      <c r="T46" s="538" t="n"/>
      <c r="U46" s="538" t="n"/>
      <c r="V46" s="522">
        <f>IFERROR((T46-U46),"N/A")</f>
        <v/>
      </c>
      <c r="W46" s="523">
        <f>IFERROR((T46-U46)/ABS(U46),"N/A")</f>
        <v/>
      </c>
      <c r="X46" s="537" t="n"/>
      <c r="Y46" s="512">
        <f>IF(ISNUMBER(SEARCH("SUMPRODUCT",_xlfn.FORMULATEXT(L46),1))=FALSE,IF(ISNUMBER(SEARCH("INDIRECT",_xlfn.FORMULATEXT(L46),1))=TRUE,1,0),2)</f>
        <v/>
      </c>
      <c r="Z46" s="525">
        <f>IFERROR(SUMPRODUCT(--(_xlfn.ISFORMULA(L46)=FALSE),--(C46&lt;&gt;"Other Projects"),--(AC46&lt;&gt;TRUE),L46),0)</f>
        <v/>
      </c>
      <c r="AA46" s="512">
        <f>IFERROR(SUMPRODUCT(--(_xlfn.ISFORMULA(L46)=FALSE),--(C46&lt;&gt;"Other Projects"),--(G46="Yes"),--(AC46&lt;&gt;TRUE),L46),0)</f>
        <v/>
      </c>
      <c r="AB46" s="512">
        <f>IF(_xlfn.ISFORMULA(L46)=TRUE,0,AB45-1)</f>
        <v/>
      </c>
      <c r="AC46" s="512" t="n"/>
    </row>
    <row r="47" outlineLevel="1" ht="15" customFormat="1" customHeight="1" s="266">
      <c r="A47" s="515" t="n"/>
      <c r="B47" s="526" t="inlineStr">
        <is>
          <t>Upstream</t>
        </is>
      </c>
      <c r="C47" s="527" t="inlineStr">
        <is>
          <t xml:space="preserve">Construction and other type of projects </t>
        </is>
      </c>
      <c r="D47" s="516" t="n"/>
      <c r="E47" s="518">
        <f>IF(ISBLANK(C47)=FALSE,"thsd</f>
        <v/>
      </c>
      <c r="F47" s="518">
        <f>IF(ISBLANK(C47)=FALSE,"+","")</f>
        <v/>
      </c>
      <c r="G47" s="519" t="n"/>
      <c r="H47" s="519" t="n"/>
      <c r="I47" s="519" t="n"/>
      <c r="J47" s="519" t="n"/>
      <c r="K47" s="537" t="n"/>
      <c r="L47" s="588">
        <f>SUM(INDIRECT(CHAR(COLUMN()+64)&amp;ROW(L48)&amp;":"&amp;IF(_xlfn.ISFORMULA(INDIRECT((ADDRESS(ROW()-1+MATCH(1,$Y48:$Y$261,0),COLUMN(),1,1)))),(ADDRESS(ROW()-2+MATCH(1,$Y48:$Y$261,0),COLUMN(),1,1)),(ADDRESS(ROW()-1+MATCH(1,$Y48:$Y$261,0),COLUMN(),1,1)))))</f>
        <v/>
      </c>
      <c r="M47" s="588">
        <f>SUM(INDIRECT(CHAR(COLUMN()+64)&amp;ROW(M48)&amp;":"&amp;IF(_xlfn.ISFORMULA(INDIRECT((ADDRESS(ROW()-1+MATCH(1,$Y48:$Y$261,0),COLUMN(),1,1)))),(ADDRESS(ROW()-2+MATCH(1,$Y48:$Y$261,0),COLUMN(),1,1)),(ADDRESS(ROW()-1+MATCH(1,$Y48:$Y$261,0),COLUMN(),1,1)))))</f>
        <v/>
      </c>
      <c r="N47" s="588">
        <f>SUM(INDIRECT(CHAR(COLUMN()+64)&amp;ROW(N48)&amp;":"&amp;IF(_xlfn.ISFORMULA(INDIRECT((ADDRESS(ROW()-1+MATCH(1,$Y48:$Y$261,0),COLUMN(),1,1)))),(ADDRESS(ROW()-2+MATCH(1,$Y48:$Y$261,0),COLUMN(),1,1)),(ADDRESS(ROW()-1+MATCH(1,$Y48:$Y$261,0),COLUMN(),1,1)))))</f>
        <v/>
      </c>
      <c r="O47" s="588">
        <f>SUM(INDIRECT(CHAR(COLUMN()+64)&amp;ROW(O48)&amp;":"&amp;IF(_xlfn.ISFORMULA(INDIRECT((ADDRESS(ROW()-1+MATCH(1,$Y48:$Y$261,0),COLUMN(),1,1)))),(ADDRESS(ROW()-2+MATCH(1,$Y48:$Y$261,0),COLUMN(),1,1)),(ADDRESS(ROW()-1+MATCH(1,$Y48:$Y$261,0),COLUMN(),1,1)))))</f>
        <v/>
      </c>
      <c r="P47" s="588">
        <f>SUM(INDIRECT(CHAR(COLUMN()+64)&amp;ROW(P48)&amp;":"&amp;IF(_xlfn.ISFORMULA(INDIRECT((ADDRESS(ROW()-1+MATCH(1,$Y48:$Y$261,0),COLUMN(),1,1)))),(ADDRESS(ROW()-2+MATCH(1,$Y48:$Y$261,0),COLUMN(),1,1)),(ADDRESS(ROW()-1+MATCH(1,$Y48:$Y$261,0),COLUMN(),1,1)))))</f>
        <v/>
      </c>
      <c r="Q47" s="522">
        <f>IFERROR((O47-P47),"N/A")</f>
        <v/>
      </c>
      <c r="R47" s="523">
        <f>IFERROR((O47-P47)/ABS(P47),"N/A")</f>
        <v/>
      </c>
      <c r="S47" s="537" t="n"/>
      <c r="T47" s="588">
        <f>SUM(INDIRECT(CHAR(COLUMN()+64)&amp;ROW(T48)&amp;":"&amp;IF(_xlfn.ISFORMULA(INDIRECT((ADDRESS(ROW()-1+MATCH(1,$Y48:$Y$261,0),COLUMN(),1,1)))),(ADDRESS(ROW()-2+MATCH(1,$Y48:$Y$261,0),COLUMN(),1,1)),(ADDRESS(ROW()-1+MATCH(1,$Y48:$Y$261,0),COLUMN(),1,1)))))</f>
        <v/>
      </c>
      <c r="U47" s="588">
        <f>SUM(INDIRECT(CHAR(COLUMN()+64)&amp;ROW(U48)&amp;":"&amp;IF(_xlfn.ISFORMULA(INDIRECT((ADDRESS(ROW()-1+MATCH(1,$Y48:$Y$261,0),COLUMN(),1,1)))),(ADDRESS(ROW()-2+MATCH(1,$Y48:$Y$261,0),COLUMN(),1,1)),(ADDRESS(ROW()-1+MATCH(1,$Y48:$Y$261,0),COLUMN(),1,1)))))</f>
        <v/>
      </c>
      <c r="V47" s="522">
        <f>IFERROR((T47-U47),"N/A")</f>
        <v/>
      </c>
      <c r="W47" s="523">
        <f>IFERROR((T47-U47)/ABS(U47),"N/A")</f>
        <v/>
      </c>
      <c r="X47" s="537" t="n"/>
      <c r="Y47" s="512">
        <f>IF(ISNUMBER(SEARCH("SUMPRODUCT",_xlfn.FORMULATEXT(L47),1))=FALSE,IF(ISNUMBER(SEARCH("INDIRECT",_xlfn.FORMULATEXT(L47),1))=TRUE,1,0),2)</f>
        <v/>
      </c>
      <c r="Z47" s="525">
        <f>IFERROR(SUMPRODUCT(--(_xlfn.ISFORMULA(L47)=FALSE),--(C47&lt;&gt;"Other Projects"),--(AC47&lt;&gt;TRUE),L47),0)</f>
        <v/>
      </c>
      <c r="AA47" s="512">
        <f>IFERROR(SUMPRODUCT(--(_xlfn.ISFORMULA(L47)=FALSE),--(C47&lt;&gt;"Other Projects"),--(G47="Yes"),--(AC47&lt;&gt;TRUE),L47),0)</f>
        <v/>
      </c>
      <c r="AB47" s="512">
        <f>IF(_xlfn.ISFORMULA(L47)=TRUE,0,AB46-1)</f>
        <v/>
      </c>
      <c r="AC47" s="512" t="n"/>
    </row>
    <row r="48" outlineLevel="1" ht="63.75" customFormat="1" customHeight="1" s="266">
      <c r="A48" s="515" t="n"/>
      <c r="B48" s="526" t="inlineStr">
        <is>
          <t>Upstream</t>
        </is>
      </c>
      <c r="C48" s="530" t="inlineStr">
        <is>
          <t>[Input of the project name]</t>
        </is>
      </c>
      <c r="D48" s="531" t="inlineStr">
        <is>
          <t>[input: brief description of the project, including:</t>
        </is>
      </c>
      <c r="E48" s="518">
        <f>IF(ISBLANK(C48)=FALSE,"thsd</f>
        <v/>
      </c>
      <c r="F48" s="518">
        <f>IF(ISBLANK(C48)=FALSE,"+","")</f>
        <v/>
      </c>
      <c r="G48" s="532" t="n"/>
      <c r="H48" s="533" t="n"/>
      <c r="I48" s="533" t="n"/>
      <c r="J48" s="536" t="n"/>
      <c r="K48" s="537" t="n"/>
      <c r="L48" s="534" t="n"/>
      <c r="M48" s="534" t="n"/>
      <c r="N48" s="534" t="n"/>
      <c r="O48" s="534" t="n"/>
      <c r="P48" s="534" t="n"/>
      <c r="Q48" s="522">
        <f>IFERROR((O48-P48),"N/A")</f>
        <v/>
      </c>
      <c r="R48" s="523">
        <f>IFERROR((O48-P48)/ABS(P48),"N/A")</f>
        <v/>
      </c>
      <c r="S48" s="537" t="n"/>
      <c r="T48" s="538" t="n"/>
      <c r="U48" s="538" t="n"/>
      <c r="V48" s="522">
        <f>IFERROR((T48-U48),"N/A")</f>
        <v/>
      </c>
      <c r="W48" s="523">
        <f>IFERROR((T48-U48)/ABS(U48),"N/A")</f>
        <v/>
      </c>
      <c r="X48" s="537" t="n"/>
      <c r="Y48" s="512">
        <f>IF(ISNUMBER(SEARCH("SUMPRODUCT",_xlfn.FORMULATEXT(L48),1))=FALSE,IF(ISNUMBER(SEARCH("INDIRECT",_xlfn.FORMULATEXT(L48),1))=TRUE,1,0),2)</f>
        <v/>
      </c>
      <c r="Z48" s="525">
        <f>IFERROR(SUMPRODUCT(--(_xlfn.ISFORMULA(L48)=FALSE),--(C48&lt;&gt;"Other Projects"),--(AC48&lt;&gt;TRUE),L48),0)</f>
        <v/>
      </c>
      <c r="AA48" s="512">
        <f>IFERROR(SUMPRODUCT(--(_xlfn.ISFORMULA(L48)=FALSE),--(C48&lt;&gt;"Other Projects"),--(G48="Yes"),--(AC48&lt;&gt;TRUE),L48),0)</f>
        <v/>
      </c>
      <c r="AB48" s="512">
        <f>IF(_xlfn.ISFORMULA(L48)=TRUE,0,AB47-1)</f>
        <v/>
      </c>
      <c r="AC48" s="512" t="n"/>
    </row>
    <row r="49" outlineLevel="1" ht="63.75" customFormat="1" customHeight="1" s="266">
      <c r="A49" s="515" t="n"/>
      <c r="B49" s="526" t="inlineStr">
        <is>
          <t>Upstream</t>
        </is>
      </c>
      <c r="C49" s="530" t="inlineStr">
        <is>
          <t>[Input of the project name]</t>
        </is>
      </c>
      <c r="D49" s="531" t="inlineStr">
        <is>
          <t>[input: brief description of the project, including:</t>
        </is>
      </c>
      <c r="E49" s="518">
        <f>IF(ISBLANK(C49)=FALSE,"thsd</f>
        <v/>
      </c>
      <c r="F49" s="518">
        <f>IF(ISBLANK(C49)=FALSE,"+","")</f>
        <v/>
      </c>
      <c r="G49" s="532" t="n"/>
      <c r="H49" s="533" t="n"/>
      <c r="I49" s="533" t="n"/>
      <c r="J49" s="536" t="n"/>
      <c r="K49" s="537" t="n"/>
      <c r="L49" s="534" t="n"/>
      <c r="M49" s="534" t="n"/>
      <c r="N49" s="534" t="n"/>
      <c r="O49" s="534" t="n"/>
      <c r="P49" s="534" t="n"/>
      <c r="Q49" s="522">
        <f>IFERROR((O49-P49),"N/A")</f>
        <v/>
      </c>
      <c r="R49" s="523">
        <f>IFERROR((O49-P49)/ABS(P49),"N/A")</f>
        <v/>
      </c>
      <c r="S49" s="537" t="n"/>
      <c r="T49" s="538" t="n"/>
      <c r="U49" s="538" t="n"/>
      <c r="V49" s="522">
        <f>IFERROR((T49-U49),"N/A")</f>
        <v/>
      </c>
      <c r="W49" s="523">
        <f>IFERROR((T49-U49)/ABS(U49),"N/A")</f>
        <v/>
      </c>
      <c r="X49" s="537" t="n"/>
      <c r="Y49" s="512">
        <f>IF(ISNUMBER(SEARCH("SUMPRODUCT",_xlfn.FORMULATEXT(L49),1))=FALSE,IF(ISNUMBER(SEARCH("INDIRECT",_xlfn.FORMULATEXT(L49),1))=TRUE,1,0),2)</f>
        <v/>
      </c>
      <c r="Z49" s="525">
        <f>IFERROR(SUMPRODUCT(--(_xlfn.ISFORMULA(L49)=FALSE),--(C49&lt;&gt;"Other Projects"),--(AC49&lt;&gt;TRUE),L49),0)</f>
        <v/>
      </c>
      <c r="AA49" s="512">
        <f>IFERROR(SUMPRODUCT(--(_xlfn.ISFORMULA(L49)=FALSE),--(C49&lt;&gt;"Other Projects"),--(G49="Yes"),--(AC49&lt;&gt;TRUE),L49),0)</f>
        <v/>
      </c>
      <c r="AB49" s="512">
        <f>IF(_xlfn.ISFORMULA(L49)=TRUE,0,AB48-1)</f>
        <v/>
      </c>
      <c r="AC49" s="512" t="n"/>
    </row>
    <row r="50" outlineLevel="1" ht="63.75" customFormat="1" customHeight="1" s="266">
      <c r="A50" s="515" t="n"/>
      <c r="B50" s="526" t="inlineStr">
        <is>
          <t>Upstream</t>
        </is>
      </c>
      <c r="C50" s="530" t="inlineStr">
        <is>
          <t>[Input of the project name]</t>
        </is>
      </c>
      <c r="D50" s="531" t="inlineStr">
        <is>
          <t>[input: brief description of the project, including:</t>
        </is>
      </c>
      <c r="E50" s="518">
        <f>IF(ISBLANK(C50)=FALSE,"thsd</f>
        <v/>
      </c>
      <c r="F50" s="518">
        <f>IF(ISBLANK(C50)=FALSE,"+","")</f>
        <v/>
      </c>
      <c r="G50" s="532" t="n"/>
      <c r="H50" s="533" t="n"/>
      <c r="I50" s="533" t="n"/>
      <c r="J50" s="536" t="n"/>
      <c r="K50" s="537" t="n"/>
      <c r="L50" s="534" t="n"/>
      <c r="M50" s="534" t="n"/>
      <c r="N50" s="534" t="n"/>
      <c r="O50" s="534" t="n"/>
      <c r="P50" s="534" t="n"/>
      <c r="Q50" s="522">
        <f>IFERROR((O50-P50),"N/A")</f>
        <v/>
      </c>
      <c r="R50" s="523">
        <f>IFERROR((O50-P50)/ABS(P50),"N/A")</f>
        <v/>
      </c>
      <c r="S50" s="537" t="n"/>
      <c r="T50" s="538" t="n"/>
      <c r="U50" s="538" t="n"/>
      <c r="V50" s="522">
        <f>IFERROR((T50-U50),"N/A")</f>
        <v/>
      </c>
      <c r="W50" s="523">
        <f>IFERROR((T50-U50)/ABS(U50),"N/A")</f>
        <v/>
      </c>
      <c r="X50" s="537" t="n"/>
      <c r="Y50" s="512">
        <f>IF(ISNUMBER(SEARCH("SUMPRODUCT",_xlfn.FORMULATEXT(L50),1))=FALSE,IF(ISNUMBER(SEARCH("INDIRECT",_xlfn.FORMULATEXT(L50),1))=TRUE,1,0),2)</f>
        <v/>
      </c>
      <c r="Z50" s="525">
        <f>IFERROR(SUMPRODUCT(--(_xlfn.ISFORMULA(L50)=FALSE),--(C50&lt;&gt;"Other Projects"),--(AC50&lt;&gt;TRUE),L50),0)</f>
        <v/>
      </c>
      <c r="AA50" s="512">
        <f>IFERROR(SUMPRODUCT(--(_xlfn.ISFORMULA(L50)=FALSE),--(C50&lt;&gt;"Other Projects"),--(G50="Yes"),--(AC50&lt;&gt;TRUE),L50),0)</f>
        <v/>
      </c>
      <c r="AB50" s="512">
        <f>IF(_xlfn.ISFORMULA(L50)=TRUE,0,AB49-1)</f>
        <v/>
      </c>
      <c r="AC50" s="512" t="n"/>
    </row>
    <row r="51" outlineLevel="1" ht="63.75" customFormat="1" customHeight="1" s="266">
      <c r="A51" s="515" t="n"/>
      <c r="B51" s="526" t="inlineStr">
        <is>
          <t>Upstream</t>
        </is>
      </c>
      <c r="C51" s="530" t="inlineStr">
        <is>
          <t>[Input of the project name]</t>
        </is>
      </c>
      <c r="D51" s="531" t="inlineStr">
        <is>
          <t>[input: brief description of the project, including:</t>
        </is>
      </c>
      <c r="E51" s="518">
        <f>IF(ISBLANK(C51)=FALSE,"thsd</f>
        <v/>
      </c>
      <c r="F51" s="518">
        <f>IF(ISBLANK(C51)=FALSE,"+","")</f>
        <v/>
      </c>
      <c r="G51" s="532" t="n"/>
      <c r="H51" s="533" t="n"/>
      <c r="I51" s="533" t="n"/>
      <c r="J51" s="536" t="n"/>
      <c r="K51" s="537" t="n"/>
      <c r="L51" s="534" t="n"/>
      <c r="M51" s="534" t="n"/>
      <c r="N51" s="534" t="n"/>
      <c r="O51" s="534" t="n"/>
      <c r="P51" s="534" t="n"/>
      <c r="Q51" s="522">
        <f>IFERROR((O51-P51),"N/A")</f>
        <v/>
      </c>
      <c r="R51" s="523">
        <f>IFERROR((O51-P51)/ABS(P51),"N/A")</f>
        <v/>
      </c>
      <c r="S51" s="537" t="n"/>
      <c r="T51" s="538" t="n"/>
      <c r="U51" s="538" t="n"/>
      <c r="V51" s="522">
        <f>IFERROR((T51-U51),"N/A")</f>
        <v/>
      </c>
      <c r="W51" s="523">
        <f>IFERROR((T51-U51)/ABS(U51),"N/A")</f>
        <v/>
      </c>
      <c r="X51" s="537" t="n"/>
      <c r="Y51" s="512">
        <f>IF(ISNUMBER(SEARCH("SUMPRODUCT",_xlfn.FORMULATEXT(L51),1))=FALSE,IF(ISNUMBER(SEARCH("INDIRECT",_xlfn.FORMULATEXT(L51),1))=TRUE,1,0),2)</f>
        <v/>
      </c>
      <c r="Z51" s="525">
        <f>IFERROR(SUMPRODUCT(--(_xlfn.ISFORMULA(L51)=FALSE),--(C51&lt;&gt;"Other Projects"),--(AC51&lt;&gt;TRUE),L51),0)</f>
        <v/>
      </c>
      <c r="AA51" s="512">
        <f>IFERROR(SUMPRODUCT(--(_xlfn.ISFORMULA(L51)=FALSE),--(C51&lt;&gt;"Other Projects"),--(G51="Yes"),--(AC51&lt;&gt;TRUE),L51),0)</f>
        <v/>
      </c>
      <c r="AB51" s="512">
        <f>IF(_xlfn.ISFORMULA(L51)=TRUE,0,AB50-1)</f>
        <v/>
      </c>
      <c r="AC51" s="512" t="n"/>
    </row>
    <row r="52" outlineLevel="1" ht="63.75" customFormat="1" customHeight="1" s="266">
      <c r="A52" s="515" t="n"/>
      <c r="B52" s="526" t="inlineStr">
        <is>
          <t>Upstream</t>
        </is>
      </c>
      <c r="C52" s="530" t="inlineStr">
        <is>
          <t>[Input of the project name]</t>
        </is>
      </c>
      <c r="D52" s="531" t="inlineStr">
        <is>
          <t>[input: brief description of the project, including:</t>
        </is>
      </c>
      <c r="E52" s="518">
        <f>IF(ISBLANK(C52)=FALSE,"thsd</f>
        <v/>
      </c>
      <c r="F52" s="518">
        <f>IF(ISBLANK(C52)=FALSE,"+","")</f>
        <v/>
      </c>
      <c r="G52" s="532" t="n"/>
      <c r="H52" s="533" t="n"/>
      <c r="I52" s="533" t="n"/>
      <c r="J52" s="536" t="n"/>
      <c r="K52" s="537" t="n"/>
      <c r="L52" s="534" t="n"/>
      <c r="M52" s="534" t="n"/>
      <c r="N52" s="534" t="n"/>
      <c r="O52" s="534" t="n"/>
      <c r="P52" s="534" t="n"/>
      <c r="Q52" s="522">
        <f>IFERROR((O52-P52),"N/A")</f>
        <v/>
      </c>
      <c r="R52" s="523">
        <f>IFERROR((O52-P52)/ABS(P52),"N/A")</f>
        <v/>
      </c>
      <c r="S52" s="537" t="n"/>
      <c r="T52" s="538" t="n"/>
      <c r="U52" s="538" t="n"/>
      <c r="V52" s="522">
        <f>IFERROR((T52-U52),"N/A")</f>
        <v/>
      </c>
      <c r="W52" s="523">
        <f>IFERROR((T52-U52)/ABS(U52),"N/A")</f>
        <v/>
      </c>
      <c r="X52" s="537" t="n"/>
      <c r="Y52" s="512">
        <f>IF(ISNUMBER(SEARCH("SUMPRODUCT",_xlfn.FORMULATEXT(L52),1))=FALSE,IF(ISNUMBER(SEARCH("INDIRECT",_xlfn.FORMULATEXT(L52),1))=TRUE,1,0),2)</f>
        <v/>
      </c>
      <c r="Z52" s="525">
        <f>IFERROR(SUMPRODUCT(--(_xlfn.ISFORMULA(L52)=FALSE),--(C52&lt;&gt;"Other Projects"),--(AC52&lt;&gt;TRUE),L52),0)</f>
        <v/>
      </c>
      <c r="AA52" s="512">
        <f>IFERROR(SUMPRODUCT(--(_xlfn.ISFORMULA(L52)=FALSE),--(C52&lt;&gt;"Other Projects"),--(G52="Yes"),--(AC52&lt;&gt;TRUE),L52),0)</f>
        <v/>
      </c>
      <c r="AB52" s="512">
        <f>IF(_xlfn.ISFORMULA(L52)=TRUE,0,AB51-1)</f>
        <v/>
      </c>
      <c r="AC52" s="512" t="n"/>
    </row>
    <row r="53" outlineLevel="1" ht="63.75" customFormat="1" customHeight="1" s="266">
      <c r="A53" s="515" t="n"/>
      <c r="B53" s="526" t="inlineStr">
        <is>
          <t>Upstream</t>
        </is>
      </c>
      <c r="C53" s="530" t="inlineStr">
        <is>
          <t>[Input of the project name]</t>
        </is>
      </c>
      <c r="D53" s="531" t="inlineStr">
        <is>
          <t>[input: brief description of the project, including:</t>
        </is>
      </c>
      <c r="E53" s="518">
        <f>IF(ISBLANK(C53)=FALSE,"thsd</f>
        <v/>
      </c>
      <c r="F53" s="518">
        <f>IF(ISBLANK(C53)=FALSE,"+","")</f>
        <v/>
      </c>
      <c r="G53" s="532" t="n"/>
      <c r="H53" s="533" t="n"/>
      <c r="I53" s="533" t="n"/>
      <c r="J53" s="536" t="n"/>
      <c r="K53" s="537" t="n"/>
      <c r="L53" s="534" t="n"/>
      <c r="M53" s="534" t="n"/>
      <c r="N53" s="534" t="n"/>
      <c r="O53" s="534" t="n"/>
      <c r="P53" s="534" t="n"/>
      <c r="Q53" s="522">
        <f>IFERROR((O53-P53),"N/A")</f>
        <v/>
      </c>
      <c r="R53" s="523">
        <f>IFERROR((O53-P53)/ABS(P53),"N/A")</f>
        <v/>
      </c>
      <c r="S53" s="537" t="n"/>
      <c r="T53" s="538" t="n"/>
      <c r="U53" s="538" t="n"/>
      <c r="V53" s="522">
        <f>IFERROR((T53-U53),"N/A")</f>
        <v/>
      </c>
      <c r="W53" s="523">
        <f>IFERROR((T53-U53)/ABS(U53),"N/A")</f>
        <v/>
      </c>
      <c r="X53" s="537" t="n"/>
      <c r="Y53" s="512">
        <f>IF(ISNUMBER(SEARCH("SUMPRODUCT",_xlfn.FORMULATEXT(L53),1))=FALSE,IF(ISNUMBER(SEARCH("INDIRECT",_xlfn.FORMULATEXT(L53),1))=TRUE,1,0),2)</f>
        <v/>
      </c>
      <c r="Z53" s="525">
        <f>IFERROR(SUMPRODUCT(--(_xlfn.ISFORMULA(L53)=FALSE),--(C53&lt;&gt;"Other Projects"),--(AC53&lt;&gt;TRUE),L53),0)</f>
        <v/>
      </c>
      <c r="AA53" s="512">
        <f>IFERROR(SUMPRODUCT(--(_xlfn.ISFORMULA(L53)=FALSE),--(C53&lt;&gt;"Other Projects"),--(G53="Yes"),--(AC53&lt;&gt;TRUE),L53),0)</f>
        <v/>
      </c>
      <c r="AB53" s="512">
        <f>IF(_xlfn.ISFORMULA(L53)=TRUE,0,AB52-1)</f>
        <v/>
      </c>
      <c r="AC53" s="512" t="n"/>
    </row>
    <row r="54" outlineLevel="1" ht="63.75" customFormat="1" customHeight="1" s="266">
      <c r="A54" s="515" t="n"/>
      <c r="B54" s="526" t="inlineStr">
        <is>
          <t>Upstream</t>
        </is>
      </c>
      <c r="C54" s="530" t="inlineStr">
        <is>
          <t>[Input of the project name]</t>
        </is>
      </c>
      <c r="D54" s="531" t="inlineStr">
        <is>
          <t>[input: brief description of the project, including:</t>
        </is>
      </c>
      <c r="E54" s="518">
        <f>IF(ISBLANK(C54)=FALSE,"thsd</f>
        <v/>
      </c>
      <c r="F54" s="518">
        <f>IF(ISBLANK(C54)=FALSE,"+","")</f>
        <v/>
      </c>
      <c r="G54" s="532" t="n"/>
      <c r="H54" s="533" t="n"/>
      <c r="I54" s="533" t="n"/>
      <c r="J54" s="536" t="n"/>
      <c r="K54" s="537" t="n"/>
      <c r="L54" s="534" t="n"/>
      <c r="M54" s="534" t="n"/>
      <c r="N54" s="534" t="n"/>
      <c r="O54" s="534" t="n"/>
      <c r="P54" s="534" t="n"/>
      <c r="Q54" s="522">
        <f>IFERROR((O54-P54),"N/A")</f>
        <v/>
      </c>
      <c r="R54" s="523">
        <f>IFERROR((O54-P54)/ABS(P54),"N/A")</f>
        <v/>
      </c>
      <c r="S54" s="537" t="n"/>
      <c r="T54" s="538" t="n"/>
      <c r="U54" s="538" t="n"/>
      <c r="V54" s="522">
        <f>IFERROR((T54-U54),"N/A")</f>
        <v/>
      </c>
      <c r="W54" s="523">
        <f>IFERROR((T54-U54)/ABS(U54),"N/A")</f>
        <v/>
      </c>
      <c r="X54" s="537" t="n"/>
      <c r="Y54" s="512">
        <f>IF(ISNUMBER(SEARCH("SUMPRODUCT",_xlfn.FORMULATEXT(L54),1))=FALSE,IF(ISNUMBER(SEARCH("INDIRECT",_xlfn.FORMULATEXT(L54),1))=TRUE,1,0),2)</f>
        <v/>
      </c>
      <c r="Z54" s="525">
        <f>IFERROR(SUMPRODUCT(--(_xlfn.ISFORMULA(L54)=FALSE),--(C54&lt;&gt;"Other Projects"),--(AC54&lt;&gt;TRUE),L54),0)</f>
        <v/>
      </c>
      <c r="AA54" s="512">
        <f>IFERROR(SUMPRODUCT(--(_xlfn.ISFORMULA(L54)=FALSE),--(C54&lt;&gt;"Other Projects"),--(G54="Yes"),--(AC54&lt;&gt;TRUE),L54),0)</f>
        <v/>
      </c>
      <c r="AB54" s="512">
        <f>IF(_xlfn.ISFORMULA(L54)=TRUE,0,AB53-1)</f>
        <v/>
      </c>
      <c r="AC54" s="512" t="n"/>
    </row>
    <row r="55" outlineLevel="1" ht="63.75" customFormat="1" customHeight="1" s="266">
      <c r="A55" s="515" t="n"/>
      <c r="B55" s="526" t="inlineStr">
        <is>
          <t>Upstream</t>
        </is>
      </c>
      <c r="C55" s="530" t="inlineStr">
        <is>
          <t>[Input of the project name]</t>
        </is>
      </c>
      <c r="D55" s="531" t="inlineStr">
        <is>
          <t>[input: brief description of the project, including:</t>
        </is>
      </c>
      <c r="E55" s="518">
        <f>IF(ISBLANK(C55)=FALSE,"thsd</f>
        <v/>
      </c>
      <c r="F55" s="518">
        <f>IF(ISBLANK(C55)=FALSE,"+","")</f>
        <v/>
      </c>
      <c r="G55" s="532" t="n"/>
      <c r="H55" s="533" t="n"/>
      <c r="I55" s="533" t="n"/>
      <c r="J55" s="536" t="n"/>
      <c r="K55" s="537" t="n"/>
      <c r="L55" s="534" t="n"/>
      <c r="M55" s="534" t="n"/>
      <c r="N55" s="534" t="n"/>
      <c r="O55" s="534" t="n"/>
      <c r="P55" s="534" t="n"/>
      <c r="Q55" s="522">
        <f>IFERROR((O55-P55),"N/A")</f>
        <v/>
      </c>
      <c r="R55" s="523">
        <f>IFERROR((O55-P55)/ABS(P55),"N/A")</f>
        <v/>
      </c>
      <c r="S55" s="537" t="n"/>
      <c r="T55" s="538" t="n"/>
      <c r="U55" s="538" t="n"/>
      <c r="V55" s="522">
        <f>IFERROR((T55-U55),"N/A")</f>
        <v/>
      </c>
      <c r="W55" s="523">
        <f>IFERROR((T55-U55)/ABS(U55),"N/A")</f>
        <v/>
      </c>
      <c r="X55" s="537" t="n"/>
      <c r="Y55" s="512">
        <f>IF(ISNUMBER(SEARCH("SUMPRODUCT",_xlfn.FORMULATEXT(L55),1))=FALSE,IF(ISNUMBER(SEARCH("INDIRECT",_xlfn.FORMULATEXT(L55),1))=TRUE,1,0),2)</f>
        <v/>
      </c>
      <c r="Z55" s="525">
        <f>IFERROR(SUMPRODUCT(--(_xlfn.ISFORMULA(L55)=FALSE),--(C55&lt;&gt;"Other Projects"),--(AC55&lt;&gt;TRUE),L55),0)</f>
        <v/>
      </c>
      <c r="AA55" s="512">
        <f>IFERROR(SUMPRODUCT(--(_xlfn.ISFORMULA(L55)=FALSE),--(C55&lt;&gt;"Other Projects"),--(G55="Yes"),--(AC55&lt;&gt;TRUE),L55),0)</f>
        <v/>
      </c>
      <c r="AB55" s="512">
        <f>IF(_xlfn.ISFORMULA(L55)=TRUE,0,AB54-1)</f>
        <v/>
      </c>
      <c r="AC55" s="512" t="n"/>
    </row>
    <row r="56" outlineLevel="1" ht="63.75" customFormat="1" customHeight="1" s="266">
      <c r="A56" s="515" t="n"/>
      <c r="B56" s="526" t="inlineStr">
        <is>
          <t>Upstream</t>
        </is>
      </c>
      <c r="C56" s="530" t="inlineStr">
        <is>
          <t>[Input of the project name]</t>
        </is>
      </c>
      <c r="D56" s="531" t="inlineStr">
        <is>
          <t>[input: brief description of the project, including:</t>
        </is>
      </c>
      <c r="E56" s="518">
        <f>IF(ISBLANK(C56)=FALSE,"thsd</f>
        <v/>
      </c>
      <c r="F56" s="518">
        <f>IF(ISBLANK(C56)=FALSE,"+","")</f>
        <v/>
      </c>
      <c r="G56" s="532" t="n"/>
      <c r="H56" s="533" t="n"/>
      <c r="I56" s="533" t="n"/>
      <c r="J56" s="536" t="n"/>
      <c r="K56" s="537" t="n"/>
      <c r="L56" s="534" t="n"/>
      <c r="M56" s="534" t="n"/>
      <c r="N56" s="534" t="n"/>
      <c r="O56" s="534" t="n"/>
      <c r="P56" s="534" t="n"/>
      <c r="Q56" s="522">
        <f>IFERROR((O56-P56),"N/A")</f>
        <v/>
      </c>
      <c r="R56" s="523">
        <f>IFERROR((O56-P56)/ABS(P56),"N/A")</f>
        <v/>
      </c>
      <c r="S56" s="537" t="n"/>
      <c r="T56" s="538" t="n"/>
      <c r="U56" s="538" t="n"/>
      <c r="V56" s="522">
        <f>IFERROR((T56-U56),"N/A")</f>
        <v/>
      </c>
      <c r="W56" s="523">
        <f>IFERROR((T56-U56)/ABS(U56),"N/A")</f>
        <v/>
      </c>
      <c r="X56" s="537" t="n"/>
      <c r="Y56" s="512">
        <f>IF(ISNUMBER(SEARCH("SUMPRODUCT",_xlfn.FORMULATEXT(L56),1))=FALSE,IF(ISNUMBER(SEARCH("INDIRECT",_xlfn.FORMULATEXT(L56),1))=TRUE,1,0),2)</f>
        <v/>
      </c>
      <c r="Z56" s="525">
        <f>IFERROR(SUMPRODUCT(--(_xlfn.ISFORMULA(L56)=FALSE),--(C56&lt;&gt;"Other Projects"),--(AC56&lt;&gt;TRUE),L56),0)</f>
        <v/>
      </c>
      <c r="AA56" s="512">
        <f>IFERROR(SUMPRODUCT(--(_xlfn.ISFORMULA(L56)=FALSE),--(C56&lt;&gt;"Other Projects"),--(G56="Yes"),--(AC56&lt;&gt;TRUE),L56),0)</f>
        <v/>
      </c>
      <c r="AB56" s="512">
        <f>IF(_xlfn.ISFORMULA(L56)=TRUE,0,AB55-1)</f>
        <v/>
      </c>
      <c r="AC56" s="512" t="n"/>
    </row>
    <row r="57" outlineLevel="1" ht="63.75" customFormat="1" customHeight="1" s="266">
      <c r="A57" s="515" t="n"/>
      <c r="B57" s="526" t="inlineStr">
        <is>
          <t>Upstream</t>
        </is>
      </c>
      <c r="C57" s="530" t="inlineStr">
        <is>
          <t>[Input of the project name]</t>
        </is>
      </c>
      <c r="D57" s="531" t="inlineStr">
        <is>
          <t>[input: brief description of the project, including:</t>
        </is>
      </c>
      <c r="E57" s="518">
        <f>IF(ISBLANK(C57)=FALSE,"thsd</f>
        <v/>
      </c>
      <c r="F57" s="518">
        <f>IF(ISBLANK(C57)=FALSE,"+","")</f>
        <v/>
      </c>
      <c r="G57" s="532" t="n"/>
      <c r="H57" s="533" t="n"/>
      <c r="I57" s="533" t="n"/>
      <c r="J57" s="536" t="n"/>
      <c r="K57" s="537" t="n"/>
      <c r="L57" s="534" t="n"/>
      <c r="M57" s="534" t="n"/>
      <c r="N57" s="534" t="n"/>
      <c r="O57" s="534" t="n"/>
      <c r="P57" s="534" t="n"/>
      <c r="Q57" s="522">
        <f>IFERROR((O57-P57),"N/A")</f>
        <v/>
      </c>
      <c r="R57" s="523">
        <f>IFERROR((O57-P57)/ABS(P57),"N/A")</f>
        <v/>
      </c>
      <c r="S57" s="537" t="n"/>
      <c r="T57" s="538" t="n"/>
      <c r="U57" s="538" t="n"/>
      <c r="V57" s="522">
        <f>IFERROR((T57-U57),"N/A")</f>
        <v/>
      </c>
      <c r="W57" s="523">
        <f>IFERROR((T57-U57)/ABS(U57),"N/A")</f>
        <v/>
      </c>
      <c r="X57" s="537" t="n"/>
      <c r="Y57" s="512">
        <f>IF(ISNUMBER(SEARCH("SUMPRODUCT",_xlfn.FORMULATEXT(L57),1))=FALSE,IF(ISNUMBER(SEARCH("INDIRECT",_xlfn.FORMULATEXT(L57),1))=TRUE,1,0),2)</f>
        <v/>
      </c>
      <c r="Z57" s="525">
        <f>IFERROR(SUMPRODUCT(--(_xlfn.ISFORMULA(L57)=FALSE),--(C57&lt;&gt;"Other Projects"),--(AC57&lt;&gt;TRUE),L57),0)</f>
        <v/>
      </c>
      <c r="AA57" s="512">
        <f>IFERROR(SUMPRODUCT(--(_xlfn.ISFORMULA(L57)=FALSE),--(C57&lt;&gt;"Other Projects"),--(G57="Yes"),--(AC57&lt;&gt;TRUE),L57),0)</f>
        <v/>
      </c>
      <c r="AB57" s="512">
        <f>IF(_xlfn.ISFORMULA(L57)=TRUE,0,AB56-1)</f>
        <v/>
      </c>
      <c r="AC57" s="512" t="n"/>
    </row>
    <row r="58" outlineLevel="1" ht="63.75" customFormat="1" customHeight="1" s="266">
      <c r="A58" s="515" t="n"/>
      <c r="B58" s="526" t="inlineStr">
        <is>
          <t>Upstream</t>
        </is>
      </c>
      <c r="C58" s="530" t="inlineStr">
        <is>
          <t>[Input of the project name]</t>
        </is>
      </c>
      <c r="D58" s="531" t="inlineStr">
        <is>
          <t>[input: brief description of the project, including:</t>
        </is>
      </c>
      <c r="E58" s="518">
        <f>IF(ISBLANK(C58)=FALSE,"thsd</f>
        <v/>
      </c>
      <c r="F58" s="518">
        <f>IF(ISBLANK(C58)=FALSE,"+","")</f>
        <v/>
      </c>
      <c r="G58" s="532" t="n"/>
      <c r="H58" s="533" t="n"/>
      <c r="I58" s="533" t="n"/>
      <c r="J58" s="536" t="n"/>
      <c r="K58" s="537" t="n"/>
      <c r="L58" s="534" t="n"/>
      <c r="M58" s="534" t="n"/>
      <c r="N58" s="534" t="n"/>
      <c r="O58" s="534" t="n"/>
      <c r="P58" s="534" t="n"/>
      <c r="Q58" s="522">
        <f>IFERROR((O58-P58),"N/A")</f>
        <v/>
      </c>
      <c r="R58" s="523">
        <f>IFERROR((O58-P58)/ABS(P58),"N/A")</f>
        <v/>
      </c>
      <c r="S58" s="537" t="n"/>
      <c r="T58" s="538" t="n"/>
      <c r="U58" s="538" t="n"/>
      <c r="V58" s="522">
        <f>IFERROR((T58-U58),"N/A")</f>
        <v/>
      </c>
      <c r="W58" s="523">
        <f>IFERROR((T58-U58)/ABS(U58),"N/A")</f>
        <v/>
      </c>
      <c r="X58" s="537" t="n"/>
      <c r="Y58" s="512">
        <f>IF(ISNUMBER(SEARCH("SUMPRODUCT",_xlfn.FORMULATEXT(L58),1))=FALSE,IF(ISNUMBER(SEARCH("INDIRECT",_xlfn.FORMULATEXT(L58),1))=TRUE,1,0),2)</f>
        <v/>
      </c>
      <c r="Z58" s="525">
        <f>IFERROR(SUMPRODUCT(--(_xlfn.ISFORMULA(L58)=FALSE),--(C58&lt;&gt;"Other Projects"),--(AC58&lt;&gt;TRUE),L58),0)</f>
        <v/>
      </c>
      <c r="AA58" s="512">
        <f>IFERROR(SUMPRODUCT(--(_xlfn.ISFORMULA(L58)=FALSE),--(C58&lt;&gt;"Other Projects"),--(G58="Yes"),--(AC58&lt;&gt;TRUE),L58),0)</f>
        <v/>
      </c>
      <c r="AB58" s="512">
        <f>IF(_xlfn.ISFORMULA(L58)=TRUE,0,AB57-1)</f>
        <v/>
      </c>
      <c r="AC58" s="512" t="n"/>
    </row>
    <row r="59" outlineLevel="1" ht="63.75" customFormat="1" customHeight="1" s="266">
      <c r="A59" s="515" t="n"/>
      <c r="B59" s="526" t="inlineStr">
        <is>
          <t>Upstream</t>
        </is>
      </c>
      <c r="C59" s="530" t="inlineStr">
        <is>
          <t>[Input of the project name]</t>
        </is>
      </c>
      <c r="D59" s="531" t="inlineStr">
        <is>
          <t>[input: brief description of the project, including:</t>
        </is>
      </c>
      <c r="E59" s="518">
        <f>IF(ISBLANK(C59)=FALSE,"thsd</f>
        <v/>
      </c>
      <c r="F59" s="518">
        <f>IF(ISBLANK(C59)=FALSE,"+","")</f>
        <v/>
      </c>
      <c r="G59" s="532" t="n"/>
      <c r="H59" s="533" t="n"/>
      <c r="I59" s="533" t="n"/>
      <c r="J59" s="536" t="n"/>
      <c r="K59" s="537" t="n"/>
      <c r="L59" s="534" t="n"/>
      <c r="M59" s="534" t="n"/>
      <c r="N59" s="534" t="n"/>
      <c r="O59" s="534" t="n"/>
      <c r="P59" s="534" t="n"/>
      <c r="Q59" s="522">
        <f>IFERROR((O59-P59),"N/A")</f>
        <v/>
      </c>
      <c r="R59" s="523">
        <f>IFERROR((O59-P59)/ABS(P59),"N/A")</f>
        <v/>
      </c>
      <c r="S59" s="537" t="n"/>
      <c r="T59" s="538" t="n"/>
      <c r="U59" s="538" t="n"/>
      <c r="V59" s="522">
        <f>IFERROR((T59-U59),"N/A")</f>
        <v/>
      </c>
      <c r="W59" s="523">
        <f>IFERROR((T59-U59)/ABS(U59),"N/A")</f>
        <v/>
      </c>
      <c r="X59" s="537" t="n"/>
      <c r="Y59" s="512">
        <f>IF(ISNUMBER(SEARCH("SUMPRODUCT",_xlfn.FORMULATEXT(L59),1))=FALSE,IF(ISNUMBER(SEARCH("INDIRECT",_xlfn.FORMULATEXT(L59),1))=TRUE,1,0),2)</f>
        <v/>
      </c>
      <c r="Z59" s="525">
        <f>IFERROR(SUMPRODUCT(--(_xlfn.ISFORMULA(L59)=FALSE),--(C59&lt;&gt;"Other Projects"),--(AC59&lt;&gt;TRUE),L59),0)</f>
        <v/>
      </c>
      <c r="AA59" s="512">
        <f>IFERROR(SUMPRODUCT(--(_xlfn.ISFORMULA(L59)=FALSE),--(C59&lt;&gt;"Other Projects"),--(G59="Yes"),--(AC59&lt;&gt;TRUE),L59),0)</f>
        <v/>
      </c>
      <c r="AB59" s="512">
        <f>IF(_xlfn.ISFORMULA(L59)=TRUE,0,AB58-1)</f>
        <v/>
      </c>
      <c r="AC59" s="512" t="n"/>
    </row>
    <row r="60" outlineLevel="1" ht="63.75" customFormat="1" customHeight="1" s="266">
      <c r="A60" s="515" t="n"/>
      <c r="B60" s="526" t="inlineStr">
        <is>
          <t>Upstream</t>
        </is>
      </c>
      <c r="C60" s="530" t="inlineStr">
        <is>
          <t>[Input of the project name]</t>
        </is>
      </c>
      <c r="D60" s="531" t="inlineStr">
        <is>
          <t>[input: brief description of the project, including:</t>
        </is>
      </c>
      <c r="E60" s="518">
        <f>IF(ISBLANK(C60)=FALSE,"thsd</f>
        <v/>
      </c>
      <c r="F60" s="518">
        <f>IF(ISBLANK(C60)=FALSE,"+","")</f>
        <v/>
      </c>
      <c r="G60" s="532" t="n"/>
      <c r="H60" s="533" t="n"/>
      <c r="I60" s="533" t="n"/>
      <c r="J60" s="536" t="n"/>
      <c r="K60" s="537" t="n"/>
      <c r="L60" s="534" t="n"/>
      <c r="M60" s="534" t="n"/>
      <c r="N60" s="534" t="n"/>
      <c r="O60" s="534" t="n"/>
      <c r="P60" s="534" t="n"/>
      <c r="Q60" s="522">
        <f>IFERROR((O60-P60),"N/A")</f>
        <v/>
      </c>
      <c r="R60" s="523">
        <f>IFERROR((O60-P60)/ABS(P60),"N/A")</f>
        <v/>
      </c>
      <c r="S60" s="537" t="n"/>
      <c r="T60" s="538" t="n"/>
      <c r="U60" s="538" t="n"/>
      <c r="V60" s="522">
        <f>IFERROR((T60-U60),"N/A")</f>
        <v/>
      </c>
      <c r="W60" s="523">
        <f>IFERROR((T60-U60)/ABS(U60),"N/A")</f>
        <v/>
      </c>
      <c r="X60" s="537" t="n"/>
      <c r="Y60" s="512">
        <f>IF(ISNUMBER(SEARCH("SUMPRODUCT",_xlfn.FORMULATEXT(L60),1))=FALSE,IF(ISNUMBER(SEARCH("INDIRECT",_xlfn.FORMULATEXT(L60),1))=TRUE,1,0),2)</f>
        <v/>
      </c>
      <c r="Z60" s="525">
        <f>IFERROR(SUMPRODUCT(--(_xlfn.ISFORMULA(L60)=FALSE),--(C60&lt;&gt;"Other Projects"),--(AC60&lt;&gt;TRUE),L60),0)</f>
        <v/>
      </c>
      <c r="AA60" s="512">
        <f>IFERROR(SUMPRODUCT(--(_xlfn.ISFORMULA(L60)=FALSE),--(C60&lt;&gt;"Other Projects"),--(G60="Yes"),--(AC60&lt;&gt;TRUE),L60),0)</f>
        <v/>
      </c>
      <c r="AB60" s="512">
        <f>IF(_xlfn.ISFORMULA(L60)=TRUE,0,AB59-1)</f>
        <v/>
      </c>
      <c r="AC60" s="512" t="n"/>
    </row>
    <row r="61" outlineLevel="1" ht="63.75" customFormat="1" customHeight="1" s="266">
      <c r="A61" s="515" t="n"/>
      <c r="B61" s="526" t="inlineStr">
        <is>
          <t>Upstream</t>
        </is>
      </c>
      <c r="C61" s="530" t="inlineStr">
        <is>
          <t>[Input of the project name]</t>
        </is>
      </c>
      <c r="D61" s="531" t="inlineStr">
        <is>
          <t>[input: brief description of the project, including:</t>
        </is>
      </c>
      <c r="E61" s="518">
        <f>IF(ISBLANK(C61)=FALSE,"thsd</f>
        <v/>
      </c>
      <c r="F61" s="518">
        <f>IF(ISBLANK(C61)=FALSE,"+","")</f>
        <v/>
      </c>
      <c r="G61" s="532" t="n"/>
      <c r="H61" s="533" t="n"/>
      <c r="I61" s="533" t="n"/>
      <c r="J61" s="536" t="n"/>
      <c r="K61" s="537" t="n"/>
      <c r="L61" s="534" t="n"/>
      <c r="M61" s="534" t="n"/>
      <c r="N61" s="534" t="n"/>
      <c r="O61" s="534" t="n"/>
      <c r="P61" s="534" t="n"/>
      <c r="Q61" s="522">
        <f>IFERROR((O61-P61),"N/A")</f>
        <v/>
      </c>
      <c r="R61" s="523">
        <f>IFERROR((O61-P61)/ABS(P61),"N/A")</f>
        <v/>
      </c>
      <c r="S61" s="537" t="n"/>
      <c r="T61" s="538" t="n"/>
      <c r="U61" s="538" t="n"/>
      <c r="V61" s="522">
        <f>IFERROR((T61-U61),"N/A")</f>
        <v/>
      </c>
      <c r="W61" s="523">
        <f>IFERROR((T61-U61)/ABS(U61),"N/A")</f>
        <v/>
      </c>
      <c r="X61" s="537" t="n"/>
      <c r="Y61" s="512">
        <f>IF(ISNUMBER(SEARCH("SUMPRODUCT",_xlfn.FORMULATEXT(L61),1))=FALSE,IF(ISNUMBER(SEARCH("INDIRECT",_xlfn.FORMULATEXT(L61),1))=TRUE,1,0),2)</f>
        <v/>
      </c>
      <c r="Z61" s="525">
        <f>IFERROR(SUMPRODUCT(--(_xlfn.ISFORMULA(L61)=FALSE),--(C61&lt;&gt;"Other Projects"),--(AC61&lt;&gt;TRUE),L61),0)</f>
        <v/>
      </c>
      <c r="AA61" s="512">
        <f>IFERROR(SUMPRODUCT(--(_xlfn.ISFORMULA(L61)=FALSE),--(C61&lt;&gt;"Other Projects"),--(G61="Yes"),--(AC61&lt;&gt;TRUE),L61),0)</f>
        <v/>
      </c>
      <c r="AB61" s="512">
        <f>IF(_xlfn.ISFORMULA(L61)=TRUE,0,AB60-1)</f>
        <v/>
      </c>
      <c r="AC61" s="512" t="n"/>
    </row>
    <row r="62" outlineLevel="1" ht="63.75" customFormat="1" customHeight="1" s="266">
      <c r="A62" s="515" t="n"/>
      <c r="B62" s="526" t="inlineStr">
        <is>
          <t>Upstream (PSA)</t>
        </is>
      </c>
      <c r="C62" s="541" t="inlineStr">
        <is>
          <t>[Input of the project name]</t>
        </is>
      </c>
      <c r="D62" s="541" t="inlineStr">
        <is>
          <t>[input: brief description of the project, including:</t>
        </is>
      </c>
      <c r="E62" s="518">
        <f>IF(ISBLANK(C62)=FALSE,"thsd</f>
        <v/>
      </c>
      <c r="F62" s="518">
        <f>IF(ISBLANK(C62)=FALSE,"+","")</f>
        <v/>
      </c>
      <c r="G62" s="542" t="n"/>
      <c r="H62" s="543" t="n"/>
      <c r="I62" s="543" t="n"/>
      <c r="J62" s="542" t="n"/>
      <c r="K62" s="542" t="n"/>
      <c r="L62" s="542" t="n"/>
      <c r="M62" s="542" t="n"/>
      <c r="N62" s="542" t="n"/>
      <c r="O62" s="542" t="n"/>
      <c r="P62" s="542" t="n"/>
      <c r="Q62" s="522">
        <f>IFERROR((O62-P62),"N/A")</f>
        <v/>
      </c>
      <c r="R62" s="523">
        <f>IFERROR((O62-P62)/ABS(P62),"N/A")</f>
        <v/>
      </c>
      <c r="S62" s="542" t="n"/>
      <c r="T62" s="542" t="n"/>
      <c r="U62" s="542" t="n"/>
      <c r="V62" s="522">
        <f>IFERROR((T62-U62),"N/A")</f>
        <v/>
      </c>
      <c r="W62" s="523">
        <f>IFERROR((T62-U62)/ABS(U62),"N/A")</f>
        <v/>
      </c>
      <c r="X62" s="542" t="n"/>
      <c r="Y62" s="512">
        <f>IF(ISNUMBER(SEARCH("SUMPRODUCT",_xlfn.FORMULATEXT(L62),1))=FALSE,IF(ISNUMBER(SEARCH("INDIRECT",_xlfn.FORMULATEXT(L62),1))=TRUE,1,0),2)</f>
        <v/>
      </c>
      <c r="Z62" s="525">
        <f>IFERROR(SUMPRODUCT(--(_xlfn.ISFORMULA(L62)=FALSE),--(C62&lt;&gt;"Other Projects"),--(AC62&lt;&gt;TRUE),L62),0)</f>
        <v/>
      </c>
      <c r="AA62" s="512">
        <f>IFERROR(SUMPRODUCT(--(_xlfn.ISFORMULA(L62)=FALSE),--(C62&lt;&gt;"Other Projects"),--(G62="Yes"),--(AC62&lt;&gt;TRUE),L62),0)</f>
        <v/>
      </c>
      <c r="AB62" s="512">
        <f>IF(_xlfn.ISFORMULA(L62)=TRUE,0,AB61-1)</f>
        <v/>
      </c>
      <c r="AC62" s="512" t="n"/>
    </row>
    <row r="63" outlineLevel="1" ht="63.75" customFormat="1" customHeight="1" s="266">
      <c r="A63" s="515" t="n"/>
      <c r="B63" s="526" t="inlineStr">
        <is>
          <t>Upstream (PSA)</t>
        </is>
      </c>
      <c r="C63" s="541" t="inlineStr">
        <is>
          <t>[Input of the project name]</t>
        </is>
      </c>
      <c r="D63" s="541" t="inlineStr">
        <is>
          <t>[input: brief description of the project, including:</t>
        </is>
      </c>
      <c r="E63" s="518">
        <f>IF(ISBLANK(C63)=FALSE,"thsd</f>
        <v/>
      </c>
      <c r="F63" s="518">
        <f>IF(ISBLANK(C63)=FALSE,"+","")</f>
        <v/>
      </c>
      <c r="G63" s="542" t="n"/>
      <c r="H63" s="543" t="n"/>
      <c r="I63" s="543" t="n"/>
      <c r="J63" s="542" t="n"/>
      <c r="K63" s="542" t="n"/>
      <c r="L63" s="542" t="n"/>
      <c r="M63" s="542" t="n"/>
      <c r="N63" s="542" t="n"/>
      <c r="O63" s="542" t="n"/>
      <c r="P63" s="542" t="n"/>
      <c r="Q63" s="522">
        <f>IFERROR((O63-P63),"N/A")</f>
        <v/>
      </c>
      <c r="R63" s="523">
        <f>IFERROR((O63-P63)/ABS(P63),"N/A")</f>
        <v/>
      </c>
      <c r="S63" s="542" t="n"/>
      <c r="T63" s="542" t="n"/>
      <c r="U63" s="542" t="n"/>
      <c r="V63" s="522">
        <f>IFERROR((T63-U63),"N/A")</f>
        <v/>
      </c>
      <c r="W63" s="523">
        <f>IFERROR((T63-U63)/ABS(U63),"N/A")</f>
        <v/>
      </c>
      <c r="X63" s="542" t="n"/>
      <c r="Y63" s="512">
        <f>IF(ISNUMBER(SEARCH("SUMPRODUCT",_xlfn.FORMULATEXT(L63),1))=FALSE,IF(ISNUMBER(SEARCH("INDIRECT",_xlfn.FORMULATEXT(L63),1))=TRUE,1,0),2)</f>
        <v/>
      </c>
      <c r="Z63" s="525">
        <f>IFERROR(SUMPRODUCT(--(_xlfn.ISFORMULA(L63)=FALSE),--(C63&lt;&gt;"Other Projects"),--(AC63&lt;&gt;TRUE),L63),0)</f>
        <v/>
      </c>
      <c r="AA63" s="512">
        <f>IFERROR(SUMPRODUCT(--(_xlfn.ISFORMULA(L63)=FALSE),--(C63&lt;&gt;"Other Projects"),--(G63="Yes"),--(AC63&lt;&gt;TRUE),L63),0)</f>
        <v/>
      </c>
      <c r="AB63" s="512">
        <f>IF(_xlfn.ISFORMULA(L63)=TRUE,0,AB62-1)</f>
        <v/>
      </c>
      <c r="AC63" s="512" t="n"/>
    </row>
    <row r="64" outlineLevel="1" ht="63.75" customFormat="1" customHeight="1" s="266">
      <c r="A64" s="515" t="n"/>
      <c r="B64" s="526" t="inlineStr">
        <is>
          <t>Upstream (PSA)</t>
        </is>
      </c>
      <c r="C64" s="541" t="inlineStr">
        <is>
          <t>[Input of the project name]</t>
        </is>
      </c>
      <c r="D64" s="541" t="inlineStr">
        <is>
          <t>[input: brief description of the project, including:</t>
        </is>
      </c>
      <c r="E64" s="518">
        <f>IF(ISBLANK(C64)=FALSE,"thsd</f>
        <v/>
      </c>
      <c r="F64" s="518">
        <f>IF(ISBLANK(C64)=FALSE,"+","")</f>
        <v/>
      </c>
      <c r="G64" s="542" t="n"/>
      <c r="H64" s="543" t="n"/>
      <c r="I64" s="543" t="n"/>
      <c r="J64" s="542" t="n"/>
      <c r="K64" s="542" t="n"/>
      <c r="L64" s="542" t="n"/>
      <c r="M64" s="542" t="n"/>
      <c r="N64" s="542" t="n"/>
      <c r="O64" s="542" t="n"/>
      <c r="P64" s="542" t="n"/>
      <c r="Q64" s="522">
        <f>IFERROR((O64-P64),"N/A")</f>
        <v/>
      </c>
      <c r="R64" s="523">
        <f>IFERROR((O64-P64)/ABS(P64),"N/A")</f>
        <v/>
      </c>
      <c r="S64" s="542" t="n"/>
      <c r="T64" s="542" t="n"/>
      <c r="U64" s="542" t="n"/>
      <c r="V64" s="522">
        <f>IFERROR((T64-U64),"N/A")</f>
        <v/>
      </c>
      <c r="W64" s="523">
        <f>IFERROR((T64-U64)/ABS(U64),"N/A")</f>
        <v/>
      </c>
      <c r="X64" s="542" t="n"/>
      <c r="Y64" s="512">
        <f>IF(ISNUMBER(SEARCH("SUMPRODUCT",_xlfn.FORMULATEXT(L64),1))=FALSE,IF(ISNUMBER(SEARCH("INDIRECT",_xlfn.FORMULATEXT(L64),1))=TRUE,1,0),2)</f>
        <v/>
      </c>
      <c r="Z64" s="525">
        <f>IFERROR(SUMPRODUCT(--(_xlfn.ISFORMULA(L64)=FALSE),--(C64&lt;&gt;"Other Projects"),--(AC64&lt;&gt;TRUE),L64),0)</f>
        <v/>
      </c>
      <c r="AA64" s="512">
        <f>IFERROR(SUMPRODUCT(--(_xlfn.ISFORMULA(L64)=FALSE),--(C64&lt;&gt;"Other Projects"),--(G64="Yes"),--(AC64&lt;&gt;TRUE),L64),0)</f>
        <v/>
      </c>
      <c r="AB64" s="512">
        <f>IF(_xlfn.ISFORMULA(L64)=TRUE,0,AB63-1)</f>
        <v/>
      </c>
      <c r="AC64" s="512" t="n"/>
    </row>
    <row r="65" outlineLevel="1" customFormat="1" s="266">
      <c r="A65" s="515" t="n"/>
      <c r="B65" s="526" t="inlineStr">
        <is>
          <t>Upstream</t>
        </is>
      </c>
      <c r="C65" s="539" t="inlineStr">
        <is>
          <t>Other projects</t>
        </is>
      </c>
      <c r="D65" s="540" t="n"/>
      <c r="E65" s="518">
        <f>IF(ISBLANK(C65)=FALSE,"thsd</f>
        <v/>
      </c>
      <c r="F65" s="518">
        <f>IF(ISBLANK(C65)=FALSE,"+","")</f>
        <v/>
      </c>
      <c r="G65" s="532" t="n"/>
      <c r="H65" s="533" t="n"/>
      <c r="I65" s="533" t="n"/>
      <c r="J65" s="536" t="n"/>
      <c r="K65" s="537" t="n"/>
      <c r="L65" s="534" t="n"/>
      <c r="M65" s="534" t="n"/>
      <c r="N65" s="534" t="n"/>
      <c r="O65" s="534" t="n"/>
      <c r="P65" s="534" t="n"/>
      <c r="Q65" s="522">
        <f>IFERROR((O65-P65),"N/A")</f>
        <v/>
      </c>
      <c r="R65" s="523">
        <f>IFERROR((O65-P65)/ABS(P65),"N/A")</f>
        <v/>
      </c>
      <c r="S65" s="537" t="n"/>
      <c r="T65" s="538" t="n"/>
      <c r="U65" s="538" t="n"/>
      <c r="V65" s="522">
        <f>IFERROR((T65-U65),"N/A")</f>
        <v/>
      </c>
      <c r="W65" s="523">
        <f>IFERROR((T65-U65)/ABS(U65),"N/A")</f>
        <v/>
      </c>
      <c r="X65" s="537" t="n"/>
      <c r="Y65" s="512">
        <f>IF(ISNUMBER(SEARCH("SUMPRODUCT",_xlfn.FORMULATEXT(L65),1))=FALSE,IF(ISNUMBER(SEARCH("INDIRECT",_xlfn.FORMULATEXT(L65),1))=TRUE,1,0),2)</f>
        <v/>
      </c>
      <c r="Z65" s="525">
        <f>IFERROR(SUMPRODUCT(--(_xlfn.ISFORMULA(L65)=FALSE),--(C65&lt;&gt;"Other Projects"),--(AC65&lt;&gt;TRUE),L65),0)</f>
        <v/>
      </c>
      <c r="AA65" s="512">
        <f>IFERROR(SUMPRODUCT(--(_xlfn.ISFORMULA(L65)=FALSE),--(C65&lt;&gt;"Other Projects"),--(G65="Yes"),--(AC65&lt;&gt;TRUE),L65),0)</f>
        <v/>
      </c>
      <c r="AB65" s="512">
        <f>IF(_xlfn.ISFORMULA(L65)=TRUE,0,AB62-1)</f>
        <v/>
      </c>
      <c r="AC65" s="512" t="n"/>
    </row>
    <row r="66" ht="15" customFormat="1" customHeight="1" s="266">
      <c r="A66" s="544" t="n"/>
      <c r="B66" s="516" t="inlineStr">
        <is>
          <t>Downstream</t>
        </is>
      </c>
      <c r="C66" s="516" t="inlineStr">
        <is>
          <t>Total</t>
        </is>
      </c>
      <c r="D66" s="905" t="inlineStr">
        <is>
          <t>Cəmi</t>
        </is>
      </c>
      <c r="E66" s="518">
        <f>IF(ISBLANK(C66)=FALSE,"thsd</f>
        <v/>
      </c>
      <c r="F66" s="518">
        <f>IF(ISBLANK(C66)=FALSE,"+","")</f>
        <v/>
      </c>
      <c r="G66" s="519" t="n"/>
      <c r="H66" s="519" t="n"/>
      <c r="I66" s="519" t="n"/>
      <c r="J66" s="519" t="n"/>
      <c r="K66" s="545" t="n"/>
      <c r="L66" s="521">
        <f t="array" ref="L66">SUMPRODUCT(--(($B67:$B$261)=$B66),--(_xlfn.ISFORMULA(L67:L$261)=TRUE),L67:L$261)</f>
        <v/>
      </c>
      <c r="M66" s="521">
        <f t="array" ref="M66">SUMPRODUCT(--(($B67:$B$261)=$B66),--(_xlfn.ISFORMULA(M67:M$261)=TRUE),M67:M$261)</f>
        <v/>
      </c>
      <c r="N66" s="521">
        <f t="array" ref="N66">SUMPRODUCT(--(($B67:$B$261)=$B66),--(_xlfn.ISFORMULA(N67:N$261)=TRUE),N67:N$261)</f>
        <v/>
      </c>
      <c r="O66" s="521">
        <f t="array" ref="O66">SUMPRODUCT(--(($B67:$B$261)=$B66),--(_xlfn.ISFORMULA(O67:O$261)=TRUE),O67:O$261)</f>
        <v/>
      </c>
      <c r="P66" s="521">
        <f t="array" ref="P66">SUMPRODUCT(--(($B67:$B$261)=$B66),--(_xlfn.ISFORMULA(P67:P$261)=TRUE),P67:P$261)</f>
        <v/>
      </c>
      <c r="Q66" s="522">
        <f>IFERROR((O66-P66),"N/A")</f>
        <v/>
      </c>
      <c r="R66" s="523">
        <f>IFERROR((O66-P66)/ABS(P66),"N/A")</f>
        <v/>
      </c>
      <c r="S66" s="545" t="n"/>
      <c r="T66" s="521">
        <f t="array" ref="T66">SUMPRODUCT(--(($B67:$B$261)=$B66),--(_xlfn.ISFORMULA(T67:T$261)=TRUE),T67:T$261)</f>
        <v/>
      </c>
      <c r="U66" s="521">
        <f t="array" ref="U66">SUMPRODUCT(--(($B67:$B$261)=$B66),--(_xlfn.ISFORMULA(U67:U$261)=TRUE),U67:U$261)</f>
        <v/>
      </c>
      <c r="V66" s="522">
        <f>IFERROR((T66-U66),"N/A")</f>
        <v/>
      </c>
      <c r="W66" s="523">
        <f>IFERROR((T66-U66)/ABS(U66),"N/A")</f>
        <v/>
      </c>
      <c r="X66" s="545" t="n"/>
      <c r="Y66" s="512">
        <f>IF(ISNUMBER(SEARCH("SUMPRODUCT",_xlfn.FORMULATEXT(L66),1))=FALSE,IF(ISNUMBER(SEARCH("INDIRECT",_xlfn.FORMULATEXT(L66),1))=TRUE,1,0),2)</f>
        <v/>
      </c>
      <c r="Z66" s="525">
        <f>IFERROR(SUMPRODUCT(--(_xlfn.ISFORMULA(L66)=FALSE),--(C66&lt;&gt;"Other Projects"),--(AC66&lt;&gt;TRUE),L66),0)</f>
        <v/>
      </c>
      <c r="AA66" s="512">
        <f>IFERROR(SUMPRODUCT(--(_xlfn.ISFORMULA(L66)=FALSE),--(C66&lt;&gt;"Other Projects"),--(G66="Yes"),--(AC66&lt;&gt;TRUE),L66),0)</f>
        <v/>
      </c>
      <c r="AB66" s="512">
        <f>IF(_xlfn.ISFORMULA(L66)=TRUE,0,AB65-1)</f>
        <v/>
      </c>
      <c r="AC66" s="512" t="n"/>
    </row>
    <row r="67" outlineLevel="1" ht="15" customFormat="1" customHeight="1" s="266">
      <c r="A67" s="515" t="n"/>
      <c r="B67" s="526" t="inlineStr">
        <is>
          <t>Downstream</t>
        </is>
      </c>
      <c r="C67" s="527" t="inlineStr">
        <is>
          <t xml:space="preserve">Modernization/construction projects </t>
        </is>
      </c>
      <c r="D67" s="527" t="inlineStr">
        <is>
          <t>Modernizasiya</t>
        </is>
      </c>
      <c r="E67" s="518">
        <f>IF(ISBLANK(C67)=FALSE,"thsd</f>
        <v/>
      </c>
      <c r="F67" s="518">
        <f>IF(ISBLANK(C67)=FALSE,"+","")</f>
        <v/>
      </c>
      <c r="G67" s="519" t="n"/>
      <c r="H67" s="519" t="n"/>
      <c r="I67" s="519" t="n"/>
      <c r="J67" s="519" t="n"/>
      <c r="K67" s="537" t="n"/>
      <c r="L67" s="588">
        <f>SUM(INDIRECT(CHAR(COLUMN()+64)&amp;ROW(L68)&amp;":"&amp;IF(_xlfn.ISFORMULA(INDIRECT((ADDRESS(ROW()-1+MATCH(1,$Y68:$Y$261,0),COLUMN(),1,1)))),(ADDRESS(ROW()-2+MATCH(1,$Y68:$Y$261,0),COLUMN(),1,1)),(ADDRESS(ROW()-1+MATCH(1,$Y68:$Y$261,0),COLUMN(),1,1)))))</f>
        <v/>
      </c>
      <c r="M67" s="588">
        <f>SUM(INDIRECT(CHAR(COLUMN()+64)&amp;ROW(M68)&amp;":"&amp;IF(_xlfn.ISFORMULA(INDIRECT((ADDRESS(ROW()-1+MATCH(1,$Y68:$Y$261,0),COLUMN(),1,1)))),(ADDRESS(ROW()-2+MATCH(1,$Y68:$Y$261,0),COLUMN(),1,1)),(ADDRESS(ROW()-1+MATCH(1,$Y68:$Y$261,0),COLUMN(),1,1)))))</f>
        <v/>
      </c>
      <c r="N67" s="588">
        <f>SUM(INDIRECT(CHAR(COLUMN()+64)&amp;ROW(N68)&amp;":"&amp;IF(_xlfn.ISFORMULA(INDIRECT((ADDRESS(ROW()-1+MATCH(1,$Y68:$Y$261,0),COLUMN(),1,1)))),(ADDRESS(ROW()-2+MATCH(1,$Y68:$Y$261,0),COLUMN(),1,1)),(ADDRESS(ROW()-1+MATCH(1,$Y68:$Y$261,0),COLUMN(),1,1)))))</f>
        <v/>
      </c>
      <c r="O67" s="588">
        <f>SUM(INDIRECT(CHAR(COLUMN()+64)&amp;ROW(O68)&amp;":"&amp;IF(_xlfn.ISFORMULA(INDIRECT((ADDRESS(ROW()-1+MATCH(1,$Y68:$Y$261,0),COLUMN(),1,1)))),(ADDRESS(ROW()-2+MATCH(1,$Y68:$Y$261,0),COLUMN(),1,1)),(ADDRESS(ROW()-1+MATCH(1,$Y68:$Y$261,0),COLUMN(),1,1)))))</f>
        <v/>
      </c>
      <c r="P67" s="588">
        <f>SUM(INDIRECT(CHAR(COLUMN()+64)&amp;ROW(P68)&amp;":"&amp;IF(_xlfn.ISFORMULA(INDIRECT((ADDRESS(ROW()-1+MATCH(1,$Y68:$Y$261,0),COLUMN(),1,1)))),(ADDRESS(ROW()-2+MATCH(1,$Y68:$Y$261,0),COLUMN(),1,1)),(ADDRESS(ROW()-1+MATCH(1,$Y68:$Y$261,0),COLUMN(),1,1)))))</f>
        <v/>
      </c>
      <c r="Q67" s="522">
        <f>IFERROR((O67-P67),"N/A")</f>
        <v/>
      </c>
      <c r="R67" s="523">
        <f>IFERROR((O67-P67)/ABS(P67),"N/A")</f>
        <v/>
      </c>
      <c r="S67" s="537" t="n"/>
      <c r="T67" s="588">
        <f>SUM(INDIRECT(CHAR(COLUMN()+64)&amp;ROW(T68)&amp;":"&amp;IF(_xlfn.ISFORMULA(INDIRECT((ADDRESS(ROW()-1+MATCH(1,$Y68:$Y$261,0),COLUMN(),1,1)))),(ADDRESS(ROW()-2+MATCH(1,$Y68:$Y$261,0),COLUMN(),1,1)),(ADDRESS(ROW()-1+MATCH(1,$Y68:$Y$261,0),COLUMN(),1,1)))))</f>
        <v/>
      </c>
      <c r="U67" s="588">
        <f>SUM(INDIRECT(CHAR(COLUMN()+64)&amp;ROW(U68)&amp;":"&amp;IF(_xlfn.ISFORMULA(INDIRECT((ADDRESS(ROW()-1+MATCH(1,$Y68:$Y$261,0),COLUMN(),1,1)))),(ADDRESS(ROW()-2+MATCH(1,$Y68:$Y$261,0),COLUMN(),1,1)),(ADDRESS(ROW()-1+MATCH(1,$Y68:$Y$261,0),COLUMN(),1,1)))))</f>
        <v/>
      </c>
      <c r="V67" s="522">
        <f>IFERROR((T67-U67),"N/A")</f>
        <v/>
      </c>
      <c r="W67" s="523">
        <f>IFERROR((T67-U67)/ABS(U67),"N/A")</f>
        <v/>
      </c>
      <c r="X67" s="537" t="n"/>
      <c r="Y67" s="512">
        <f>IF(ISNUMBER(SEARCH("SUMPRODUCT",_xlfn.FORMULATEXT(L67),1))=FALSE,IF(ISNUMBER(SEARCH("INDIRECT",_xlfn.FORMULATEXT(L67),1))=TRUE,1,0),2)</f>
        <v/>
      </c>
      <c r="Z67" s="525">
        <f>IFERROR(SUMPRODUCT(--(_xlfn.ISFORMULA(L67)=FALSE),--(C67&lt;&gt;"Other Projects"),--(AC67&lt;&gt;TRUE),L67),0)</f>
        <v/>
      </c>
      <c r="AA67" s="512">
        <f>IFERROR(SUMPRODUCT(--(_xlfn.ISFORMULA(L67)=FALSE),--(C67&lt;&gt;"Other Projects"),--(G67="Yes"),--(AC67&lt;&gt;TRUE),L67),0)</f>
        <v/>
      </c>
      <c r="AB67" s="512">
        <f>IF(_xlfn.ISFORMULA(L67)=TRUE,0,AB66-1)</f>
        <v/>
      </c>
      <c r="AC67" s="512" t="n"/>
    </row>
    <row r="68" outlineLevel="1" ht="63.75" customFormat="1" customHeight="1" s="266">
      <c r="A68" s="515" t="n"/>
      <c r="B68" s="526" t="inlineStr">
        <is>
          <t>Downstream</t>
        </is>
      </c>
      <c r="C68" s="530" t="inlineStr">
        <is>
          <t>[Input of the project name]</t>
        </is>
      </c>
      <c r="D68" s="531" t="inlineStr">
        <is>
          <t>[input: brief description of the project, including:</t>
        </is>
      </c>
      <c r="E68" s="518">
        <f>IF(ISBLANK(C68)=FALSE,"thsd</f>
        <v/>
      </c>
      <c r="F68" s="518">
        <f>IF(ISBLANK(C68)=FALSE,"+","")</f>
        <v/>
      </c>
      <c r="G68" s="532" t="n"/>
      <c r="H68" s="533" t="n"/>
      <c r="I68" s="533" t="n"/>
      <c r="J68" s="536" t="n"/>
      <c r="K68" s="537" t="n"/>
      <c r="L68" s="534" t="n"/>
      <c r="M68" s="534" t="n"/>
      <c r="N68" s="534" t="n"/>
      <c r="O68" s="534" t="n"/>
      <c r="P68" s="534" t="n"/>
      <c r="Q68" s="522">
        <f>IFERROR((O68-P68),"N/A")</f>
        <v/>
      </c>
      <c r="R68" s="523">
        <f>IFERROR((O68-P68)/ABS(P68),"N/A")</f>
        <v/>
      </c>
      <c r="S68" s="537" t="n"/>
      <c r="T68" s="546" t="n"/>
      <c r="U68" s="546" t="n"/>
      <c r="V68" s="522">
        <f>IFERROR((T68-U68),"N/A")</f>
        <v/>
      </c>
      <c r="W68" s="523">
        <f>IFERROR((T68-U68)/ABS(U68),"N/A")</f>
        <v/>
      </c>
      <c r="X68" s="537" t="n"/>
      <c r="Y68" s="512">
        <f>IF(ISNUMBER(SEARCH("SUMPRODUCT",_xlfn.FORMULATEXT(L68),1))=FALSE,IF(ISNUMBER(SEARCH("INDIRECT",_xlfn.FORMULATEXT(L68),1))=TRUE,1,0),2)</f>
        <v/>
      </c>
      <c r="Z68" s="525">
        <f>IFERROR(SUMPRODUCT(--(_xlfn.ISFORMULA(L68)=FALSE),--(C68&lt;&gt;"Other Projects"),--(AC68&lt;&gt;TRUE),L68),0)</f>
        <v/>
      </c>
      <c r="AA68" s="512">
        <f>IFERROR(SUMPRODUCT(--(_xlfn.ISFORMULA(L68)=FALSE),--(C68&lt;&gt;"Other Projects"),--(G68="Yes"),--(AC68&lt;&gt;TRUE),L68),0)</f>
        <v/>
      </c>
      <c r="AB68" s="512">
        <f>IF(_xlfn.ISFORMULA(L68)=TRUE,0,AB67-1)</f>
        <v/>
      </c>
      <c r="AC68" s="512" t="n"/>
    </row>
    <row r="69" outlineLevel="1" ht="63.75" customFormat="1" customHeight="1" s="266">
      <c r="A69" s="515" t="n"/>
      <c r="B69" s="526" t="inlineStr">
        <is>
          <t>Downstream</t>
        </is>
      </c>
      <c r="C69" s="530" t="inlineStr">
        <is>
          <t>[Input of the project name]</t>
        </is>
      </c>
      <c r="D69" s="531" t="inlineStr">
        <is>
          <t>[input: brief description of the project, including:</t>
        </is>
      </c>
      <c r="E69" s="518">
        <f>IF(ISBLANK(C69)=FALSE,"thsd</f>
        <v/>
      </c>
      <c r="F69" s="518">
        <f>IF(ISBLANK(C69)=FALSE,"+","")</f>
        <v/>
      </c>
      <c r="G69" s="532" t="n"/>
      <c r="H69" s="533" t="n"/>
      <c r="I69" s="533" t="n"/>
      <c r="J69" s="536" t="n"/>
      <c r="K69" s="537" t="n"/>
      <c r="L69" s="534" t="n"/>
      <c r="M69" s="534" t="n"/>
      <c r="N69" s="534" t="n"/>
      <c r="O69" s="534" t="n"/>
      <c r="P69" s="534" t="n"/>
      <c r="Q69" s="522">
        <f>IFERROR((O69-P69),"N/A")</f>
        <v/>
      </c>
      <c r="R69" s="523">
        <f>IFERROR((O69-P69)/ABS(P69),"N/A")</f>
        <v/>
      </c>
      <c r="S69" s="537" t="n"/>
      <c r="T69" s="546" t="n"/>
      <c r="U69" s="546" t="n"/>
      <c r="V69" s="522">
        <f>IFERROR((T69-U69),"N/A")</f>
        <v/>
      </c>
      <c r="W69" s="523">
        <f>IFERROR((T69-U69)/ABS(U69),"N/A")</f>
        <v/>
      </c>
      <c r="X69" s="537" t="n"/>
      <c r="Y69" s="512">
        <f>IF(ISNUMBER(SEARCH("SUMPRODUCT",_xlfn.FORMULATEXT(L69),1))=FALSE,IF(ISNUMBER(SEARCH("INDIRECT",_xlfn.FORMULATEXT(L69),1))=TRUE,1,0),2)</f>
        <v/>
      </c>
      <c r="Z69" s="525">
        <f>IFERROR(SUMPRODUCT(--(_xlfn.ISFORMULA(L69)=FALSE),--(C69&lt;&gt;"Other Projects"),--(AC69&lt;&gt;TRUE),L69),0)</f>
        <v/>
      </c>
      <c r="AA69" s="512">
        <f>IFERROR(SUMPRODUCT(--(_xlfn.ISFORMULA(L69)=FALSE),--(C69&lt;&gt;"Other Projects"),--(G69="Yes"),--(AC69&lt;&gt;TRUE),L69),0)</f>
        <v/>
      </c>
      <c r="AB69" s="512">
        <f>IF(_xlfn.ISFORMULA(L69)=TRUE,0,AB68-1)</f>
        <v/>
      </c>
      <c r="AC69" s="512" t="n"/>
    </row>
    <row r="70" outlineLevel="1" ht="63.75" customFormat="1" customHeight="1" s="266">
      <c r="A70" s="515" t="n"/>
      <c r="B70" s="526" t="inlineStr">
        <is>
          <t>Downstream</t>
        </is>
      </c>
      <c r="C70" s="530" t="inlineStr">
        <is>
          <t>[Input of the project name]</t>
        </is>
      </c>
      <c r="D70" s="531" t="inlineStr">
        <is>
          <t>[input: brief description of the project, including:</t>
        </is>
      </c>
      <c r="E70" s="518">
        <f>IF(ISBLANK(C70)=FALSE,"thsd</f>
        <v/>
      </c>
      <c r="F70" s="518">
        <f>IF(ISBLANK(C70)=FALSE,"+","")</f>
        <v/>
      </c>
      <c r="G70" s="532" t="n"/>
      <c r="H70" s="533" t="n"/>
      <c r="I70" s="533" t="n"/>
      <c r="J70" s="536" t="n"/>
      <c r="K70" s="537" t="n"/>
      <c r="L70" s="534" t="n"/>
      <c r="M70" s="534" t="n"/>
      <c r="N70" s="534" t="n"/>
      <c r="O70" s="534" t="n"/>
      <c r="P70" s="534" t="n"/>
      <c r="Q70" s="522">
        <f>IFERROR((O70-P70),"N/A")</f>
        <v/>
      </c>
      <c r="R70" s="523">
        <f>IFERROR((O70-P70)/ABS(P70),"N/A")</f>
        <v/>
      </c>
      <c r="S70" s="537" t="n"/>
      <c r="T70" s="546" t="n"/>
      <c r="U70" s="546" t="n"/>
      <c r="V70" s="522">
        <f>IFERROR((T70-U70),"N/A")</f>
        <v/>
      </c>
      <c r="W70" s="523">
        <f>IFERROR((T70-U70)/ABS(U70),"N/A")</f>
        <v/>
      </c>
      <c r="X70" s="537" t="n"/>
      <c r="Y70" s="512">
        <f>IF(ISNUMBER(SEARCH("SUMPRODUCT",_xlfn.FORMULATEXT(L70),1))=FALSE,IF(ISNUMBER(SEARCH("INDIRECT",_xlfn.FORMULATEXT(L70),1))=TRUE,1,0),2)</f>
        <v/>
      </c>
      <c r="Z70" s="525">
        <f>IFERROR(SUMPRODUCT(--(_xlfn.ISFORMULA(L70)=FALSE),--(C70&lt;&gt;"Other Projects"),--(AC70&lt;&gt;TRUE),L70),0)</f>
        <v/>
      </c>
      <c r="AA70" s="512">
        <f>IFERROR(SUMPRODUCT(--(_xlfn.ISFORMULA(L70)=FALSE),--(C70&lt;&gt;"Other Projects"),--(G70="Yes"),--(AC70&lt;&gt;TRUE),L70),0)</f>
        <v/>
      </c>
      <c r="AB70" s="512">
        <f>IF(_xlfn.ISFORMULA(L70)=TRUE,0,AB69-1)</f>
        <v/>
      </c>
      <c r="AC70" s="512" t="n"/>
    </row>
    <row r="71" outlineLevel="1" ht="63.75" customFormat="1" customHeight="1" s="266">
      <c r="A71" s="515" t="n"/>
      <c r="B71" s="526" t="inlineStr">
        <is>
          <t>Downstream</t>
        </is>
      </c>
      <c r="C71" s="530" t="inlineStr">
        <is>
          <t>[Input of the project name]</t>
        </is>
      </c>
      <c r="D71" s="531" t="inlineStr">
        <is>
          <t>[input: brief description of the project, including:</t>
        </is>
      </c>
      <c r="E71" s="518">
        <f>IF(ISBLANK(C71)=FALSE,"thsd</f>
        <v/>
      </c>
      <c r="F71" s="518">
        <f>IF(ISBLANK(C71)=FALSE,"+","")</f>
        <v/>
      </c>
      <c r="G71" s="532" t="n"/>
      <c r="H71" s="533" t="n"/>
      <c r="I71" s="533" t="n"/>
      <c r="J71" s="536" t="n"/>
      <c r="K71" s="537" t="n"/>
      <c r="L71" s="534" t="n"/>
      <c r="M71" s="534" t="n"/>
      <c r="N71" s="534" t="n"/>
      <c r="O71" s="534" t="n"/>
      <c r="P71" s="534" t="n"/>
      <c r="Q71" s="522">
        <f>IFERROR((O71-P71),"N/A")</f>
        <v/>
      </c>
      <c r="R71" s="523">
        <f>IFERROR((O71-P71)/ABS(P71),"N/A")</f>
        <v/>
      </c>
      <c r="S71" s="537" t="n"/>
      <c r="T71" s="546" t="n"/>
      <c r="U71" s="546" t="n"/>
      <c r="V71" s="522">
        <f>IFERROR((T71-U71),"N/A")</f>
        <v/>
      </c>
      <c r="W71" s="523">
        <f>IFERROR((T71-U71)/ABS(U71),"N/A")</f>
        <v/>
      </c>
      <c r="X71" s="537" t="n"/>
      <c r="Y71" s="512">
        <f>IF(ISNUMBER(SEARCH("SUMPRODUCT",_xlfn.FORMULATEXT(L71),1))=FALSE,IF(ISNUMBER(SEARCH("INDIRECT",_xlfn.FORMULATEXT(L71),1))=TRUE,1,0),2)</f>
        <v/>
      </c>
      <c r="Z71" s="525">
        <f>IFERROR(SUMPRODUCT(--(_xlfn.ISFORMULA(L71)=FALSE),--(C71&lt;&gt;"Other Projects"),--(AC71&lt;&gt;TRUE),L71),0)</f>
        <v/>
      </c>
      <c r="AA71" s="512">
        <f>IFERROR(SUMPRODUCT(--(_xlfn.ISFORMULA(L71)=FALSE),--(C71&lt;&gt;"Other Projects"),--(G71="Yes"),--(AC71&lt;&gt;TRUE),L71),0)</f>
        <v/>
      </c>
      <c r="AB71" s="512">
        <f>IF(_xlfn.ISFORMULA(L71)=TRUE,0,AB70-1)</f>
        <v/>
      </c>
      <c r="AC71" s="512" t="n"/>
    </row>
    <row r="72" outlineLevel="1" ht="63.75" customFormat="1" customHeight="1" s="266">
      <c r="A72" s="515" t="n"/>
      <c r="B72" s="526" t="inlineStr">
        <is>
          <t>Downstream</t>
        </is>
      </c>
      <c r="C72" s="530" t="inlineStr">
        <is>
          <t>[Input of the project name]</t>
        </is>
      </c>
      <c r="D72" s="531" t="inlineStr">
        <is>
          <t>[input: brief description of the project, including:</t>
        </is>
      </c>
      <c r="E72" s="518">
        <f>IF(ISBLANK(C72)=FALSE,"thsd</f>
        <v/>
      </c>
      <c r="F72" s="518">
        <f>IF(ISBLANK(C72)=FALSE,"+","")</f>
        <v/>
      </c>
      <c r="G72" s="532" t="n"/>
      <c r="H72" s="533" t="n"/>
      <c r="I72" s="533" t="n"/>
      <c r="J72" s="536" t="n"/>
      <c r="K72" s="537" t="n"/>
      <c r="L72" s="534" t="n"/>
      <c r="M72" s="534" t="n"/>
      <c r="N72" s="534" t="n"/>
      <c r="O72" s="534" t="n"/>
      <c r="P72" s="534" t="n"/>
      <c r="Q72" s="522">
        <f>IFERROR((O72-P72),"N/A")</f>
        <v/>
      </c>
      <c r="R72" s="523">
        <f>IFERROR((O72-P72)/ABS(P72),"N/A")</f>
        <v/>
      </c>
      <c r="S72" s="537" t="n"/>
      <c r="T72" s="546" t="n"/>
      <c r="U72" s="546" t="n"/>
      <c r="V72" s="522">
        <f>IFERROR((T72-U72),"N/A")</f>
        <v/>
      </c>
      <c r="W72" s="523">
        <f>IFERROR((T72-U72)/ABS(U72),"N/A")</f>
        <v/>
      </c>
      <c r="X72" s="537" t="n"/>
      <c r="Y72" s="512">
        <f>IF(ISNUMBER(SEARCH("SUMPRODUCT",_xlfn.FORMULATEXT(L72),1))=FALSE,IF(ISNUMBER(SEARCH("INDIRECT",_xlfn.FORMULATEXT(L72),1))=TRUE,1,0),2)</f>
        <v/>
      </c>
      <c r="Z72" s="525">
        <f>IFERROR(SUMPRODUCT(--(_xlfn.ISFORMULA(L72)=FALSE),--(C72&lt;&gt;"Other Projects"),--(AC72&lt;&gt;TRUE),L72),0)</f>
        <v/>
      </c>
      <c r="AA72" s="512">
        <f>IFERROR(SUMPRODUCT(--(_xlfn.ISFORMULA(L72)=FALSE),--(C72&lt;&gt;"Other Projects"),--(G72="Yes"),--(AC72&lt;&gt;TRUE),L72),0)</f>
        <v/>
      </c>
      <c r="AB72" s="512">
        <f>IF(_xlfn.ISFORMULA(L72)=TRUE,0,AB71-1)</f>
        <v/>
      </c>
      <c r="AC72" s="512" t="n"/>
    </row>
    <row r="73" outlineLevel="1" ht="63.75" customFormat="1" customHeight="1" s="266">
      <c r="A73" s="515" t="n"/>
      <c r="B73" s="526" t="inlineStr">
        <is>
          <t>Downstream</t>
        </is>
      </c>
      <c r="C73" s="530" t="inlineStr">
        <is>
          <t>[Input of the project name]</t>
        </is>
      </c>
      <c r="D73" s="531" t="inlineStr">
        <is>
          <t>[input: brief description of the project, including:</t>
        </is>
      </c>
      <c r="E73" s="518">
        <f>IF(ISBLANK(C73)=FALSE,"thsd</f>
        <v/>
      </c>
      <c r="F73" s="518">
        <f>IF(ISBLANK(C73)=FALSE,"+","")</f>
        <v/>
      </c>
      <c r="G73" s="532" t="n"/>
      <c r="H73" s="533" t="n"/>
      <c r="I73" s="533" t="n"/>
      <c r="J73" s="536" t="n"/>
      <c r="K73" s="537" t="n"/>
      <c r="L73" s="534" t="n"/>
      <c r="M73" s="534" t="n"/>
      <c r="N73" s="534" t="n"/>
      <c r="O73" s="534" t="n"/>
      <c r="P73" s="534" t="n"/>
      <c r="Q73" s="522">
        <f>IFERROR((O73-P73),"N/A")</f>
        <v/>
      </c>
      <c r="R73" s="523">
        <f>IFERROR((O73-P73)/ABS(P73),"N/A")</f>
        <v/>
      </c>
      <c r="S73" s="537" t="n"/>
      <c r="T73" s="546" t="n"/>
      <c r="U73" s="546" t="n"/>
      <c r="V73" s="522">
        <f>IFERROR((T73-U73),"N/A")</f>
        <v/>
      </c>
      <c r="W73" s="523">
        <f>IFERROR((T73-U73)/ABS(U73),"N/A")</f>
        <v/>
      </c>
      <c r="X73" s="537" t="n"/>
      <c r="Y73" s="512">
        <f>IF(ISNUMBER(SEARCH("SUMPRODUCT",_xlfn.FORMULATEXT(L73),1))=FALSE,IF(ISNUMBER(SEARCH("INDIRECT",_xlfn.FORMULATEXT(L73),1))=TRUE,1,0),2)</f>
        <v/>
      </c>
      <c r="Z73" s="525">
        <f>IFERROR(SUMPRODUCT(--(_xlfn.ISFORMULA(L73)=FALSE),--(C73&lt;&gt;"Other Projects"),--(AC73&lt;&gt;TRUE),L73),0)</f>
        <v/>
      </c>
      <c r="AA73" s="512">
        <f>IFERROR(SUMPRODUCT(--(_xlfn.ISFORMULA(L73)=FALSE),--(C73&lt;&gt;"Other Projects"),--(G73="Yes"),--(AC73&lt;&gt;TRUE),L73),0)</f>
        <v/>
      </c>
      <c r="AB73" s="512">
        <f>IF(_xlfn.ISFORMULA(L73)=TRUE,0,AB72-1)</f>
        <v/>
      </c>
      <c r="AC73" s="512" t="n"/>
    </row>
    <row r="74" outlineLevel="1" ht="63.75" customFormat="1" customHeight="1" s="266">
      <c r="A74" s="515" t="n"/>
      <c r="B74" s="526" t="inlineStr">
        <is>
          <t>Downstream</t>
        </is>
      </c>
      <c r="C74" s="530" t="inlineStr">
        <is>
          <t>[Input of the project name]</t>
        </is>
      </c>
      <c r="D74" s="531" t="inlineStr">
        <is>
          <t>[input: brief description of the project, including:</t>
        </is>
      </c>
      <c r="E74" s="518">
        <f>IF(ISBLANK(C74)=FALSE,"thsd</f>
        <v/>
      </c>
      <c r="F74" s="518">
        <f>IF(ISBLANK(C74)=FALSE,"+","")</f>
        <v/>
      </c>
      <c r="G74" s="532" t="n"/>
      <c r="H74" s="533" t="n"/>
      <c r="I74" s="533" t="n"/>
      <c r="J74" s="536" t="n"/>
      <c r="K74" s="537" t="n"/>
      <c r="L74" s="534" t="n"/>
      <c r="M74" s="534" t="n"/>
      <c r="N74" s="534" t="n"/>
      <c r="O74" s="534" t="n"/>
      <c r="P74" s="534" t="n"/>
      <c r="Q74" s="522">
        <f>IFERROR((O74-P74),"N/A")</f>
        <v/>
      </c>
      <c r="R74" s="523">
        <f>IFERROR((O74-P74)/ABS(P74),"N/A")</f>
        <v/>
      </c>
      <c r="S74" s="537" t="n"/>
      <c r="T74" s="546" t="n"/>
      <c r="U74" s="546" t="n"/>
      <c r="V74" s="522">
        <f>IFERROR((T74-U74),"N/A")</f>
        <v/>
      </c>
      <c r="W74" s="523">
        <f>IFERROR((T74-U74)/ABS(U74),"N/A")</f>
        <v/>
      </c>
      <c r="X74" s="537" t="n"/>
      <c r="Y74" s="512">
        <f>IF(ISNUMBER(SEARCH("SUMPRODUCT",_xlfn.FORMULATEXT(L74),1))=FALSE,IF(ISNUMBER(SEARCH("INDIRECT",_xlfn.FORMULATEXT(L74),1))=TRUE,1,0),2)</f>
        <v/>
      </c>
      <c r="Z74" s="525">
        <f>IFERROR(SUMPRODUCT(--(_xlfn.ISFORMULA(L74)=FALSE),--(C74&lt;&gt;"Other Projects"),--(AC74&lt;&gt;TRUE),L74),0)</f>
        <v/>
      </c>
      <c r="AA74" s="512">
        <f>IFERROR(SUMPRODUCT(--(_xlfn.ISFORMULA(L74)=FALSE),--(C74&lt;&gt;"Other Projects"),--(G74="Yes"),--(AC74&lt;&gt;TRUE),L74),0)</f>
        <v/>
      </c>
      <c r="AB74" s="512">
        <f>IF(_xlfn.ISFORMULA(L74)=TRUE,0,AB73-1)</f>
        <v/>
      </c>
      <c r="AC74" s="512" t="n"/>
    </row>
    <row r="75" outlineLevel="1" ht="63.75" customFormat="1" customHeight="1" s="266">
      <c r="A75" s="515" t="n"/>
      <c r="B75" s="526" t="inlineStr">
        <is>
          <t>Downstream</t>
        </is>
      </c>
      <c r="C75" s="530" t="inlineStr">
        <is>
          <t>[Input of the project name]</t>
        </is>
      </c>
      <c r="D75" s="531" t="inlineStr">
        <is>
          <t>[input: brief description of the project, including:</t>
        </is>
      </c>
      <c r="E75" s="518">
        <f>IF(ISBLANK(C75)=FALSE,"thsd</f>
        <v/>
      </c>
      <c r="F75" s="518">
        <f>IF(ISBLANK(C75)=FALSE,"+","")</f>
        <v/>
      </c>
      <c r="G75" s="532" t="n"/>
      <c r="H75" s="533" t="n"/>
      <c r="I75" s="533" t="n"/>
      <c r="J75" s="536" t="n"/>
      <c r="K75" s="537" t="n"/>
      <c r="L75" s="534" t="n"/>
      <c r="M75" s="534" t="n"/>
      <c r="N75" s="534" t="n"/>
      <c r="O75" s="534" t="n"/>
      <c r="P75" s="534" t="n"/>
      <c r="Q75" s="522">
        <f>IFERROR((O75-P75),"N/A")</f>
        <v/>
      </c>
      <c r="R75" s="523">
        <f>IFERROR((O75-P75)/ABS(P75),"N/A")</f>
        <v/>
      </c>
      <c r="S75" s="537" t="n"/>
      <c r="T75" s="546" t="n"/>
      <c r="U75" s="546" t="n"/>
      <c r="V75" s="522">
        <f>IFERROR((T75-U75),"N/A")</f>
        <v/>
      </c>
      <c r="W75" s="523">
        <f>IFERROR((T75-U75)/ABS(U75),"N/A")</f>
        <v/>
      </c>
      <c r="X75" s="537" t="n"/>
      <c r="Y75" s="512">
        <f>IF(ISNUMBER(SEARCH("SUMPRODUCT",_xlfn.FORMULATEXT(L75),1))=FALSE,IF(ISNUMBER(SEARCH("INDIRECT",_xlfn.FORMULATEXT(L75),1))=TRUE,1,0),2)</f>
        <v/>
      </c>
      <c r="Z75" s="525">
        <f>IFERROR(SUMPRODUCT(--(_xlfn.ISFORMULA(L75)=FALSE),--(C75&lt;&gt;"Other Projects"),--(AC75&lt;&gt;TRUE),L75),0)</f>
        <v/>
      </c>
      <c r="AA75" s="512">
        <f>IFERROR(SUMPRODUCT(--(_xlfn.ISFORMULA(L75)=FALSE),--(C75&lt;&gt;"Other Projects"),--(G75="Yes"),--(AC75&lt;&gt;TRUE),L75),0)</f>
        <v/>
      </c>
      <c r="AB75" s="512">
        <f>IF(_xlfn.ISFORMULA(L75)=TRUE,0,AB74-1)</f>
        <v/>
      </c>
      <c r="AC75" s="512" t="n"/>
    </row>
    <row r="76" outlineLevel="1" ht="63.75" customFormat="1" customHeight="1" s="266">
      <c r="A76" s="515" t="n"/>
      <c r="B76" s="526" t="inlineStr">
        <is>
          <t>Downstream</t>
        </is>
      </c>
      <c r="C76" s="530" t="inlineStr">
        <is>
          <t>[Input of the project name]</t>
        </is>
      </c>
      <c r="D76" s="531" t="inlineStr">
        <is>
          <t>[input: brief description of the project, including:</t>
        </is>
      </c>
      <c r="E76" s="518">
        <f>IF(ISBLANK(C76)=FALSE,"thsd</f>
        <v/>
      </c>
      <c r="F76" s="518">
        <f>IF(ISBLANK(C76)=FALSE,"+","")</f>
        <v/>
      </c>
      <c r="G76" s="532" t="n"/>
      <c r="H76" s="533" t="n"/>
      <c r="I76" s="533" t="n"/>
      <c r="J76" s="536" t="n"/>
      <c r="K76" s="537" t="n"/>
      <c r="L76" s="534" t="n"/>
      <c r="M76" s="534" t="n"/>
      <c r="N76" s="534" t="n"/>
      <c r="O76" s="534" t="n"/>
      <c r="P76" s="534" t="n"/>
      <c r="Q76" s="522">
        <f>IFERROR((O76-P76),"N/A")</f>
        <v/>
      </c>
      <c r="R76" s="523">
        <f>IFERROR((O76-P76)/ABS(P76),"N/A")</f>
        <v/>
      </c>
      <c r="S76" s="537" t="n"/>
      <c r="T76" s="546" t="n"/>
      <c r="U76" s="546" t="n"/>
      <c r="V76" s="522">
        <f>IFERROR((T76-U76),"N/A")</f>
        <v/>
      </c>
      <c r="W76" s="523">
        <f>IFERROR((T76-U76)/ABS(U76),"N/A")</f>
        <v/>
      </c>
      <c r="X76" s="537" t="n"/>
      <c r="Y76" s="512">
        <f>IF(ISNUMBER(SEARCH("SUMPRODUCT",_xlfn.FORMULATEXT(L76),1))=FALSE,IF(ISNUMBER(SEARCH("INDIRECT",_xlfn.FORMULATEXT(L76),1))=TRUE,1,0),2)</f>
        <v/>
      </c>
      <c r="Z76" s="525">
        <f>IFERROR(SUMPRODUCT(--(_xlfn.ISFORMULA(L76)=FALSE),--(C76&lt;&gt;"Other Projects"),--(AC76&lt;&gt;TRUE),L76),0)</f>
        <v/>
      </c>
      <c r="AA76" s="512">
        <f>IFERROR(SUMPRODUCT(--(_xlfn.ISFORMULA(L76)=FALSE),--(C76&lt;&gt;"Other Projects"),--(G76="Yes"),--(AC76&lt;&gt;TRUE),L76),0)</f>
        <v/>
      </c>
      <c r="AB76" s="512">
        <f>IF(_xlfn.ISFORMULA(L76)=TRUE,0,AB75-1)</f>
        <v/>
      </c>
      <c r="AC76" s="512" t="n"/>
    </row>
    <row r="77" outlineLevel="1" ht="63.75" customFormat="1" customHeight="1" s="266">
      <c r="A77" s="515" t="n"/>
      <c r="B77" s="526" t="inlineStr">
        <is>
          <t>Downstream</t>
        </is>
      </c>
      <c r="C77" s="530" t="inlineStr">
        <is>
          <t>[Input of the project name]</t>
        </is>
      </c>
      <c r="D77" s="531" t="inlineStr">
        <is>
          <t>[input: brief description of the project, including:</t>
        </is>
      </c>
      <c r="E77" s="518">
        <f>IF(ISBLANK(C77)=FALSE,"thsd</f>
        <v/>
      </c>
      <c r="F77" s="518">
        <f>IF(ISBLANK(C77)=FALSE,"+","")</f>
        <v/>
      </c>
      <c r="G77" s="532" t="n"/>
      <c r="H77" s="533" t="n"/>
      <c r="I77" s="533" t="n"/>
      <c r="J77" s="536" t="n"/>
      <c r="K77" s="537" t="n"/>
      <c r="L77" s="534" t="n"/>
      <c r="M77" s="534" t="n"/>
      <c r="N77" s="534" t="n"/>
      <c r="O77" s="534" t="n"/>
      <c r="P77" s="534" t="n"/>
      <c r="Q77" s="522">
        <f>IFERROR((O77-P77),"N/A")</f>
        <v/>
      </c>
      <c r="R77" s="523">
        <f>IFERROR((O77-P77)/ABS(P77),"N/A")</f>
        <v/>
      </c>
      <c r="S77" s="537" t="n"/>
      <c r="T77" s="546" t="n"/>
      <c r="U77" s="546" t="n"/>
      <c r="V77" s="522">
        <f>IFERROR((T77-U77),"N/A")</f>
        <v/>
      </c>
      <c r="W77" s="523">
        <f>IFERROR((T77-U77)/ABS(U77),"N/A")</f>
        <v/>
      </c>
      <c r="X77" s="537" t="n"/>
      <c r="Y77" s="512">
        <f>IF(ISNUMBER(SEARCH("SUMPRODUCT",_xlfn.FORMULATEXT(L77),1))=FALSE,IF(ISNUMBER(SEARCH("INDIRECT",_xlfn.FORMULATEXT(L77),1))=TRUE,1,0),2)</f>
        <v/>
      </c>
      <c r="Z77" s="525">
        <f>IFERROR(SUMPRODUCT(--(_xlfn.ISFORMULA(L77)=FALSE),--(C77&lt;&gt;"Other Projects"),--(AC77&lt;&gt;TRUE),L77),0)</f>
        <v/>
      </c>
      <c r="AA77" s="512">
        <f>IFERROR(SUMPRODUCT(--(_xlfn.ISFORMULA(L77)=FALSE),--(C77&lt;&gt;"Other Projects"),--(G77="Yes"),--(AC77&lt;&gt;TRUE),L77),0)</f>
        <v/>
      </c>
      <c r="AB77" s="512">
        <f>IF(_xlfn.ISFORMULA(L77)=TRUE,0,AB76-1)</f>
        <v/>
      </c>
      <c r="AC77" s="512" t="n"/>
    </row>
    <row r="78" outlineLevel="1" ht="63.75" customFormat="1" customHeight="1" s="266">
      <c r="A78" s="515" t="n"/>
      <c r="B78" s="526" t="inlineStr">
        <is>
          <t>Downstream</t>
        </is>
      </c>
      <c r="C78" s="530" t="inlineStr">
        <is>
          <t>[Input of the project name]</t>
        </is>
      </c>
      <c r="D78" s="531" t="inlineStr">
        <is>
          <t>[input: brief description of the project, including:</t>
        </is>
      </c>
      <c r="E78" s="518">
        <f>IF(ISBLANK(C78)=FALSE,"thsd</f>
        <v/>
      </c>
      <c r="F78" s="518">
        <f>IF(ISBLANK(C78)=FALSE,"+","")</f>
        <v/>
      </c>
      <c r="G78" s="532" t="n"/>
      <c r="H78" s="533" t="n"/>
      <c r="I78" s="533" t="n"/>
      <c r="J78" s="536" t="n"/>
      <c r="K78" s="537" t="n"/>
      <c r="L78" s="534" t="n"/>
      <c r="M78" s="534" t="n"/>
      <c r="N78" s="534" t="n"/>
      <c r="O78" s="534" t="n"/>
      <c r="P78" s="534" t="n"/>
      <c r="Q78" s="522">
        <f>IFERROR((O78-P78),"N/A")</f>
        <v/>
      </c>
      <c r="R78" s="523">
        <f>IFERROR((O78-P78)/ABS(P78),"N/A")</f>
        <v/>
      </c>
      <c r="S78" s="537" t="n"/>
      <c r="T78" s="546" t="n"/>
      <c r="U78" s="546" t="n"/>
      <c r="V78" s="522">
        <f>IFERROR((T78-U78),"N/A")</f>
        <v/>
      </c>
      <c r="W78" s="523">
        <f>IFERROR((T78-U78)/ABS(U78),"N/A")</f>
        <v/>
      </c>
      <c r="X78" s="537" t="n"/>
      <c r="Y78" s="512">
        <f>IF(ISNUMBER(SEARCH("SUMPRODUCT",_xlfn.FORMULATEXT(L78),1))=FALSE,IF(ISNUMBER(SEARCH("INDIRECT",_xlfn.FORMULATEXT(L78),1))=TRUE,1,0),2)</f>
        <v/>
      </c>
      <c r="Z78" s="525">
        <f>IFERROR(SUMPRODUCT(--(_xlfn.ISFORMULA(L78)=FALSE),--(C78&lt;&gt;"Other Projects"),--(AC78&lt;&gt;TRUE),L78),0)</f>
        <v/>
      </c>
      <c r="AA78" s="512">
        <f>IFERROR(SUMPRODUCT(--(_xlfn.ISFORMULA(L78)=FALSE),--(C78&lt;&gt;"Other Projects"),--(G78="Yes"),--(AC78&lt;&gt;TRUE),L78),0)</f>
        <v/>
      </c>
      <c r="AB78" s="512">
        <f>IF(_xlfn.ISFORMULA(L78)=TRUE,0,AB77-1)</f>
        <v/>
      </c>
      <c r="AC78" s="512" t="n"/>
    </row>
    <row r="79" outlineLevel="1" ht="63.75" customFormat="1" customHeight="1" s="266">
      <c r="A79" s="515" t="n"/>
      <c r="B79" s="526" t="inlineStr">
        <is>
          <t>Downstream</t>
        </is>
      </c>
      <c r="C79" s="530" t="inlineStr">
        <is>
          <t>[Input of the project name]</t>
        </is>
      </c>
      <c r="D79" s="531" t="inlineStr">
        <is>
          <t>[input: brief description of the project, including:</t>
        </is>
      </c>
      <c r="E79" s="518">
        <f>IF(ISBLANK(C79)=FALSE,"thsd</f>
        <v/>
      </c>
      <c r="F79" s="518">
        <f>IF(ISBLANK(C79)=FALSE,"+","")</f>
        <v/>
      </c>
      <c r="G79" s="532" t="n"/>
      <c r="H79" s="533" t="n"/>
      <c r="I79" s="533" t="n"/>
      <c r="J79" s="536" t="n"/>
      <c r="K79" s="537" t="n"/>
      <c r="L79" s="534" t="n"/>
      <c r="M79" s="534" t="n"/>
      <c r="N79" s="534" t="n"/>
      <c r="O79" s="534" t="n"/>
      <c r="P79" s="534" t="n"/>
      <c r="Q79" s="522">
        <f>IFERROR((O79-P79),"N/A")</f>
        <v/>
      </c>
      <c r="R79" s="523">
        <f>IFERROR((O79-P79)/ABS(P79),"N/A")</f>
        <v/>
      </c>
      <c r="S79" s="537" t="n"/>
      <c r="T79" s="546" t="n"/>
      <c r="U79" s="546" t="n"/>
      <c r="V79" s="522">
        <f>IFERROR((T79-U79),"N/A")</f>
        <v/>
      </c>
      <c r="W79" s="523">
        <f>IFERROR((T79-U79)/ABS(U79),"N/A")</f>
        <v/>
      </c>
      <c r="X79" s="537" t="n"/>
      <c r="Y79" s="512">
        <f>IF(ISNUMBER(SEARCH("SUMPRODUCT",_xlfn.FORMULATEXT(L79),1))=FALSE,IF(ISNUMBER(SEARCH("INDIRECT",_xlfn.FORMULATEXT(L79),1))=TRUE,1,0),2)</f>
        <v/>
      </c>
      <c r="Z79" s="525">
        <f>IFERROR(SUMPRODUCT(--(_xlfn.ISFORMULA(L79)=FALSE),--(C79&lt;&gt;"Other Projects"),--(AC79&lt;&gt;TRUE),L79),0)</f>
        <v/>
      </c>
      <c r="AA79" s="512">
        <f>IFERROR(SUMPRODUCT(--(_xlfn.ISFORMULA(L79)=FALSE),--(C79&lt;&gt;"Other Projects"),--(G79="Yes"),--(AC79&lt;&gt;TRUE),L79),0)</f>
        <v/>
      </c>
      <c r="AB79" s="512">
        <f>IF(_xlfn.ISFORMULA(L79)=TRUE,0,AB78-1)</f>
        <v/>
      </c>
      <c r="AC79" s="512" t="n"/>
    </row>
    <row r="80" outlineLevel="1" ht="63.75" customFormat="1" customHeight="1" s="266">
      <c r="A80" s="515" t="n"/>
      <c r="B80" s="526" t="inlineStr">
        <is>
          <t>Downstream</t>
        </is>
      </c>
      <c r="C80" s="530" t="inlineStr">
        <is>
          <t>[Input of the project name]</t>
        </is>
      </c>
      <c r="D80" s="531" t="inlineStr">
        <is>
          <t>[input: brief description of the project, including:</t>
        </is>
      </c>
      <c r="E80" s="518">
        <f>IF(ISBLANK(C80)=FALSE,"thsd</f>
        <v/>
      </c>
      <c r="F80" s="518">
        <f>IF(ISBLANK(C80)=FALSE,"+","")</f>
        <v/>
      </c>
      <c r="G80" s="532" t="n"/>
      <c r="H80" s="533" t="n"/>
      <c r="I80" s="533" t="n"/>
      <c r="J80" s="536" t="n"/>
      <c r="K80" s="537" t="n"/>
      <c r="L80" s="534" t="n"/>
      <c r="M80" s="534" t="n"/>
      <c r="N80" s="534" t="n"/>
      <c r="O80" s="534" t="n"/>
      <c r="P80" s="534" t="n"/>
      <c r="Q80" s="522">
        <f>IFERROR((O80-P80),"N/A")</f>
        <v/>
      </c>
      <c r="R80" s="523">
        <f>IFERROR((O80-P80)/ABS(P80),"N/A")</f>
        <v/>
      </c>
      <c r="S80" s="537" t="n"/>
      <c r="T80" s="546" t="n"/>
      <c r="U80" s="546" t="n"/>
      <c r="V80" s="522">
        <f>IFERROR((T80-U80),"N/A")</f>
        <v/>
      </c>
      <c r="W80" s="523">
        <f>IFERROR((T80-U80)/ABS(U80),"N/A")</f>
        <v/>
      </c>
      <c r="X80" s="537" t="n"/>
      <c r="Y80" s="512">
        <f>IF(ISNUMBER(SEARCH("SUMPRODUCT",_xlfn.FORMULATEXT(L80),1))=FALSE,IF(ISNUMBER(SEARCH("INDIRECT",_xlfn.FORMULATEXT(L80),1))=TRUE,1,0),2)</f>
        <v/>
      </c>
      <c r="Z80" s="525">
        <f>IFERROR(SUMPRODUCT(--(_xlfn.ISFORMULA(L80)=FALSE),--(C80&lt;&gt;"Other Projects"),--(AC80&lt;&gt;TRUE),L80),0)</f>
        <v/>
      </c>
      <c r="AA80" s="512">
        <f>IFERROR(SUMPRODUCT(--(_xlfn.ISFORMULA(L80)=FALSE),--(C80&lt;&gt;"Other Projects"),--(G80="Yes"),--(AC80&lt;&gt;TRUE),L80),0)</f>
        <v/>
      </c>
      <c r="AB80" s="512">
        <f>IF(_xlfn.ISFORMULA(L80)=TRUE,0,AB79-1)</f>
        <v/>
      </c>
      <c r="AC80" s="512" t="n"/>
    </row>
    <row r="81" outlineLevel="1" ht="63.75" customFormat="1" customHeight="1" s="266">
      <c r="A81" s="515" t="n"/>
      <c r="B81" s="526" t="inlineStr">
        <is>
          <t>Downstream</t>
        </is>
      </c>
      <c r="C81" s="530" t="inlineStr">
        <is>
          <t>[Input of the project name]</t>
        </is>
      </c>
      <c r="D81" s="531" t="inlineStr">
        <is>
          <t>[input: brief description of the project, including:</t>
        </is>
      </c>
      <c r="E81" s="518">
        <f>IF(ISBLANK(C81)=FALSE,"thsd</f>
        <v/>
      </c>
      <c r="F81" s="518">
        <f>IF(ISBLANK(C81)=FALSE,"+","")</f>
        <v/>
      </c>
      <c r="G81" s="532" t="n"/>
      <c r="H81" s="533" t="n"/>
      <c r="I81" s="533" t="n"/>
      <c r="J81" s="536" t="n"/>
      <c r="K81" s="537" t="n"/>
      <c r="L81" s="534" t="n"/>
      <c r="M81" s="534" t="n"/>
      <c r="N81" s="534" t="n"/>
      <c r="O81" s="534" t="n"/>
      <c r="P81" s="534" t="n"/>
      <c r="Q81" s="522">
        <f>IFERROR((O81-P81),"N/A")</f>
        <v/>
      </c>
      <c r="R81" s="523">
        <f>IFERROR((O81-P81)/ABS(P81),"N/A")</f>
        <v/>
      </c>
      <c r="S81" s="537" t="n"/>
      <c r="T81" s="546" t="n"/>
      <c r="U81" s="546" t="n"/>
      <c r="V81" s="522">
        <f>IFERROR((T81-U81),"N/A")</f>
        <v/>
      </c>
      <c r="W81" s="523">
        <f>IFERROR((T81-U81)/ABS(U81),"N/A")</f>
        <v/>
      </c>
      <c r="X81" s="537" t="n"/>
      <c r="Y81" s="512">
        <f>IF(ISNUMBER(SEARCH("SUMPRODUCT",_xlfn.FORMULATEXT(L81),1))=FALSE,IF(ISNUMBER(SEARCH("INDIRECT",_xlfn.FORMULATEXT(L81),1))=TRUE,1,0),2)</f>
        <v/>
      </c>
      <c r="Z81" s="525">
        <f>IFERROR(SUMPRODUCT(--(_xlfn.ISFORMULA(L81)=FALSE),--(C81&lt;&gt;"Other Projects"),--(AC81&lt;&gt;TRUE),L81),0)</f>
        <v/>
      </c>
      <c r="AA81" s="512">
        <f>IFERROR(SUMPRODUCT(--(_xlfn.ISFORMULA(L81)=FALSE),--(C81&lt;&gt;"Other Projects"),--(G81="Yes"),--(AC81&lt;&gt;TRUE),L81),0)</f>
        <v/>
      </c>
      <c r="AB81" s="512">
        <f>IF(_xlfn.ISFORMULA(L81)=TRUE,0,AB80-1)</f>
        <v/>
      </c>
      <c r="AC81" s="512" t="n"/>
    </row>
    <row r="82" outlineLevel="1" ht="63.75" customFormat="1" customHeight="1" s="266">
      <c r="A82" s="515" t="n"/>
      <c r="B82" s="526" t="inlineStr">
        <is>
          <t>Downstream</t>
        </is>
      </c>
      <c r="C82" s="530" t="inlineStr">
        <is>
          <t>[Input of the project name]</t>
        </is>
      </c>
      <c r="D82" s="531" t="inlineStr">
        <is>
          <t>[input: brief description of the project, including:</t>
        </is>
      </c>
      <c r="E82" s="518">
        <f>IF(ISBLANK(C82)=FALSE,"thsd</f>
        <v/>
      </c>
      <c r="F82" s="518">
        <f>IF(ISBLANK(C82)=FALSE,"+","")</f>
        <v/>
      </c>
      <c r="G82" s="532" t="n"/>
      <c r="H82" s="533" t="n"/>
      <c r="I82" s="533" t="n"/>
      <c r="J82" s="536" t="n"/>
      <c r="K82" s="537" t="n"/>
      <c r="L82" s="534" t="n"/>
      <c r="M82" s="534" t="n"/>
      <c r="N82" s="534" t="n"/>
      <c r="O82" s="534" t="n"/>
      <c r="P82" s="534" t="n"/>
      <c r="Q82" s="522">
        <f>IFERROR((O82-P82),"N/A")</f>
        <v/>
      </c>
      <c r="R82" s="523">
        <f>IFERROR((O82-P82)/ABS(P82),"N/A")</f>
        <v/>
      </c>
      <c r="S82" s="537" t="n"/>
      <c r="T82" s="546" t="n"/>
      <c r="U82" s="546" t="n"/>
      <c r="V82" s="522">
        <f>IFERROR((T82-U82),"N/A")</f>
        <v/>
      </c>
      <c r="W82" s="523">
        <f>IFERROR((T82-U82)/ABS(U82),"N/A")</f>
        <v/>
      </c>
      <c r="X82" s="537" t="n"/>
      <c r="Y82" s="512">
        <f>IF(ISNUMBER(SEARCH("SUMPRODUCT",_xlfn.FORMULATEXT(L82),1))=FALSE,IF(ISNUMBER(SEARCH("INDIRECT",_xlfn.FORMULATEXT(L82),1))=TRUE,1,0),2)</f>
        <v/>
      </c>
      <c r="Z82" s="525">
        <f>IFERROR(SUMPRODUCT(--(_xlfn.ISFORMULA(L82)=FALSE),--(C82&lt;&gt;"Other Projects"),--(AC82&lt;&gt;TRUE),L82),0)</f>
        <v/>
      </c>
      <c r="AA82" s="512">
        <f>IFERROR(SUMPRODUCT(--(_xlfn.ISFORMULA(L82)=FALSE),--(C82&lt;&gt;"Other Projects"),--(G82="Yes"),--(AC82&lt;&gt;TRUE),L82),0)</f>
        <v/>
      </c>
      <c r="AB82" s="512">
        <f>IF(_xlfn.ISFORMULA(L82)=TRUE,0,AB81-1)</f>
        <v/>
      </c>
      <c r="AC82" s="512" t="n"/>
    </row>
    <row r="83" outlineLevel="1" ht="63.75" customFormat="1" customHeight="1" s="266">
      <c r="A83" s="515" t="n"/>
      <c r="B83" s="526" t="inlineStr">
        <is>
          <t>Downstream</t>
        </is>
      </c>
      <c r="C83" s="530" t="inlineStr">
        <is>
          <t>[Input of the project name]</t>
        </is>
      </c>
      <c r="D83" s="531" t="inlineStr">
        <is>
          <t>[input: brief description of the project, including:</t>
        </is>
      </c>
      <c r="E83" s="518">
        <f>IF(ISBLANK(C83)=FALSE,"thsd</f>
        <v/>
      </c>
      <c r="F83" s="518">
        <f>IF(ISBLANK(C83)=FALSE,"+","")</f>
        <v/>
      </c>
      <c r="G83" s="532" t="n"/>
      <c r="H83" s="533" t="n"/>
      <c r="I83" s="533" t="n"/>
      <c r="J83" s="536" t="n"/>
      <c r="K83" s="537" t="n"/>
      <c r="L83" s="534" t="n"/>
      <c r="M83" s="534" t="n"/>
      <c r="N83" s="534" t="n"/>
      <c r="O83" s="534" t="n"/>
      <c r="P83" s="534" t="n"/>
      <c r="Q83" s="522">
        <f>IFERROR((O83-P83),"N/A")</f>
        <v/>
      </c>
      <c r="R83" s="523">
        <f>IFERROR((O83-P83)/ABS(P83),"N/A")</f>
        <v/>
      </c>
      <c r="S83" s="537" t="n"/>
      <c r="T83" s="546" t="n"/>
      <c r="U83" s="546" t="n"/>
      <c r="V83" s="522">
        <f>IFERROR((T83-U83),"N/A")</f>
        <v/>
      </c>
      <c r="W83" s="523">
        <f>IFERROR((T83-U83)/ABS(U83),"N/A")</f>
        <v/>
      </c>
      <c r="X83" s="537" t="n"/>
      <c r="Y83" s="512">
        <f>IF(ISNUMBER(SEARCH("SUMPRODUCT",_xlfn.FORMULATEXT(L83),1))=FALSE,IF(ISNUMBER(SEARCH("INDIRECT",_xlfn.FORMULATEXT(L83),1))=TRUE,1,0),2)</f>
        <v/>
      </c>
      <c r="Z83" s="525">
        <f>IFERROR(SUMPRODUCT(--(_xlfn.ISFORMULA(L83)=FALSE),--(C83&lt;&gt;"Other Projects"),--(AC83&lt;&gt;TRUE),L83),0)</f>
        <v/>
      </c>
      <c r="AA83" s="512">
        <f>IFERROR(SUMPRODUCT(--(_xlfn.ISFORMULA(L83)=FALSE),--(C83&lt;&gt;"Other Projects"),--(G83="Yes"),--(AC83&lt;&gt;TRUE),L83),0)</f>
        <v/>
      </c>
      <c r="AB83" s="512">
        <f>IF(_xlfn.ISFORMULA(L83)=TRUE,0,AB82-1)</f>
        <v/>
      </c>
      <c r="AC83" s="512" t="n"/>
    </row>
    <row r="84" outlineLevel="1" ht="63.75" customFormat="1" customHeight="1" s="266">
      <c r="A84" s="515" t="n"/>
      <c r="B84" s="526" t="inlineStr">
        <is>
          <t>Downstream</t>
        </is>
      </c>
      <c r="C84" s="530" t="inlineStr">
        <is>
          <t>[Input of the project name]</t>
        </is>
      </c>
      <c r="D84" s="531" t="inlineStr">
        <is>
          <t>[input: brief description of the project, including:</t>
        </is>
      </c>
      <c r="E84" s="518">
        <f>IF(ISBLANK(C84)=FALSE,"thsd</f>
        <v/>
      </c>
      <c r="F84" s="518">
        <f>IF(ISBLANK(C84)=FALSE,"+","")</f>
        <v/>
      </c>
      <c r="G84" s="532" t="n"/>
      <c r="H84" s="533" t="n"/>
      <c r="I84" s="533" t="n"/>
      <c r="J84" s="536" t="n"/>
      <c r="K84" s="537" t="n"/>
      <c r="L84" s="534" t="n"/>
      <c r="M84" s="534" t="n"/>
      <c r="N84" s="534" t="n"/>
      <c r="O84" s="534" t="n"/>
      <c r="P84" s="534" t="n"/>
      <c r="Q84" s="522">
        <f>IFERROR((O84-P84),"N/A")</f>
        <v/>
      </c>
      <c r="R84" s="523">
        <f>IFERROR((O84-P84)/ABS(P84),"N/A")</f>
        <v/>
      </c>
      <c r="S84" s="537" t="n"/>
      <c r="T84" s="546" t="n"/>
      <c r="U84" s="546" t="n"/>
      <c r="V84" s="522">
        <f>IFERROR((T84-U84),"N/A")</f>
        <v/>
      </c>
      <c r="W84" s="523">
        <f>IFERROR((T84-U84)/ABS(U84),"N/A")</f>
        <v/>
      </c>
      <c r="X84" s="537" t="n"/>
      <c r="Y84" s="512">
        <f>IF(ISNUMBER(SEARCH("SUMPRODUCT",_xlfn.FORMULATEXT(L84),1))=FALSE,IF(ISNUMBER(SEARCH("INDIRECT",_xlfn.FORMULATEXT(L84),1))=TRUE,1,0),2)</f>
        <v/>
      </c>
      <c r="Z84" s="525">
        <f>IFERROR(SUMPRODUCT(--(_xlfn.ISFORMULA(L84)=FALSE),--(C84&lt;&gt;"Other Projects"),--(AC84&lt;&gt;TRUE),L84),0)</f>
        <v/>
      </c>
      <c r="AA84" s="512">
        <f>IFERROR(SUMPRODUCT(--(_xlfn.ISFORMULA(L84)=FALSE),--(C84&lt;&gt;"Other Projects"),--(G84="Yes"),--(AC84&lt;&gt;TRUE),L84),0)</f>
        <v/>
      </c>
      <c r="AB84" s="512">
        <f>IF(_xlfn.ISFORMULA(L84)=TRUE,0,AB83-1)</f>
        <v/>
      </c>
      <c r="AC84" s="512" t="n"/>
    </row>
    <row r="85" outlineLevel="1" ht="63.75" customFormat="1" customHeight="1" s="266">
      <c r="A85" s="515" t="n"/>
      <c r="B85" s="526" t="inlineStr">
        <is>
          <t>Downstream</t>
        </is>
      </c>
      <c r="C85" s="530" t="inlineStr">
        <is>
          <t>[Input of the project name]</t>
        </is>
      </c>
      <c r="D85" s="531" t="inlineStr">
        <is>
          <t>[input: brief description of the project, including:</t>
        </is>
      </c>
      <c r="E85" s="518">
        <f>IF(ISBLANK(C85)=FALSE,"thsd</f>
        <v/>
      </c>
      <c r="F85" s="518">
        <f>IF(ISBLANK(C85)=FALSE,"+","")</f>
        <v/>
      </c>
      <c r="G85" s="532" t="n"/>
      <c r="H85" s="533" t="n"/>
      <c r="I85" s="533" t="n"/>
      <c r="J85" s="536" t="n"/>
      <c r="K85" s="537" t="n"/>
      <c r="L85" s="534" t="n"/>
      <c r="M85" s="534" t="n"/>
      <c r="N85" s="534" t="n"/>
      <c r="O85" s="534" t="n"/>
      <c r="P85" s="534" t="n"/>
      <c r="Q85" s="522">
        <f>IFERROR((O85-P85),"N/A")</f>
        <v/>
      </c>
      <c r="R85" s="523">
        <f>IFERROR((O85-P85)/ABS(P85),"N/A")</f>
        <v/>
      </c>
      <c r="S85" s="537" t="n"/>
      <c r="T85" s="546" t="n"/>
      <c r="U85" s="546" t="n"/>
      <c r="V85" s="522">
        <f>IFERROR((T85-U85),"N/A")</f>
        <v/>
      </c>
      <c r="W85" s="523">
        <f>IFERROR((T85-U85)/ABS(U85),"N/A")</f>
        <v/>
      </c>
      <c r="X85" s="537" t="n"/>
      <c r="Y85" s="512">
        <f>IF(ISNUMBER(SEARCH("SUMPRODUCT",_xlfn.FORMULATEXT(L85),1))=FALSE,IF(ISNUMBER(SEARCH("INDIRECT",_xlfn.FORMULATEXT(L85),1))=TRUE,1,0),2)</f>
        <v/>
      </c>
      <c r="Z85" s="525">
        <f>IFERROR(SUMPRODUCT(--(_xlfn.ISFORMULA(L85)=FALSE),--(C85&lt;&gt;"Other Projects"),--(AC85&lt;&gt;TRUE),L85),0)</f>
        <v/>
      </c>
      <c r="AA85" s="512">
        <f>IFERROR(SUMPRODUCT(--(_xlfn.ISFORMULA(L85)=FALSE),--(C85&lt;&gt;"Other Projects"),--(G85="Yes"),--(AC85&lt;&gt;TRUE),L85),0)</f>
        <v/>
      </c>
      <c r="AB85" s="512">
        <f>IF(_xlfn.ISFORMULA(L85)=TRUE,0,AB84-1)</f>
        <v/>
      </c>
      <c r="AC85" s="512" t="n"/>
    </row>
    <row r="86" outlineLevel="1" ht="63.75" customFormat="1" customHeight="1" s="266">
      <c r="A86" s="515" t="n"/>
      <c r="B86" s="526" t="inlineStr">
        <is>
          <t>Downstream</t>
        </is>
      </c>
      <c r="C86" s="530" t="inlineStr">
        <is>
          <t>[Input of the project name]</t>
        </is>
      </c>
      <c r="D86" s="531" t="inlineStr">
        <is>
          <t>[input: brief description of the project, including:</t>
        </is>
      </c>
      <c r="E86" s="518">
        <f>IF(ISBLANK(C86)=FALSE,"thsd</f>
        <v/>
      </c>
      <c r="F86" s="518">
        <f>IF(ISBLANK(C86)=FALSE,"+","")</f>
        <v/>
      </c>
      <c r="G86" s="532" t="n"/>
      <c r="H86" s="533" t="n"/>
      <c r="I86" s="533" t="n"/>
      <c r="J86" s="536" t="n"/>
      <c r="K86" s="537" t="n"/>
      <c r="L86" s="534" t="n"/>
      <c r="M86" s="534" t="n"/>
      <c r="N86" s="534" t="n"/>
      <c r="O86" s="534" t="n"/>
      <c r="P86" s="534" t="n"/>
      <c r="Q86" s="522">
        <f>IFERROR((O86-P86),"N/A")</f>
        <v/>
      </c>
      <c r="R86" s="523">
        <f>IFERROR((O86-P86)/ABS(P86),"N/A")</f>
        <v/>
      </c>
      <c r="S86" s="537" t="n"/>
      <c r="T86" s="546" t="n"/>
      <c r="U86" s="546" t="n"/>
      <c r="V86" s="522">
        <f>IFERROR((T86-U86),"N/A")</f>
        <v/>
      </c>
      <c r="W86" s="523">
        <f>IFERROR((T86-U86)/ABS(U86),"N/A")</f>
        <v/>
      </c>
      <c r="X86" s="537" t="n"/>
      <c r="Y86" s="512">
        <f>IF(ISNUMBER(SEARCH("SUMPRODUCT",_xlfn.FORMULATEXT(L86),1))=FALSE,IF(ISNUMBER(SEARCH("INDIRECT",_xlfn.FORMULATEXT(L86),1))=TRUE,1,0),2)</f>
        <v/>
      </c>
      <c r="Z86" s="525">
        <f>IFERROR(SUMPRODUCT(--(_xlfn.ISFORMULA(L86)=FALSE),--(C86&lt;&gt;"Other Projects"),--(AC86&lt;&gt;TRUE),L86),0)</f>
        <v/>
      </c>
      <c r="AA86" s="512">
        <f>IFERROR(SUMPRODUCT(--(_xlfn.ISFORMULA(L86)=FALSE),--(C86&lt;&gt;"Other Projects"),--(G86="Yes"),--(AC86&lt;&gt;TRUE),L86),0)</f>
        <v/>
      </c>
      <c r="AB86" s="512">
        <f>IF(_xlfn.ISFORMULA(L86)=TRUE,0,AB85-1)</f>
        <v/>
      </c>
      <c r="AC86" s="512" t="n"/>
    </row>
    <row r="87" outlineLevel="1" ht="63.75" customFormat="1" customHeight="1" s="266">
      <c r="A87" s="515" t="n"/>
      <c r="B87" s="526" t="inlineStr">
        <is>
          <t>Downstream</t>
        </is>
      </c>
      <c r="C87" s="530" t="inlineStr">
        <is>
          <t>[Input of the project name]</t>
        </is>
      </c>
      <c r="D87" s="531" t="inlineStr">
        <is>
          <t>[input: brief description of the project, including:</t>
        </is>
      </c>
      <c r="E87" s="518">
        <f>IF(ISBLANK(C87)=FALSE,"thsd</f>
        <v/>
      </c>
      <c r="F87" s="518">
        <f>IF(ISBLANK(C87)=FALSE,"+","")</f>
        <v/>
      </c>
      <c r="G87" s="532" t="n"/>
      <c r="H87" s="533" t="n"/>
      <c r="I87" s="533" t="n"/>
      <c r="J87" s="536" t="n"/>
      <c r="K87" s="537" t="n"/>
      <c r="L87" s="534" t="n"/>
      <c r="M87" s="534" t="n"/>
      <c r="N87" s="534" t="n"/>
      <c r="O87" s="534" t="n"/>
      <c r="P87" s="534" t="n"/>
      <c r="Q87" s="522">
        <f>IFERROR((O87-P87),"N/A")</f>
        <v/>
      </c>
      <c r="R87" s="523">
        <f>IFERROR((O87-P87)/ABS(P87),"N/A")</f>
        <v/>
      </c>
      <c r="S87" s="537" t="n"/>
      <c r="T87" s="546" t="n"/>
      <c r="U87" s="546" t="n"/>
      <c r="V87" s="522">
        <f>IFERROR((T87-U87),"N/A")</f>
        <v/>
      </c>
      <c r="W87" s="523">
        <f>IFERROR((T87-U87)/ABS(U87),"N/A")</f>
        <v/>
      </c>
      <c r="X87" s="537" t="n"/>
      <c r="Y87" s="512">
        <f>IF(ISNUMBER(SEARCH("SUMPRODUCT",_xlfn.FORMULATEXT(L87),1))=FALSE,IF(ISNUMBER(SEARCH("INDIRECT",_xlfn.FORMULATEXT(L87),1))=TRUE,1,0),2)</f>
        <v/>
      </c>
      <c r="Z87" s="525">
        <f>IFERROR(SUMPRODUCT(--(_xlfn.ISFORMULA(L87)=FALSE),--(C87&lt;&gt;"Other Projects"),--(AC87&lt;&gt;TRUE),L87),0)</f>
        <v/>
      </c>
      <c r="AA87" s="512">
        <f>IFERROR(SUMPRODUCT(--(_xlfn.ISFORMULA(L87)=FALSE),--(C87&lt;&gt;"Other Projects"),--(G87="Yes"),--(AC87&lt;&gt;TRUE),L87),0)</f>
        <v/>
      </c>
      <c r="AB87" s="512">
        <f>IF(_xlfn.ISFORMULA(L87)=TRUE,0,AB86-1)</f>
        <v/>
      </c>
      <c r="AC87" s="512" t="n"/>
    </row>
    <row r="88" outlineLevel="1" ht="63.75" customFormat="1" customHeight="1" s="266">
      <c r="A88" s="515" t="n"/>
      <c r="B88" s="526" t="inlineStr">
        <is>
          <t>Downstream</t>
        </is>
      </c>
      <c r="C88" s="530" t="inlineStr">
        <is>
          <t>[Input of the project name]</t>
        </is>
      </c>
      <c r="D88" s="531" t="inlineStr">
        <is>
          <t>[input: brief description of the project, including:</t>
        </is>
      </c>
      <c r="E88" s="518">
        <f>IF(ISBLANK(C88)=FALSE,"thsd</f>
        <v/>
      </c>
      <c r="F88" s="518">
        <f>IF(ISBLANK(C88)=FALSE,"+","")</f>
        <v/>
      </c>
      <c r="G88" s="532" t="n"/>
      <c r="H88" s="533" t="n"/>
      <c r="I88" s="533" t="n"/>
      <c r="J88" s="536" t="n"/>
      <c r="K88" s="537" t="n"/>
      <c r="L88" s="534" t="n"/>
      <c r="M88" s="534" t="n"/>
      <c r="N88" s="534" t="n"/>
      <c r="O88" s="534" t="n"/>
      <c r="P88" s="534" t="n"/>
      <c r="Q88" s="522">
        <f>IFERROR((O88-P88),"N/A")</f>
        <v/>
      </c>
      <c r="R88" s="523">
        <f>IFERROR((O88-P88)/ABS(P88),"N/A")</f>
        <v/>
      </c>
      <c r="S88" s="537" t="n"/>
      <c r="T88" s="546" t="n"/>
      <c r="U88" s="546" t="n"/>
      <c r="V88" s="522">
        <f>IFERROR((T88-U88),"N/A")</f>
        <v/>
      </c>
      <c r="W88" s="523">
        <f>IFERROR((T88-U88)/ABS(U88),"N/A")</f>
        <v/>
      </c>
      <c r="X88" s="537" t="n"/>
      <c r="Y88" s="512">
        <f>IF(ISNUMBER(SEARCH("SUMPRODUCT",_xlfn.FORMULATEXT(L88),1))=FALSE,IF(ISNUMBER(SEARCH("INDIRECT",_xlfn.FORMULATEXT(L88),1))=TRUE,1,0),2)</f>
        <v/>
      </c>
      <c r="Z88" s="525">
        <f>IFERROR(SUMPRODUCT(--(_xlfn.ISFORMULA(L88)=FALSE),--(C88&lt;&gt;"Other Projects"),--(AC88&lt;&gt;TRUE),L88),0)</f>
        <v/>
      </c>
      <c r="AA88" s="512">
        <f>IFERROR(SUMPRODUCT(--(_xlfn.ISFORMULA(L88)=FALSE),--(C88&lt;&gt;"Other Projects"),--(G88="Yes"),--(AC88&lt;&gt;TRUE),L88),0)</f>
        <v/>
      </c>
      <c r="AB88" s="512">
        <f>IF(_xlfn.ISFORMULA(L88)=TRUE,0,AB87-1)</f>
        <v/>
      </c>
      <c r="AC88" s="512" t="n"/>
    </row>
    <row r="89" outlineLevel="1" ht="63.75" customFormat="1" customHeight="1" s="266">
      <c r="A89" s="515" t="n"/>
      <c r="B89" s="526" t="inlineStr">
        <is>
          <t>Downstream</t>
        </is>
      </c>
      <c r="C89" s="530" t="inlineStr">
        <is>
          <t>[Input of the project name]</t>
        </is>
      </c>
      <c r="D89" s="531" t="inlineStr">
        <is>
          <t>[input: brief description of the project, including:</t>
        </is>
      </c>
      <c r="E89" s="518">
        <f>IF(ISBLANK(C89)=FALSE,"thsd</f>
        <v/>
      </c>
      <c r="F89" s="518">
        <f>IF(ISBLANK(C89)=FALSE,"+","")</f>
        <v/>
      </c>
      <c r="G89" s="532" t="n"/>
      <c r="H89" s="533" t="n"/>
      <c r="I89" s="533" t="n"/>
      <c r="J89" s="536" t="n"/>
      <c r="K89" s="537" t="n"/>
      <c r="L89" s="534" t="n"/>
      <c r="M89" s="534" t="n"/>
      <c r="N89" s="534" t="n"/>
      <c r="O89" s="534" t="n"/>
      <c r="P89" s="534" t="n"/>
      <c r="Q89" s="522">
        <f>IFERROR((O89-P89),"N/A")</f>
        <v/>
      </c>
      <c r="R89" s="523">
        <f>IFERROR((O89-P89)/ABS(P89),"N/A")</f>
        <v/>
      </c>
      <c r="S89" s="537" t="n"/>
      <c r="T89" s="546" t="n"/>
      <c r="U89" s="546" t="n"/>
      <c r="V89" s="522">
        <f>IFERROR((T89-U89),"N/A")</f>
        <v/>
      </c>
      <c r="W89" s="523">
        <f>IFERROR((T89-U89)/ABS(U89),"N/A")</f>
        <v/>
      </c>
      <c r="X89" s="537" t="n"/>
      <c r="Y89" s="512">
        <f>IF(ISNUMBER(SEARCH("SUMPRODUCT",_xlfn.FORMULATEXT(L89),1))=FALSE,IF(ISNUMBER(SEARCH("INDIRECT",_xlfn.FORMULATEXT(L89),1))=TRUE,1,0),2)</f>
        <v/>
      </c>
      <c r="Z89" s="525">
        <f>IFERROR(SUMPRODUCT(--(_xlfn.ISFORMULA(L89)=FALSE),--(C89&lt;&gt;"Other Projects"),--(AC89&lt;&gt;TRUE),L89),0)</f>
        <v/>
      </c>
      <c r="AA89" s="512">
        <f>IFERROR(SUMPRODUCT(--(_xlfn.ISFORMULA(L89)=FALSE),--(C89&lt;&gt;"Other Projects"),--(G89="Yes"),--(AC89&lt;&gt;TRUE),L89),0)</f>
        <v/>
      </c>
      <c r="AB89" s="512">
        <f>IF(_xlfn.ISFORMULA(L89)=TRUE,0,AB88-1)</f>
        <v/>
      </c>
      <c r="AC89" s="512" t="n"/>
    </row>
    <row r="90" outlineLevel="1" ht="63.75" customFormat="1" customHeight="1" s="266">
      <c r="A90" s="515" t="n"/>
      <c r="B90" s="526" t="inlineStr">
        <is>
          <t>Downstream</t>
        </is>
      </c>
      <c r="C90" s="530" t="inlineStr">
        <is>
          <t>[Input of the project name]</t>
        </is>
      </c>
      <c r="D90" s="531" t="inlineStr">
        <is>
          <t>[input: brief description of the project, including:</t>
        </is>
      </c>
      <c r="E90" s="518">
        <f>IF(ISBLANK(C90)=FALSE,"thsd</f>
        <v/>
      </c>
      <c r="F90" s="518">
        <f>IF(ISBLANK(C90)=FALSE,"+","")</f>
        <v/>
      </c>
      <c r="G90" s="532" t="n"/>
      <c r="H90" s="533" t="n"/>
      <c r="I90" s="533" t="n"/>
      <c r="J90" s="536" t="n"/>
      <c r="K90" s="537" t="n"/>
      <c r="L90" s="534" t="n"/>
      <c r="M90" s="534" t="n"/>
      <c r="N90" s="534" t="n"/>
      <c r="O90" s="534" t="n"/>
      <c r="P90" s="534" t="n"/>
      <c r="Q90" s="522">
        <f>IFERROR((O90-P90),"N/A")</f>
        <v/>
      </c>
      <c r="R90" s="523">
        <f>IFERROR((O90-P90)/ABS(P90),"N/A")</f>
        <v/>
      </c>
      <c r="S90" s="537" t="n"/>
      <c r="T90" s="546" t="n"/>
      <c r="U90" s="546" t="n"/>
      <c r="V90" s="522">
        <f>IFERROR((T90-U90),"N/A")</f>
        <v/>
      </c>
      <c r="W90" s="523">
        <f>IFERROR((T90-U90)/ABS(U90),"N/A")</f>
        <v/>
      </c>
      <c r="X90" s="537" t="n"/>
      <c r="Y90" s="512">
        <f>IF(ISNUMBER(SEARCH("SUMPRODUCT",_xlfn.FORMULATEXT(L90),1))=FALSE,IF(ISNUMBER(SEARCH("INDIRECT",_xlfn.FORMULATEXT(L90),1))=TRUE,1,0),2)</f>
        <v/>
      </c>
      <c r="Z90" s="525">
        <f>IFERROR(SUMPRODUCT(--(_xlfn.ISFORMULA(L90)=FALSE),--(C90&lt;&gt;"Other Projects"),--(AC90&lt;&gt;TRUE),L90),0)</f>
        <v/>
      </c>
      <c r="AA90" s="512">
        <f>IFERROR(SUMPRODUCT(--(_xlfn.ISFORMULA(L90)=FALSE),--(C90&lt;&gt;"Other Projects"),--(G90="Yes"),--(AC90&lt;&gt;TRUE),L90),0)</f>
        <v/>
      </c>
      <c r="AB90" s="512">
        <f>IF(_xlfn.ISFORMULA(L90)=TRUE,0,AB89-1)</f>
        <v/>
      </c>
      <c r="AC90" s="512" t="n"/>
    </row>
    <row r="91" outlineLevel="1" ht="63.75" customFormat="1" customHeight="1" s="266">
      <c r="A91" s="515" t="n"/>
      <c r="B91" s="526" t="inlineStr">
        <is>
          <t>Downstream</t>
        </is>
      </c>
      <c r="C91" s="530" t="inlineStr">
        <is>
          <t>[Input of the project name]</t>
        </is>
      </c>
      <c r="D91" s="531" t="inlineStr">
        <is>
          <t>[input: brief description of the project, including:</t>
        </is>
      </c>
      <c r="E91" s="518">
        <f>IF(ISBLANK(C91)=FALSE,"thsd</f>
        <v/>
      </c>
      <c r="F91" s="518">
        <f>IF(ISBLANK(C91)=FALSE,"+","")</f>
        <v/>
      </c>
      <c r="G91" s="532" t="n"/>
      <c r="H91" s="533" t="n"/>
      <c r="I91" s="533" t="n"/>
      <c r="J91" s="536" t="n"/>
      <c r="K91" s="537" t="n"/>
      <c r="L91" s="534" t="n"/>
      <c r="M91" s="534" t="n"/>
      <c r="N91" s="534" t="n"/>
      <c r="O91" s="534" t="n"/>
      <c r="P91" s="534" t="n"/>
      <c r="Q91" s="522">
        <f>IFERROR((O91-P91),"N/A")</f>
        <v/>
      </c>
      <c r="R91" s="523">
        <f>IFERROR((O91-P91)/ABS(P91),"N/A")</f>
        <v/>
      </c>
      <c r="S91" s="537" t="n"/>
      <c r="T91" s="546" t="n"/>
      <c r="U91" s="546" t="n"/>
      <c r="V91" s="522">
        <f>IFERROR((T91-U91),"N/A")</f>
        <v/>
      </c>
      <c r="W91" s="523">
        <f>IFERROR((T91-U91)/ABS(U91),"N/A")</f>
        <v/>
      </c>
      <c r="X91" s="537" t="n"/>
      <c r="Y91" s="512">
        <f>IF(ISNUMBER(SEARCH("SUMPRODUCT",_xlfn.FORMULATEXT(L91),1))=FALSE,IF(ISNUMBER(SEARCH("INDIRECT",_xlfn.FORMULATEXT(L91),1))=TRUE,1,0),2)</f>
        <v/>
      </c>
      <c r="Z91" s="525">
        <f>IFERROR(SUMPRODUCT(--(_xlfn.ISFORMULA(L91)=FALSE),--(C91&lt;&gt;"Other Projects"),--(AC91&lt;&gt;TRUE),L91),0)</f>
        <v/>
      </c>
      <c r="AA91" s="512">
        <f>IFERROR(SUMPRODUCT(--(_xlfn.ISFORMULA(L91)=FALSE),--(C91&lt;&gt;"Other Projects"),--(G91="Yes"),--(AC91&lt;&gt;TRUE),L91),0)</f>
        <v/>
      </c>
      <c r="AB91" s="512">
        <f>IF(_xlfn.ISFORMULA(L91)=TRUE,0,AB90-1)</f>
        <v/>
      </c>
      <c r="AC91" s="512" t="n"/>
    </row>
    <row r="92" outlineLevel="1" ht="63.75" customFormat="1" customHeight="1" s="266">
      <c r="A92" s="515" t="n"/>
      <c r="B92" s="526" t="inlineStr">
        <is>
          <t>Downstream</t>
        </is>
      </c>
      <c r="C92" s="530" t="inlineStr">
        <is>
          <t>[Input of the project name]</t>
        </is>
      </c>
      <c r="D92" s="531" t="inlineStr">
        <is>
          <t>[input: brief description of the project, including:</t>
        </is>
      </c>
      <c r="E92" s="518">
        <f>IF(ISBLANK(C92)=FALSE,"thsd</f>
        <v/>
      </c>
      <c r="F92" s="518">
        <f>IF(ISBLANK(C92)=FALSE,"+","")</f>
        <v/>
      </c>
      <c r="G92" s="532" t="n"/>
      <c r="H92" s="533" t="n"/>
      <c r="I92" s="533" t="n"/>
      <c r="J92" s="536" t="n"/>
      <c r="K92" s="537" t="n"/>
      <c r="L92" s="534" t="n"/>
      <c r="M92" s="534" t="n"/>
      <c r="N92" s="534" t="n"/>
      <c r="O92" s="534" t="n"/>
      <c r="P92" s="534" t="n"/>
      <c r="Q92" s="522">
        <f>IFERROR((O92-P92),"N/A")</f>
        <v/>
      </c>
      <c r="R92" s="523">
        <f>IFERROR((O92-P92)/ABS(P92),"N/A")</f>
        <v/>
      </c>
      <c r="S92" s="537" t="n"/>
      <c r="T92" s="546" t="n"/>
      <c r="U92" s="546" t="n"/>
      <c r="V92" s="522">
        <f>IFERROR((T92-U92),"N/A")</f>
        <v/>
      </c>
      <c r="W92" s="523">
        <f>IFERROR((T92-U92)/ABS(U92),"N/A")</f>
        <v/>
      </c>
      <c r="X92" s="537" t="n"/>
      <c r="Y92" s="512">
        <f>IF(ISNUMBER(SEARCH("SUMPRODUCT",_xlfn.FORMULATEXT(L92),1))=FALSE,IF(ISNUMBER(SEARCH("INDIRECT",_xlfn.FORMULATEXT(L92),1))=TRUE,1,0),2)</f>
        <v/>
      </c>
      <c r="Z92" s="525">
        <f>IFERROR(SUMPRODUCT(--(_xlfn.ISFORMULA(L92)=FALSE),--(C92&lt;&gt;"Other Projects"),--(AC92&lt;&gt;TRUE),L92),0)</f>
        <v/>
      </c>
      <c r="AA92" s="512">
        <f>IFERROR(SUMPRODUCT(--(_xlfn.ISFORMULA(L92)=FALSE),--(C92&lt;&gt;"Other Projects"),--(G92="Yes"),--(AC92&lt;&gt;TRUE),L92),0)</f>
        <v/>
      </c>
      <c r="AB92" s="512">
        <f>IF(_xlfn.ISFORMULA(L92)=TRUE,0,AB91-1)</f>
        <v/>
      </c>
      <c r="AC92" s="512" t="n"/>
    </row>
    <row r="93" outlineLevel="1" ht="63.75" customFormat="1" customHeight="1" s="266">
      <c r="A93" s="515" t="n"/>
      <c r="B93" s="526" t="inlineStr">
        <is>
          <t>Downstream</t>
        </is>
      </c>
      <c r="C93" s="530" t="inlineStr">
        <is>
          <t>[Input of the project name]</t>
        </is>
      </c>
      <c r="D93" s="531" t="inlineStr">
        <is>
          <t>[input: brief description of the project, including:</t>
        </is>
      </c>
      <c r="E93" s="518">
        <f>IF(ISBLANK(C93)=FALSE,"thsd</f>
        <v/>
      </c>
      <c r="F93" s="518">
        <f>IF(ISBLANK(C93)=FALSE,"+","")</f>
        <v/>
      </c>
      <c r="G93" s="532" t="n"/>
      <c r="H93" s="533" t="n"/>
      <c r="I93" s="533" t="n"/>
      <c r="J93" s="536" t="n"/>
      <c r="K93" s="537" t="n"/>
      <c r="L93" s="534" t="n"/>
      <c r="M93" s="534" t="n"/>
      <c r="N93" s="534" t="n"/>
      <c r="O93" s="534" t="n"/>
      <c r="P93" s="534" t="n"/>
      <c r="Q93" s="522">
        <f>IFERROR((O93-P93),"N/A")</f>
        <v/>
      </c>
      <c r="R93" s="523">
        <f>IFERROR((O93-P93)/ABS(P93),"N/A")</f>
        <v/>
      </c>
      <c r="S93" s="537" t="n"/>
      <c r="T93" s="546" t="n"/>
      <c r="U93" s="546" t="n"/>
      <c r="V93" s="522">
        <f>IFERROR((T93-U93),"N/A")</f>
        <v/>
      </c>
      <c r="W93" s="523">
        <f>IFERROR((T93-U93)/ABS(U93),"N/A")</f>
        <v/>
      </c>
      <c r="X93" s="537" t="n"/>
      <c r="Y93" s="512">
        <f>IF(ISNUMBER(SEARCH("SUMPRODUCT",_xlfn.FORMULATEXT(L93),1))=FALSE,IF(ISNUMBER(SEARCH("INDIRECT",_xlfn.FORMULATEXT(L93),1))=TRUE,1,0),2)</f>
        <v/>
      </c>
      <c r="Z93" s="525">
        <f>IFERROR(SUMPRODUCT(--(_xlfn.ISFORMULA(L93)=FALSE),--(C93&lt;&gt;"Other Projects"),--(AC93&lt;&gt;TRUE),L93),0)</f>
        <v/>
      </c>
      <c r="AA93" s="512">
        <f>IFERROR(SUMPRODUCT(--(_xlfn.ISFORMULA(L93)=FALSE),--(C93&lt;&gt;"Other Projects"),--(G93="Yes"),--(AC93&lt;&gt;TRUE),L93),0)</f>
        <v/>
      </c>
      <c r="AB93" s="512">
        <f>IF(_xlfn.ISFORMULA(L93)=TRUE,0,AB92-1)</f>
        <v/>
      </c>
      <c r="AC93" s="512" t="n"/>
    </row>
    <row r="94" outlineLevel="1" ht="63.75" customFormat="1" customHeight="1" s="266">
      <c r="A94" s="515" t="n"/>
      <c r="B94" s="526" t="inlineStr">
        <is>
          <t>Downstream</t>
        </is>
      </c>
      <c r="C94" s="530" t="inlineStr">
        <is>
          <t>[Input of the project name]</t>
        </is>
      </c>
      <c r="D94" s="531" t="inlineStr">
        <is>
          <t>[input: brief description of the project, including:</t>
        </is>
      </c>
      <c r="E94" s="518">
        <f>IF(ISBLANK(C94)=FALSE,"thsd</f>
        <v/>
      </c>
      <c r="F94" s="518">
        <f>IF(ISBLANK(C94)=FALSE,"+","")</f>
        <v/>
      </c>
      <c r="G94" s="532" t="n"/>
      <c r="H94" s="533" t="n"/>
      <c r="I94" s="533" t="n"/>
      <c r="J94" s="536" t="n"/>
      <c r="K94" s="537" t="n"/>
      <c r="L94" s="534" t="n"/>
      <c r="M94" s="534" t="n"/>
      <c r="N94" s="534" t="n"/>
      <c r="O94" s="534" t="n"/>
      <c r="P94" s="534" t="n"/>
      <c r="Q94" s="522">
        <f>IFERROR((O94-P94),"N/A")</f>
        <v/>
      </c>
      <c r="R94" s="523">
        <f>IFERROR((O94-P94)/ABS(P94),"N/A")</f>
        <v/>
      </c>
      <c r="S94" s="537" t="n"/>
      <c r="T94" s="546" t="n"/>
      <c r="U94" s="546" t="n"/>
      <c r="V94" s="522">
        <f>IFERROR((T94-U94),"N/A")</f>
        <v/>
      </c>
      <c r="W94" s="523">
        <f>IFERROR((T94-U94)/ABS(U94),"N/A")</f>
        <v/>
      </c>
      <c r="X94" s="537" t="n"/>
      <c r="Y94" s="512">
        <f>IF(ISNUMBER(SEARCH("SUMPRODUCT",_xlfn.FORMULATEXT(L94),1))=FALSE,IF(ISNUMBER(SEARCH("INDIRECT",_xlfn.FORMULATEXT(L94),1))=TRUE,1,0),2)</f>
        <v/>
      </c>
      <c r="Z94" s="525">
        <f>IFERROR(SUMPRODUCT(--(_xlfn.ISFORMULA(L94)=FALSE),--(C94&lt;&gt;"Other Projects"),--(AC94&lt;&gt;TRUE),L94),0)</f>
        <v/>
      </c>
      <c r="AA94" s="512">
        <f>IFERROR(SUMPRODUCT(--(_xlfn.ISFORMULA(L94)=FALSE),--(C94&lt;&gt;"Other Projects"),--(G94="Yes"),--(AC94&lt;&gt;TRUE),L94),0)</f>
        <v/>
      </c>
      <c r="AB94" s="512">
        <f>IF(_xlfn.ISFORMULA(L94)=TRUE,0,AB93-1)</f>
        <v/>
      </c>
      <c r="AC94" s="512" t="n"/>
    </row>
    <row r="95" outlineLevel="1" ht="63.75" customFormat="1" customHeight="1" s="266">
      <c r="A95" s="515" t="n"/>
      <c r="B95" s="526" t="inlineStr">
        <is>
          <t>Downstream</t>
        </is>
      </c>
      <c r="C95" s="530" t="inlineStr">
        <is>
          <t>[Input of the project name]</t>
        </is>
      </c>
      <c r="D95" s="531" t="inlineStr">
        <is>
          <t>[input: brief description of the project, including:</t>
        </is>
      </c>
      <c r="E95" s="518">
        <f>IF(ISBLANK(C95)=FALSE,"thsd</f>
        <v/>
      </c>
      <c r="F95" s="518">
        <f>IF(ISBLANK(C95)=FALSE,"+","")</f>
        <v/>
      </c>
      <c r="G95" s="532" t="n"/>
      <c r="H95" s="533" t="n"/>
      <c r="I95" s="533" t="n"/>
      <c r="J95" s="536" t="n"/>
      <c r="K95" s="537" t="n"/>
      <c r="L95" s="534" t="n"/>
      <c r="M95" s="534" t="n"/>
      <c r="N95" s="534" t="n"/>
      <c r="O95" s="534" t="n"/>
      <c r="P95" s="534" t="n"/>
      <c r="Q95" s="522">
        <f>IFERROR((O95-P95),"N/A")</f>
        <v/>
      </c>
      <c r="R95" s="523">
        <f>IFERROR((O95-P95)/ABS(P95),"N/A")</f>
        <v/>
      </c>
      <c r="S95" s="537" t="n"/>
      <c r="T95" s="546" t="n"/>
      <c r="U95" s="546" t="n"/>
      <c r="V95" s="522">
        <f>IFERROR((T95-U95),"N/A")</f>
        <v/>
      </c>
      <c r="W95" s="523">
        <f>IFERROR((T95-U95)/ABS(U95),"N/A")</f>
        <v/>
      </c>
      <c r="X95" s="537" t="n"/>
      <c r="Y95" s="512">
        <f>IF(ISNUMBER(SEARCH("SUMPRODUCT",_xlfn.FORMULATEXT(L95),1))=FALSE,IF(ISNUMBER(SEARCH("INDIRECT",_xlfn.FORMULATEXT(L95),1))=TRUE,1,0),2)</f>
        <v/>
      </c>
      <c r="Z95" s="525">
        <f>IFERROR(SUMPRODUCT(--(_xlfn.ISFORMULA(L95)=FALSE),--(C95&lt;&gt;"Other Projects"),--(AC95&lt;&gt;TRUE),L95),0)</f>
        <v/>
      </c>
      <c r="AA95" s="512">
        <f>IFERROR(SUMPRODUCT(--(_xlfn.ISFORMULA(L95)=FALSE),--(C95&lt;&gt;"Other Projects"),--(G95="Yes"),--(AC95&lt;&gt;TRUE),L95),0)</f>
        <v/>
      </c>
      <c r="AB95" s="512">
        <f>IF(_xlfn.ISFORMULA(L95)=TRUE,0,AB94-1)</f>
        <v/>
      </c>
      <c r="AC95" s="512" t="n"/>
    </row>
    <row r="96" outlineLevel="1" ht="63.75" customFormat="1" customHeight="1" s="266">
      <c r="A96" s="515" t="n"/>
      <c r="B96" s="526" t="inlineStr">
        <is>
          <t>Downstream</t>
        </is>
      </c>
      <c r="C96" s="530" t="inlineStr">
        <is>
          <t>[Input of the project name]</t>
        </is>
      </c>
      <c r="D96" s="531" t="inlineStr">
        <is>
          <t>[input: brief description of the project, including:</t>
        </is>
      </c>
      <c r="E96" s="518">
        <f>IF(ISBLANK(C96)=FALSE,"thsd</f>
        <v/>
      </c>
      <c r="F96" s="518">
        <f>IF(ISBLANK(C96)=FALSE,"+","")</f>
        <v/>
      </c>
      <c r="G96" s="532" t="n"/>
      <c r="H96" s="533" t="n"/>
      <c r="I96" s="533" t="n"/>
      <c r="J96" s="536" t="n"/>
      <c r="K96" s="537" t="n"/>
      <c r="L96" s="534" t="n"/>
      <c r="M96" s="534" t="n"/>
      <c r="N96" s="534" t="n"/>
      <c r="O96" s="534" t="n"/>
      <c r="P96" s="534" t="n"/>
      <c r="Q96" s="522">
        <f>IFERROR((O96-P96),"N/A")</f>
        <v/>
      </c>
      <c r="R96" s="523">
        <f>IFERROR((O96-P96)/ABS(P96),"N/A")</f>
        <v/>
      </c>
      <c r="S96" s="537" t="n"/>
      <c r="T96" s="546" t="n"/>
      <c r="U96" s="546" t="n"/>
      <c r="V96" s="522">
        <f>IFERROR((T96-U96),"N/A")</f>
        <v/>
      </c>
      <c r="W96" s="523">
        <f>IFERROR((T96-U96)/ABS(U96),"N/A")</f>
        <v/>
      </c>
      <c r="X96" s="537" t="n"/>
      <c r="Y96" s="512">
        <f>IF(ISNUMBER(SEARCH("SUMPRODUCT",_xlfn.FORMULATEXT(L96),1))=FALSE,IF(ISNUMBER(SEARCH("INDIRECT",_xlfn.FORMULATEXT(L96),1))=TRUE,1,0),2)</f>
        <v/>
      </c>
      <c r="Z96" s="525">
        <f>IFERROR(SUMPRODUCT(--(_xlfn.ISFORMULA(L96)=FALSE),--(C96&lt;&gt;"Other Projects"),--(AC96&lt;&gt;TRUE),L96),0)</f>
        <v/>
      </c>
      <c r="AA96" s="512">
        <f>IFERROR(SUMPRODUCT(--(_xlfn.ISFORMULA(L96)=FALSE),--(C96&lt;&gt;"Other Projects"),--(G96="Yes"),--(AC96&lt;&gt;TRUE),L96),0)</f>
        <v/>
      </c>
      <c r="AB96" s="512">
        <f>IF(_xlfn.ISFORMULA(L96)=TRUE,0,AB95-1)</f>
        <v/>
      </c>
      <c r="AC96" s="512" t="n"/>
    </row>
    <row r="97" outlineLevel="1" ht="63.75" customFormat="1" customHeight="1" s="266">
      <c r="A97" s="515" t="n"/>
      <c r="B97" s="526" t="inlineStr">
        <is>
          <t>Downstream</t>
        </is>
      </c>
      <c r="C97" s="530" t="inlineStr">
        <is>
          <t>[Input of the project name]</t>
        </is>
      </c>
      <c r="D97" s="531" t="inlineStr">
        <is>
          <t>[input: brief description of the project, including:</t>
        </is>
      </c>
      <c r="E97" s="518">
        <f>IF(ISBLANK(C97)=FALSE,"thsd</f>
        <v/>
      </c>
      <c r="F97" s="518">
        <f>IF(ISBLANK(C97)=FALSE,"+","")</f>
        <v/>
      </c>
      <c r="G97" s="532" t="n"/>
      <c r="H97" s="533" t="n"/>
      <c r="I97" s="533" t="n"/>
      <c r="J97" s="536" t="n"/>
      <c r="K97" s="537" t="n"/>
      <c r="L97" s="534" t="n"/>
      <c r="M97" s="534" t="n"/>
      <c r="N97" s="534" t="n"/>
      <c r="O97" s="534" t="n"/>
      <c r="P97" s="534" t="n"/>
      <c r="Q97" s="522">
        <f>IFERROR((O97-P97),"N/A")</f>
        <v/>
      </c>
      <c r="R97" s="523">
        <f>IFERROR((O97-P97)/ABS(P97),"N/A")</f>
        <v/>
      </c>
      <c r="S97" s="537" t="n"/>
      <c r="T97" s="546" t="n"/>
      <c r="U97" s="546" t="n"/>
      <c r="V97" s="522">
        <f>IFERROR((T97-U97),"N/A")</f>
        <v/>
      </c>
      <c r="W97" s="523">
        <f>IFERROR((T97-U97)/ABS(U97),"N/A")</f>
        <v/>
      </c>
      <c r="X97" s="537" t="n"/>
      <c r="Y97" s="512">
        <f>IF(ISNUMBER(SEARCH("SUMPRODUCT",_xlfn.FORMULATEXT(L97),1))=FALSE,IF(ISNUMBER(SEARCH("INDIRECT",_xlfn.FORMULATEXT(L97),1))=TRUE,1,0),2)</f>
        <v/>
      </c>
      <c r="Z97" s="525">
        <f>IFERROR(SUMPRODUCT(--(_xlfn.ISFORMULA(L97)=FALSE),--(C97&lt;&gt;"Other Projects"),--(AC97&lt;&gt;TRUE),L97),0)</f>
        <v/>
      </c>
      <c r="AA97" s="512">
        <f>IFERROR(SUMPRODUCT(--(_xlfn.ISFORMULA(L97)=FALSE),--(C97&lt;&gt;"Other Projects"),--(G97="Yes"),--(AC97&lt;&gt;TRUE),L97),0)</f>
        <v/>
      </c>
      <c r="AB97" s="512">
        <f>IF(_xlfn.ISFORMULA(L97)=TRUE,0,AB96-1)</f>
        <v/>
      </c>
      <c r="AC97" s="512" t="n"/>
    </row>
    <row r="98" outlineLevel="1" ht="63.75" customFormat="1" customHeight="1" s="266">
      <c r="A98" s="515" t="n"/>
      <c r="B98" s="526" t="inlineStr">
        <is>
          <t>Downstream</t>
        </is>
      </c>
      <c r="C98" s="530" t="inlineStr">
        <is>
          <t>[Input of the project name]</t>
        </is>
      </c>
      <c r="D98" s="531" t="inlineStr">
        <is>
          <t>[input: brief description of the project, including:</t>
        </is>
      </c>
      <c r="E98" s="518">
        <f>IF(ISBLANK(C98)=FALSE,"thsd</f>
        <v/>
      </c>
      <c r="F98" s="518">
        <f>IF(ISBLANK(C98)=FALSE,"+","")</f>
        <v/>
      </c>
      <c r="G98" s="532" t="n"/>
      <c r="H98" s="533" t="n"/>
      <c r="I98" s="533" t="n"/>
      <c r="J98" s="536" t="n"/>
      <c r="K98" s="537" t="n"/>
      <c r="L98" s="534" t="n"/>
      <c r="M98" s="534" t="n"/>
      <c r="N98" s="534" t="n"/>
      <c r="O98" s="534" t="n"/>
      <c r="P98" s="534" t="n"/>
      <c r="Q98" s="522">
        <f>IFERROR((O98-P98),"N/A")</f>
        <v/>
      </c>
      <c r="R98" s="523">
        <f>IFERROR((O98-P98)/ABS(P98),"N/A")</f>
        <v/>
      </c>
      <c r="S98" s="537" t="n"/>
      <c r="T98" s="546" t="n"/>
      <c r="U98" s="546" t="n"/>
      <c r="V98" s="522">
        <f>IFERROR((T98-U98),"N/A")</f>
        <v/>
      </c>
      <c r="W98" s="523">
        <f>IFERROR((T98-U98)/ABS(U98),"N/A")</f>
        <v/>
      </c>
      <c r="X98" s="537" t="n"/>
      <c r="Y98" s="512">
        <f>IF(ISNUMBER(SEARCH("SUMPRODUCT",_xlfn.FORMULATEXT(L98),1))=FALSE,IF(ISNUMBER(SEARCH("INDIRECT",_xlfn.FORMULATEXT(L98),1))=TRUE,1,0),2)</f>
        <v/>
      </c>
      <c r="Z98" s="525">
        <f>IFERROR(SUMPRODUCT(--(_xlfn.ISFORMULA(L98)=FALSE),--(C98&lt;&gt;"Other Projects"),--(AC98&lt;&gt;TRUE),L98),0)</f>
        <v/>
      </c>
      <c r="AA98" s="512">
        <f>IFERROR(SUMPRODUCT(--(_xlfn.ISFORMULA(L98)=FALSE),--(C98&lt;&gt;"Other Projects"),--(G98="Yes"),--(AC98&lt;&gt;TRUE),L98),0)</f>
        <v/>
      </c>
      <c r="AB98" s="512">
        <f>IF(_xlfn.ISFORMULA(L98)=TRUE,0,AB97-1)</f>
        <v/>
      </c>
      <c r="AC98" s="512" t="n"/>
    </row>
    <row r="99" outlineLevel="1" customFormat="1" s="266">
      <c r="A99" s="515" t="n"/>
      <c r="B99" s="526" t="inlineStr">
        <is>
          <t>Downstream</t>
        </is>
      </c>
      <c r="C99" s="539" t="inlineStr">
        <is>
          <t>Other projects</t>
        </is>
      </c>
      <c r="D99" s="540" t="n"/>
      <c r="E99" s="518">
        <f>IF(ISBLANK(C99)=FALSE,"thsd</f>
        <v/>
      </c>
      <c r="F99" s="518">
        <f>IF(ISBLANK(C99)=FALSE,"+","")</f>
        <v/>
      </c>
      <c r="G99" s="532" t="n"/>
      <c r="H99" s="533" t="n"/>
      <c r="I99" s="533" t="n"/>
      <c r="J99" s="536" t="n"/>
      <c r="K99" s="537" t="n"/>
      <c r="L99" s="534" t="n"/>
      <c r="M99" s="534" t="n"/>
      <c r="N99" s="534" t="n"/>
      <c r="O99" s="534" t="n"/>
      <c r="P99" s="534" t="n"/>
      <c r="Q99" s="522">
        <f>IFERROR((O99-P99),"N/A")</f>
        <v/>
      </c>
      <c r="R99" s="523">
        <f>IFERROR((O99-P99)/ABS(P99),"N/A")</f>
        <v/>
      </c>
      <c r="S99" s="537" t="n"/>
      <c r="T99" s="546" t="n"/>
      <c r="U99" s="546" t="n"/>
      <c r="V99" s="522">
        <f>IFERROR((T99-U99),"N/A")</f>
        <v/>
      </c>
      <c r="W99" s="523">
        <f>IFERROR((T99-U99)/ABS(U99),"N/A")</f>
        <v/>
      </c>
      <c r="X99" s="537" t="n"/>
      <c r="Y99" s="512">
        <f>IF(ISNUMBER(SEARCH("SUMPRODUCT",_xlfn.FORMULATEXT(L99),1))=FALSE,IF(ISNUMBER(SEARCH("INDIRECT",_xlfn.FORMULATEXT(L99),1))=TRUE,1,0),2)</f>
        <v/>
      </c>
      <c r="Z99" s="525">
        <f>IFERROR(SUMPRODUCT(--(_xlfn.ISFORMULA(L99)=FALSE),--(C99&lt;&gt;"Other Projects"),--(AC99&lt;&gt;TRUE),L99),0)</f>
        <v/>
      </c>
      <c r="AA99" s="512">
        <f>IFERROR(SUMPRODUCT(--(_xlfn.ISFORMULA(L99)=FALSE),--(C99&lt;&gt;"Other Projects"),--(G99="Yes"),--(AC99&lt;&gt;TRUE),L99),0)</f>
        <v/>
      </c>
      <c r="AB99" s="512">
        <f>IF(_xlfn.ISFORMULA(L99)=TRUE,0,AB98-1)</f>
        <v/>
      </c>
      <c r="AC99" s="512" t="n"/>
    </row>
    <row r="100" outlineLevel="1" ht="15" customFormat="1" customHeight="1" s="266">
      <c r="A100" s="515" t="n"/>
      <c r="B100" s="526" t="inlineStr">
        <is>
          <t>Downstream</t>
        </is>
      </c>
      <c r="C100" s="527" t="inlineStr">
        <is>
          <t>Petrochemical projects</t>
        </is>
      </c>
      <c r="D100" s="527" t="n"/>
      <c r="E100" s="518">
        <f>IF(ISBLANK(C100)=FALSE,"thsd</f>
        <v/>
      </c>
      <c r="F100" s="518">
        <f>IF(ISBLANK(C100)=FALSE,"+","")</f>
        <v/>
      </c>
      <c r="G100" s="519" t="n"/>
      <c r="H100" s="519" t="n"/>
      <c r="I100" s="519" t="n"/>
      <c r="J100" s="519" t="n"/>
      <c r="K100" s="537" t="n"/>
      <c r="L100" s="588">
        <f>SUM(INDIRECT(CHAR(COLUMN()+64)&amp;ROW(L101)&amp;":"&amp;IF(_xlfn.ISFORMULA(INDIRECT((ADDRESS(ROW()-1+MATCH(1,$Y101:$Y$261,0),COLUMN(),1,1)))),(ADDRESS(ROW()-2+MATCH(1,$Y101:$Y$261,0),COLUMN(),1,1)),(ADDRESS(ROW()-1+MATCH(1,$Y101:$Y$261,0),COLUMN(),1,1)))))</f>
        <v/>
      </c>
      <c r="M100" s="588">
        <f>SUM(INDIRECT(CHAR(COLUMN()+64)&amp;ROW(M101)&amp;":"&amp;IF(_xlfn.ISFORMULA(INDIRECT((ADDRESS(ROW()-1+MATCH(1,$Y101:$Y$261,0),COLUMN(),1,1)))),(ADDRESS(ROW()-2+MATCH(1,$Y101:$Y$261,0),COLUMN(),1,1)),(ADDRESS(ROW()-1+MATCH(1,$Y101:$Y$261,0),COLUMN(),1,1)))))</f>
        <v/>
      </c>
      <c r="N100" s="588">
        <f>SUM(INDIRECT(CHAR(COLUMN()+64)&amp;ROW(N101)&amp;":"&amp;IF(_xlfn.ISFORMULA(INDIRECT((ADDRESS(ROW()-1+MATCH(1,$Y101:$Y$261,0),COLUMN(),1,1)))),(ADDRESS(ROW()-2+MATCH(1,$Y101:$Y$261,0),COLUMN(),1,1)),(ADDRESS(ROW()-1+MATCH(1,$Y101:$Y$261,0),COLUMN(),1,1)))))</f>
        <v/>
      </c>
      <c r="O100" s="588">
        <f>SUM(INDIRECT(CHAR(COLUMN()+64)&amp;ROW(O101)&amp;":"&amp;IF(_xlfn.ISFORMULA(INDIRECT((ADDRESS(ROW()-1+MATCH(1,$Y101:$Y$261,0),COLUMN(),1,1)))),(ADDRESS(ROW()-2+MATCH(1,$Y101:$Y$261,0),COLUMN(),1,1)),(ADDRESS(ROW()-1+MATCH(1,$Y101:$Y$261,0),COLUMN(),1,1)))))</f>
        <v/>
      </c>
      <c r="P100" s="588">
        <f>SUM(INDIRECT(CHAR(COLUMN()+64)&amp;ROW(P101)&amp;":"&amp;IF(_xlfn.ISFORMULA(INDIRECT((ADDRESS(ROW()-1+MATCH(1,$Y101:$Y$261,0),COLUMN(),1,1)))),(ADDRESS(ROW()-2+MATCH(1,$Y101:$Y$261,0),COLUMN(),1,1)),(ADDRESS(ROW()-1+MATCH(1,$Y101:$Y$261,0),COLUMN(),1,1)))))</f>
        <v/>
      </c>
      <c r="Q100" s="522">
        <f>IFERROR((O100-P100),"N/A")</f>
        <v/>
      </c>
      <c r="R100" s="523">
        <f>IFERROR((O100-P100)/ABS(P100),"N/A")</f>
        <v/>
      </c>
      <c r="S100" s="537" t="n"/>
      <c r="T100" s="588">
        <f>SUM(INDIRECT(CHAR(COLUMN()+64)&amp;ROW(T101)&amp;":"&amp;IF(_xlfn.ISFORMULA(INDIRECT((ADDRESS(ROW()-1+MATCH(1,$Y101:$Y$261,0),COLUMN(),1,1)))),(ADDRESS(ROW()-2+MATCH(1,$Y101:$Y$261,0),COLUMN(),1,1)),(ADDRESS(ROW()-1+MATCH(1,$Y101:$Y$261,0),COLUMN(),1,1)))))</f>
        <v/>
      </c>
      <c r="U100" s="588">
        <f>SUM(INDIRECT(CHAR(COLUMN()+64)&amp;ROW(U101)&amp;":"&amp;IF(_xlfn.ISFORMULA(INDIRECT((ADDRESS(ROW()-1+MATCH(1,$Y101:$Y$261,0),COLUMN(),1,1)))),(ADDRESS(ROW()-2+MATCH(1,$Y101:$Y$261,0),COLUMN(),1,1)),(ADDRESS(ROW()-1+MATCH(1,$Y101:$Y$261,0),COLUMN(),1,1)))))</f>
        <v/>
      </c>
      <c r="V100" s="522">
        <f>IFERROR((T100-U100),"N/A")</f>
        <v/>
      </c>
      <c r="W100" s="523">
        <f>IFERROR((T100-U100)/ABS(U100),"N/A")</f>
        <v/>
      </c>
      <c r="X100" s="537" t="n"/>
      <c r="Y100" s="512">
        <f>IF(ISNUMBER(SEARCH("SUMPRODUCT",_xlfn.FORMULATEXT(L100),1))=FALSE,IF(ISNUMBER(SEARCH("INDIRECT",_xlfn.FORMULATEXT(L100),1))=TRUE,1,0),2)</f>
        <v/>
      </c>
      <c r="Z100" s="525">
        <f>IFERROR(SUMPRODUCT(--(_xlfn.ISFORMULA(L100)=FALSE),--(C100&lt;&gt;"Other Projects"),--(AC100&lt;&gt;TRUE),L100),0)</f>
        <v/>
      </c>
      <c r="AA100" s="512">
        <f>IFERROR(SUMPRODUCT(--(_xlfn.ISFORMULA(L100)=FALSE),--(C100&lt;&gt;"Other Projects"),--(G100="Yes"),--(AC100&lt;&gt;TRUE),L100),0)</f>
        <v/>
      </c>
      <c r="AB100" s="512">
        <f>IF(_xlfn.ISFORMULA(L100)=TRUE,0,AB99-1)</f>
        <v/>
      </c>
      <c r="AC100" s="512" t="n"/>
    </row>
    <row r="101" outlineLevel="1" ht="63.75" customFormat="1" customHeight="1" s="266">
      <c r="A101" s="515" t="n"/>
      <c r="B101" s="526" t="inlineStr">
        <is>
          <t>Downstream</t>
        </is>
      </c>
      <c r="C101" s="530" t="inlineStr">
        <is>
          <t>[Input of the project name]</t>
        </is>
      </c>
      <c r="D101" s="531" t="inlineStr">
        <is>
          <t>[input: brief description of the project, including:</t>
        </is>
      </c>
      <c r="E101" s="518">
        <f>IF(ISBLANK(C101)=FALSE,"thsd</f>
        <v/>
      </c>
      <c r="F101" s="518">
        <f>IF(ISBLANK(C101)=FALSE,"+","")</f>
        <v/>
      </c>
      <c r="G101" s="532" t="n"/>
      <c r="H101" s="533" t="n"/>
      <c r="I101" s="533" t="n"/>
      <c r="J101" s="536" t="n"/>
      <c r="K101" s="537" t="n"/>
      <c r="L101" s="534" t="n"/>
      <c r="M101" s="534" t="n"/>
      <c r="N101" s="534" t="n"/>
      <c r="O101" s="534" t="n"/>
      <c r="P101" s="534" t="n"/>
      <c r="Q101" s="522">
        <f>IFERROR((O101-P101),"N/A")</f>
        <v/>
      </c>
      <c r="R101" s="523">
        <f>IFERROR((O101-P101)/ABS(P101),"N/A")</f>
        <v/>
      </c>
      <c r="S101" s="537" t="n"/>
      <c r="T101" s="546" t="n"/>
      <c r="U101" s="546" t="n"/>
      <c r="V101" s="522">
        <f>IFERROR((T101-U101),"N/A")</f>
        <v/>
      </c>
      <c r="W101" s="523">
        <f>IFERROR((T101-U101)/ABS(U101),"N/A")</f>
        <v/>
      </c>
      <c r="X101" s="537" t="n"/>
      <c r="Y101" s="512">
        <f>IF(ISNUMBER(SEARCH("SUMPRODUCT",_xlfn.FORMULATEXT(L101),1))=FALSE,IF(ISNUMBER(SEARCH("INDIRECT",_xlfn.FORMULATEXT(L101),1))=TRUE,1,0),2)</f>
        <v/>
      </c>
      <c r="Z101" s="525">
        <f>IFERROR(SUMPRODUCT(--(_xlfn.ISFORMULA(L101)=FALSE),--(C101&lt;&gt;"Other Projects"),--(AC101&lt;&gt;TRUE),L101),0)</f>
        <v/>
      </c>
      <c r="AA101" s="512">
        <f>IFERROR(SUMPRODUCT(--(_xlfn.ISFORMULA(L101)=FALSE),--(C101&lt;&gt;"Other Projects"),--(G101="Yes"),--(AC101&lt;&gt;TRUE),L101),0)</f>
        <v/>
      </c>
      <c r="AB101" s="512">
        <f>IF(_xlfn.ISFORMULA(L101)=TRUE,0,AB100-1)</f>
        <v/>
      </c>
      <c r="AC101" s="512" t="n"/>
    </row>
    <row r="102" outlineLevel="1" ht="63.75" customFormat="1" customHeight="1" s="266">
      <c r="A102" s="515" t="n"/>
      <c r="B102" s="526" t="inlineStr">
        <is>
          <t>Downstream</t>
        </is>
      </c>
      <c r="C102" s="530" t="inlineStr">
        <is>
          <t>[Input of the project name]</t>
        </is>
      </c>
      <c r="D102" s="531" t="inlineStr">
        <is>
          <t>[input: brief description of the project, including:</t>
        </is>
      </c>
      <c r="E102" s="518">
        <f>IF(ISBLANK(C102)=FALSE,"thsd</f>
        <v/>
      </c>
      <c r="F102" s="518">
        <f>IF(ISBLANK(C102)=FALSE,"+","")</f>
        <v/>
      </c>
      <c r="G102" s="532" t="n"/>
      <c r="H102" s="533" t="n"/>
      <c r="I102" s="533" t="n"/>
      <c r="J102" s="536" t="n"/>
      <c r="K102" s="537" t="n"/>
      <c r="L102" s="534" t="n"/>
      <c r="M102" s="534" t="n"/>
      <c r="N102" s="534" t="n"/>
      <c r="O102" s="534" t="n"/>
      <c r="P102" s="534" t="n"/>
      <c r="Q102" s="522">
        <f>IFERROR((O102-P102),"N/A")</f>
        <v/>
      </c>
      <c r="R102" s="523">
        <f>IFERROR((O102-P102)/ABS(P102),"N/A")</f>
        <v/>
      </c>
      <c r="S102" s="537" t="n"/>
      <c r="T102" s="546" t="n"/>
      <c r="U102" s="546" t="n"/>
      <c r="V102" s="522">
        <f>IFERROR((T102-U102),"N/A")</f>
        <v/>
      </c>
      <c r="W102" s="523">
        <f>IFERROR((T102-U102)/ABS(U102),"N/A")</f>
        <v/>
      </c>
      <c r="X102" s="537" t="n"/>
      <c r="Y102" s="512">
        <f>IF(ISNUMBER(SEARCH("SUMPRODUCT",_xlfn.FORMULATEXT(L102),1))=FALSE,IF(ISNUMBER(SEARCH("INDIRECT",_xlfn.FORMULATEXT(L102),1))=TRUE,1,0),2)</f>
        <v/>
      </c>
      <c r="Z102" s="525">
        <f>IFERROR(SUMPRODUCT(--(_xlfn.ISFORMULA(L102)=FALSE),--(C102&lt;&gt;"Other Projects"),--(AC102&lt;&gt;TRUE),L102),0)</f>
        <v/>
      </c>
      <c r="AA102" s="512">
        <f>IFERROR(SUMPRODUCT(--(_xlfn.ISFORMULA(L102)=FALSE),--(C102&lt;&gt;"Other Projects"),--(G102="Yes"),--(AC102&lt;&gt;TRUE),L102),0)</f>
        <v/>
      </c>
      <c r="AB102" s="512">
        <f>IF(_xlfn.ISFORMULA(L102)=TRUE,0,AB101-1)</f>
        <v/>
      </c>
      <c r="AC102" s="512" t="n"/>
    </row>
    <row r="103" outlineLevel="1" ht="63.75" customFormat="1" customHeight="1" s="266">
      <c r="A103" s="515" t="n"/>
      <c r="B103" s="526" t="inlineStr">
        <is>
          <t>Downstream</t>
        </is>
      </c>
      <c r="C103" s="530" t="inlineStr">
        <is>
          <t>[Input of the project name]</t>
        </is>
      </c>
      <c r="D103" s="531" t="inlineStr">
        <is>
          <t>[input: brief description of the project, including:</t>
        </is>
      </c>
      <c r="E103" s="518">
        <f>IF(ISBLANK(C103)=FALSE,"thsd</f>
        <v/>
      </c>
      <c r="F103" s="518">
        <f>IF(ISBLANK(C103)=FALSE,"+","")</f>
        <v/>
      </c>
      <c r="G103" s="532" t="n"/>
      <c r="H103" s="533" t="n"/>
      <c r="I103" s="533" t="n"/>
      <c r="J103" s="536" t="n"/>
      <c r="K103" s="537" t="n"/>
      <c r="L103" s="534" t="n"/>
      <c r="M103" s="534" t="n"/>
      <c r="N103" s="534" t="n"/>
      <c r="O103" s="534" t="n"/>
      <c r="P103" s="534" t="n"/>
      <c r="Q103" s="522">
        <f>IFERROR((O103-P103),"N/A")</f>
        <v/>
      </c>
      <c r="R103" s="523">
        <f>IFERROR((O103-P103)/ABS(P103),"N/A")</f>
        <v/>
      </c>
      <c r="S103" s="537" t="n"/>
      <c r="T103" s="546" t="n"/>
      <c r="U103" s="546" t="n"/>
      <c r="V103" s="522">
        <f>IFERROR((T103-U103),"N/A")</f>
        <v/>
      </c>
      <c r="W103" s="523">
        <f>IFERROR((T103-U103)/ABS(U103),"N/A")</f>
        <v/>
      </c>
      <c r="X103" s="537" t="n"/>
      <c r="Y103" s="512">
        <f>IF(ISNUMBER(SEARCH("SUMPRODUCT",_xlfn.FORMULATEXT(L103),1))=FALSE,IF(ISNUMBER(SEARCH("INDIRECT",_xlfn.FORMULATEXT(L103),1))=TRUE,1,0),2)</f>
        <v/>
      </c>
      <c r="Z103" s="525">
        <f>IFERROR(SUMPRODUCT(--(_xlfn.ISFORMULA(L103)=FALSE),--(C103&lt;&gt;"Other Projects"),--(AC103&lt;&gt;TRUE),L103),0)</f>
        <v/>
      </c>
      <c r="AA103" s="512">
        <f>IFERROR(SUMPRODUCT(--(_xlfn.ISFORMULA(L103)=FALSE),--(C103&lt;&gt;"Other Projects"),--(G103="Yes"),--(AC103&lt;&gt;TRUE),L103),0)</f>
        <v/>
      </c>
      <c r="AB103" s="512">
        <f>IF(_xlfn.ISFORMULA(L103)=TRUE,0,AB102-1)</f>
        <v/>
      </c>
      <c r="AC103" s="512" t="n"/>
    </row>
    <row r="104" outlineLevel="1" ht="63.75" customFormat="1" customHeight="1" s="266">
      <c r="A104" s="515" t="n"/>
      <c r="B104" s="526" t="inlineStr">
        <is>
          <t>Downstream</t>
        </is>
      </c>
      <c r="C104" s="530" t="inlineStr">
        <is>
          <t>[Input of the project name]</t>
        </is>
      </c>
      <c r="D104" s="531" t="inlineStr">
        <is>
          <t>[input: brief description of the project, including:</t>
        </is>
      </c>
      <c r="E104" s="518">
        <f>IF(ISBLANK(C104)=FALSE,"thsd</f>
        <v/>
      </c>
      <c r="F104" s="518">
        <f>IF(ISBLANK(C104)=FALSE,"+","")</f>
        <v/>
      </c>
      <c r="G104" s="532" t="n"/>
      <c r="H104" s="533" t="n"/>
      <c r="I104" s="533" t="n"/>
      <c r="J104" s="536" t="n"/>
      <c r="K104" s="537" t="n"/>
      <c r="L104" s="534" t="n"/>
      <c r="M104" s="534" t="n"/>
      <c r="N104" s="534" t="n"/>
      <c r="O104" s="534" t="n"/>
      <c r="P104" s="534" t="n"/>
      <c r="Q104" s="522">
        <f>IFERROR((O104-P104),"N/A")</f>
        <v/>
      </c>
      <c r="R104" s="523">
        <f>IFERROR((O104-P104)/ABS(P104),"N/A")</f>
        <v/>
      </c>
      <c r="S104" s="537" t="n"/>
      <c r="T104" s="546" t="n"/>
      <c r="U104" s="546" t="n"/>
      <c r="V104" s="522">
        <f>IFERROR((T104-U104),"N/A")</f>
        <v/>
      </c>
      <c r="W104" s="523">
        <f>IFERROR((T104-U104)/ABS(U104),"N/A")</f>
        <v/>
      </c>
      <c r="X104" s="537" t="n"/>
      <c r="Y104" s="512">
        <f>IF(ISNUMBER(SEARCH("SUMPRODUCT",_xlfn.FORMULATEXT(L104),1))=FALSE,IF(ISNUMBER(SEARCH("INDIRECT",_xlfn.FORMULATEXT(L104),1))=TRUE,1,0),2)</f>
        <v/>
      </c>
      <c r="Z104" s="525">
        <f>IFERROR(SUMPRODUCT(--(_xlfn.ISFORMULA(L104)=FALSE),--(C104&lt;&gt;"Other Projects"),--(AC104&lt;&gt;TRUE),L104),0)</f>
        <v/>
      </c>
      <c r="AA104" s="512">
        <f>IFERROR(SUMPRODUCT(--(_xlfn.ISFORMULA(L104)=FALSE),--(C104&lt;&gt;"Other Projects"),--(G104="Yes"),--(AC104&lt;&gt;TRUE),L104),0)</f>
        <v/>
      </c>
      <c r="AB104" s="512">
        <f>IF(_xlfn.ISFORMULA(L104)=TRUE,0,AB103-1)</f>
        <v/>
      </c>
      <c r="AC104" s="512" t="n"/>
    </row>
    <row r="105" outlineLevel="1" ht="63.75" customFormat="1" customHeight="1" s="266">
      <c r="A105" s="515" t="n"/>
      <c r="B105" s="526" t="inlineStr">
        <is>
          <t>Downstream</t>
        </is>
      </c>
      <c r="C105" s="530" t="inlineStr">
        <is>
          <t>[Input of the project name]</t>
        </is>
      </c>
      <c r="D105" s="531" t="inlineStr">
        <is>
          <t>[input: brief description of the project, including:</t>
        </is>
      </c>
      <c r="E105" s="518">
        <f>IF(ISBLANK(C105)=FALSE,"thsd</f>
        <v/>
      </c>
      <c r="F105" s="518">
        <f>IF(ISBLANK(C105)=FALSE,"+","")</f>
        <v/>
      </c>
      <c r="G105" s="532" t="n"/>
      <c r="H105" s="533" t="n"/>
      <c r="I105" s="533" t="n"/>
      <c r="J105" s="536" t="n"/>
      <c r="K105" s="537" t="n"/>
      <c r="L105" s="534" t="n"/>
      <c r="M105" s="534" t="n"/>
      <c r="N105" s="534" t="n"/>
      <c r="O105" s="534" t="n"/>
      <c r="P105" s="534" t="n"/>
      <c r="Q105" s="522">
        <f>IFERROR((O105-P105),"N/A")</f>
        <v/>
      </c>
      <c r="R105" s="523">
        <f>IFERROR((O105-P105)/ABS(P105),"N/A")</f>
        <v/>
      </c>
      <c r="S105" s="537" t="n"/>
      <c r="T105" s="546" t="n"/>
      <c r="U105" s="546" t="n"/>
      <c r="V105" s="522">
        <f>IFERROR((T105-U105),"N/A")</f>
        <v/>
      </c>
      <c r="W105" s="523">
        <f>IFERROR((T105-U105)/ABS(U105),"N/A")</f>
        <v/>
      </c>
      <c r="X105" s="537" t="n"/>
      <c r="Y105" s="512">
        <f>IF(ISNUMBER(SEARCH("SUMPRODUCT",_xlfn.FORMULATEXT(L105),1))=FALSE,IF(ISNUMBER(SEARCH("INDIRECT",_xlfn.FORMULATEXT(L105),1))=TRUE,1,0),2)</f>
        <v/>
      </c>
      <c r="Z105" s="525">
        <f>IFERROR(SUMPRODUCT(--(_xlfn.ISFORMULA(L105)=FALSE),--(C105&lt;&gt;"Other Projects"),--(AC105&lt;&gt;TRUE),L105),0)</f>
        <v/>
      </c>
      <c r="AA105" s="512">
        <f>IFERROR(SUMPRODUCT(--(_xlfn.ISFORMULA(L105)=FALSE),--(C105&lt;&gt;"Other Projects"),--(G105="Yes"),--(AC105&lt;&gt;TRUE),L105),0)</f>
        <v/>
      </c>
      <c r="AB105" s="512">
        <f>IF(_xlfn.ISFORMULA(L105)=TRUE,0,AB104-1)</f>
        <v/>
      </c>
      <c r="AC105" s="512" t="n"/>
    </row>
    <row r="106" outlineLevel="1" ht="63.75" customFormat="1" customHeight="1" s="266">
      <c r="A106" s="515" t="n"/>
      <c r="B106" s="526" t="inlineStr">
        <is>
          <t>Downstream</t>
        </is>
      </c>
      <c r="C106" s="530" t="inlineStr">
        <is>
          <t>[Input of the project name]</t>
        </is>
      </c>
      <c r="D106" s="531" t="inlineStr">
        <is>
          <t>[input: brief description of the project, including:</t>
        </is>
      </c>
      <c r="E106" s="518">
        <f>IF(ISBLANK(C106)=FALSE,"thsd</f>
        <v/>
      </c>
      <c r="F106" s="518">
        <f>IF(ISBLANK(C106)=FALSE,"+","")</f>
        <v/>
      </c>
      <c r="G106" s="532" t="n"/>
      <c r="H106" s="533" t="n"/>
      <c r="I106" s="533" t="n"/>
      <c r="J106" s="536" t="n"/>
      <c r="K106" s="537" t="n"/>
      <c r="L106" s="534" t="n"/>
      <c r="M106" s="534" t="n"/>
      <c r="N106" s="534" t="n"/>
      <c r="O106" s="534" t="n"/>
      <c r="P106" s="534" t="n"/>
      <c r="Q106" s="522">
        <f>IFERROR((O106-P106),"N/A")</f>
        <v/>
      </c>
      <c r="R106" s="523">
        <f>IFERROR((O106-P106)/ABS(P106),"N/A")</f>
        <v/>
      </c>
      <c r="S106" s="537" t="n"/>
      <c r="T106" s="546" t="n"/>
      <c r="U106" s="546" t="n"/>
      <c r="V106" s="522">
        <f>IFERROR((T106-U106),"N/A")</f>
        <v/>
      </c>
      <c r="W106" s="523">
        <f>IFERROR((T106-U106)/ABS(U106),"N/A")</f>
        <v/>
      </c>
      <c r="X106" s="537" t="n"/>
      <c r="Y106" s="512">
        <f>IF(ISNUMBER(SEARCH("SUMPRODUCT",_xlfn.FORMULATEXT(L106),1))=FALSE,IF(ISNUMBER(SEARCH("INDIRECT",_xlfn.FORMULATEXT(L106),1))=TRUE,1,0),2)</f>
        <v/>
      </c>
      <c r="Z106" s="525">
        <f>IFERROR(SUMPRODUCT(--(_xlfn.ISFORMULA(L106)=FALSE),--(C106&lt;&gt;"Other Projects"),--(AC106&lt;&gt;TRUE),L106),0)</f>
        <v/>
      </c>
      <c r="AA106" s="512">
        <f>IFERROR(SUMPRODUCT(--(_xlfn.ISFORMULA(L106)=FALSE),--(C106&lt;&gt;"Other Projects"),--(G106="Yes"),--(AC106&lt;&gt;TRUE),L106),0)</f>
        <v/>
      </c>
      <c r="AB106" s="512">
        <f>IF(_xlfn.ISFORMULA(L106)=TRUE,0,AB105-1)</f>
        <v/>
      </c>
      <c r="AC106" s="512" t="n"/>
    </row>
    <row r="107" outlineLevel="1" ht="63.75" customFormat="1" customHeight="1" s="266">
      <c r="A107" s="515" t="n"/>
      <c r="B107" s="526" t="inlineStr">
        <is>
          <t>Downstream</t>
        </is>
      </c>
      <c r="C107" s="530" t="inlineStr">
        <is>
          <t>[Input of the project name]</t>
        </is>
      </c>
      <c r="D107" s="531" t="inlineStr">
        <is>
          <t>[input: brief description of the project, including:</t>
        </is>
      </c>
      <c r="E107" s="518">
        <f>IF(ISBLANK(C107)=FALSE,"thsd</f>
        <v/>
      </c>
      <c r="F107" s="518">
        <f>IF(ISBLANK(C107)=FALSE,"+","")</f>
        <v/>
      </c>
      <c r="G107" s="532" t="n"/>
      <c r="H107" s="533" t="n"/>
      <c r="I107" s="533" t="n"/>
      <c r="J107" s="536" t="n"/>
      <c r="K107" s="537" t="n"/>
      <c r="L107" s="534" t="n"/>
      <c r="M107" s="534" t="n"/>
      <c r="N107" s="534" t="n"/>
      <c r="O107" s="534" t="n"/>
      <c r="P107" s="534" t="n"/>
      <c r="Q107" s="522">
        <f>IFERROR((O107-P107),"N/A")</f>
        <v/>
      </c>
      <c r="R107" s="523">
        <f>IFERROR((O107-P107)/ABS(P107),"N/A")</f>
        <v/>
      </c>
      <c r="S107" s="537" t="n"/>
      <c r="T107" s="546" t="n"/>
      <c r="U107" s="546" t="n"/>
      <c r="V107" s="522">
        <f>IFERROR((T107-U107),"N/A")</f>
        <v/>
      </c>
      <c r="W107" s="523">
        <f>IFERROR((T107-U107)/ABS(U107),"N/A")</f>
        <v/>
      </c>
      <c r="X107" s="537" t="n"/>
      <c r="Y107" s="512">
        <f>IF(ISNUMBER(SEARCH("SUMPRODUCT",_xlfn.FORMULATEXT(L107),1))=FALSE,IF(ISNUMBER(SEARCH("INDIRECT",_xlfn.FORMULATEXT(L107),1))=TRUE,1,0),2)</f>
        <v/>
      </c>
      <c r="Z107" s="525">
        <f>IFERROR(SUMPRODUCT(--(_xlfn.ISFORMULA(L107)=FALSE),--(C107&lt;&gt;"Other Projects"),--(AC107&lt;&gt;TRUE),L107),0)</f>
        <v/>
      </c>
      <c r="AA107" s="512">
        <f>IFERROR(SUMPRODUCT(--(_xlfn.ISFORMULA(L107)=FALSE),--(C107&lt;&gt;"Other Projects"),--(G107="Yes"),--(AC107&lt;&gt;TRUE),L107),0)</f>
        <v/>
      </c>
      <c r="AB107" s="512">
        <f>IF(_xlfn.ISFORMULA(L107)=TRUE,0,AB106-1)</f>
        <v/>
      </c>
      <c r="AC107" s="512" t="n"/>
    </row>
    <row r="108" outlineLevel="1" ht="63.75" customFormat="1" customHeight="1" s="266">
      <c r="A108" s="515" t="n"/>
      <c r="B108" s="526" t="inlineStr">
        <is>
          <t>Downstream</t>
        </is>
      </c>
      <c r="C108" s="530" t="inlineStr">
        <is>
          <t>[Input of the project name]</t>
        </is>
      </c>
      <c r="D108" s="531" t="inlineStr">
        <is>
          <t>[input: brief description of the project, including:</t>
        </is>
      </c>
      <c r="E108" s="518">
        <f>IF(ISBLANK(C108)=FALSE,"thsd</f>
        <v/>
      </c>
      <c r="F108" s="518">
        <f>IF(ISBLANK(C108)=FALSE,"+","")</f>
        <v/>
      </c>
      <c r="G108" s="532" t="n"/>
      <c r="H108" s="533" t="n"/>
      <c r="I108" s="533" t="n"/>
      <c r="J108" s="536" t="n"/>
      <c r="K108" s="537" t="n"/>
      <c r="L108" s="534" t="n"/>
      <c r="M108" s="534" t="n"/>
      <c r="N108" s="534" t="n"/>
      <c r="O108" s="534" t="n"/>
      <c r="P108" s="534" t="n"/>
      <c r="Q108" s="522">
        <f>IFERROR((O108-P108),"N/A")</f>
        <v/>
      </c>
      <c r="R108" s="523">
        <f>IFERROR((O108-P108)/ABS(P108),"N/A")</f>
        <v/>
      </c>
      <c r="S108" s="537" t="n"/>
      <c r="T108" s="546" t="n"/>
      <c r="U108" s="546" t="n"/>
      <c r="V108" s="522">
        <f>IFERROR((T108-U108),"N/A")</f>
        <v/>
      </c>
      <c r="W108" s="523">
        <f>IFERROR((T108-U108)/ABS(U108),"N/A")</f>
        <v/>
      </c>
      <c r="X108" s="537" t="n"/>
      <c r="Y108" s="512">
        <f>IF(ISNUMBER(SEARCH("SUMPRODUCT",_xlfn.FORMULATEXT(L108),1))=FALSE,IF(ISNUMBER(SEARCH("INDIRECT",_xlfn.FORMULATEXT(L108),1))=TRUE,1,0),2)</f>
        <v/>
      </c>
      <c r="Z108" s="525">
        <f>IFERROR(SUMPRODUCT(--(_xlfn.ISFORMULA(L108)=FALSE),--(C108&lt;&gt;"Other Projects"),--(AC108&lt;&gt;TRUE),L108),0)</f>
        <v/>
      </c>
      <c r="AA108" s="512">
        <f>IFERROR(SUMPRODUCT(--(_xlfn.ISFORMULA(L108)=FALSE),--(C108&lt;&gt;"Other Projects"),--(G108="Yes"),--(AC108&lt;&gt;TRUE),L108),0)</f>
        <v/>
      </c>
      <c r="AB108" s="512">
        <f>IF(_xlfn.ISFORMULA(L108)=TRUE,0,AB107-1)</f>
        <v/>
      </c>
      <c r="AC108" s="512" t="n"/>
    </row>
    <row r="109" outlineLevel="1" customFormat="1" s="266">
      <c r="A109" s="515" t="n"/>
      <c r="B109" s="526" t="inlineStr">
        <is>
          <t>Downstream</t>
        </is>
      </c>
      <c r="C109" s="539" t="inlineStr">
        <is>
          <t>Other projects</t>
        </is>
      </c>
      <c r="D109" s="540" t="n"/>
      <c r="E109" s="518">
        <f>IF(ISBLANK(C109)=FALSE,"thsd</f>
        <v/>
      </c>
      <c r="F109" s="518">
        <f>IF(ISBLANK(C109)=FALSE,"+","")</f>
        <v/>
      </c>
      <c r="G109" s="532" t="n"/>
      <c r="H109" s="533" t="n"/>
      <c r="I109" s="533" t="n"/>
      <c r="J109" s="536" t="n"/>
      <c r="K109" s="537" t="n"/>
      <c r="L109" s="534" t="n"/>
      <c r="M109" s="534" t="n"/>
      <c r="N109" s="534" t="n"/>
      <c r="O109" s="534" t="n"/>
      <c r="P109" s="534" t="n"/>
      <c r="Q109" s="522">
        <f>IFERROR((O109-P109),"N/A")</f>
        <v/>
      </c>
      <c r="R109" s="523">
        <f>IFERROR((O109-P109)/ABS(P109),"N/A")</f>
        <v/>
      </c>
      <c r="S109" s="537" t="n"/>
      <c r="T109" s="546" t="n"/>
      <c r="U109" s="546" t="n"/>
      <c r="V109" s="522">
        <f>IFERROR((T109-U109),"N/A")</f>
        <v/>
      </c>
      <c r="W109" s="523">
        <f>IFERROR((T109-U109)/ABS(U109),"N/A")</f>
        <v/>
      </c>
      <c r="X109" s="537" t="n"/>
      <c r="Y109" s="512">
        <f>IF(ISNUMBER(SEARCH("SUMPRODUCT",_xlfn.FORMULATEXT(L109),1))=FALSE,IF(ISNUMBER(SEARCH("INDIRECT",_xlfn.FORMULATEXT(L109),1))=TRUE,1,0),2)</f>
        <v/>
      </c>
      <c r="Z109" s="525">
        <f>IFERROR(SUMPRODUCT(--(_xlfn.ISFORMULA(L109)=FALSE),--(C109&lt;&gt;"Other Projects"),--(AC109&lt;&gt;TRUE),L109),0)</f>
        <v/>
      </c>
      <c r="AA109" s="512">
        <f>IFERROR(SUMPRODUCT(--(_xlfn.ISFORMULA(L109)=FALSE),--(C109&lt;&gt;"Other Projects"),--(G109="Yes"),--(AC109&lt;&gt;TRUE),L109),0)</f>
        <v/>
      </c>
      <c r="AB109" s="512">
        <f>IF(_xlfn.ISFORMULA(L109)=TRUE,0,AB108-1)</f>
        <v/>
      </c>
      <c r="AC109" s="512" t="n"/>
    </row>
    <row r="110" outlineLevel="1" ht="15" customFormat="1" customHeight="1" s="266">
      <c r="A110" s="515" t="n"/>
      <c r="B110" s="526" t="inlineStr">
        <is>
          <t>Downstream</t>
        </is>
      </c>
      <c r="C110" s="527" t="inlineStr">
        <is>
          <t xml:space="preserve">Gas products projects </t>
        </is>
      </c>
      <c r="D110" s="527" t="n"/>
      <c r="E110" s="518">
        <f>IF(ISBLANK(C110)=FALSE,"thsd</f>
        <v/>
      </c>
      <c r="F110" s="518">
        <f>IF(ISBLANK(C110)=FALSE,"+","")</f>
        <v/>
      </c>
      <c r="G110" s="519" t="n"/>
      <c r="H110" s="519" t="n"/>
      <c r="I110" s="519" t="n"/>
      <c r="J110" s="519" t="n"/>
      <c r="K110" s="537" t="n"/>
      <c r="L110" s="588">
        <f>SUM(INDIRECT(CHAR(COLUMN()+64)&amp;ROW(L111)&amp;":"&amp;IF(_xlfn.ISFORMULA(INDIRECT((ADDRESS(ROW()-1+MATCH(1,$Y111:$Y$261,0),COLUMN(),1,1)))),(ADDRESS(ROW()-2+MATCH(1,$Y111:$Y$261,0),COLUMN(),1,1)),(ADDRESS(ROW()-1+MATCH(1,$Y111:$Y$261,0),COLUMN(),1,1)))))</f>
        <v/>
      </c>
      <c r="M110" s="588">
        <f>SUM(INDIRECT(CHAR(COLUMN()+64)&amp;ROW(M111)&amp;":"&amp;IF(_xlfn.ISFORMULA(INDIRECT((ADDRESS(ROW()-1+MATCH(1,$Y111:$Y$261,0),COLUMN(),1,1)))),(ADDRESS(ROW()-2+MATCH(1,$Y111:$Y$261,0),COLUMN(),1,1)),(ADDRESS(ROW()-1+MATCH(1,$Y111:$Y$261,0),COLUMN(),1,1)))))</f>
        <v/>
      </c>
      <c r="N110" s="588">
        <f>SUM(INDIRECT(CHAR(COLUMN()+64)&amp;ROW(N111)&amp;":"&amp;IF(_xlfn.ISFORMULA(INDIRECT((ADDRESS(ROW()-1+MATCH(1,$Y111:$Y$261,0),COLUMN(),1,1)))),(ADDRESS(ROW()-2+MATCH(1,$Y111:$Y$261,0),COLUMN(),1,1)),(ADDRESS(ROW()-1+MATCH(1,$Y111:$Y$261,0),COLUMN(),1,1)))))</f>
        <v/>
      </c>
      <c r="O110" s="588">
        <f>SUM(INDIRECT(CHAR(COLUMN()+64)&amp;ROW(O111)&amp;":"&amp;IF(_xlfn.ISFORMULA(INDIRECT((ADDRESS(ROW()-1+MATCH(1,$Y111:$Y$261,0),COLUMN(),1,1)))),(ADDRESS(ROW()-2+MATCH(1,$Y111:$Y$261,0),COLUMN(),1,1)),(ADDRESS(ROW()-1+MATCH(1,$Y111:$Y$261,0),COLUMN(),1,1)))))</f>
        <v/>
      </c>
      <c r="P110" s="588">
        <f>SUM(INDIRECT(CHAR(COLUMN()+64)&amp;ROW(P111)&amp;":"&amp;IF(_xlfn.ISFORMULA(INDIRECT((ADDRESS(ROW()-1+MATCH(1,$Y111:$Y$261,0),COLUMN(),1,1)))),(ADDRESS(ROW()-2+MATCH(1,$Y111:$Y$261,0),COLUMN(),1,1)),(ADDRESS(ROW()-1+MATCH(1,$Y111:$Y$261,0),COLUMN(),1,1)))))</f>
        <v/>
      </c>
      <c r="Q110" s="522">
        <f>IFERROR((O110-P110),"N/A")</f>
        <v/>
      </c>
      <c r="R110" s="523">
        <f>IFERROR((O110-P110)/ABS(P110),"N/A")</f>
        <v/>
      </c>
      <c r="S110" s="537" t="n"/>
      <c r="T110" s="588">
        <f>SUM(INDIRECT(CHAR(COLUMN()+64)&amp;ROW(T111)&amp;":"&amp;IF(_xlfn.ISFORMULA(INDIRECT((ADDRESS(ROW()-1+MATCH(1,$Y111:$Y$261,0),COLUMN(),1,1)))),(ADDRESS(ROW()-2+MATCH(1,$Y111:$Y$261,0),COLUMN(),1,1)),(ADDRESS(ROW()-1+MATCH(1,$Y111:$Y$261,0),COLUMN(),1,1)))))</f>
        <v/>
      </c>
      <c r="U110" s="588">
        <f>SUM(INDIRECT(CHAR(COLUMN()+64)&amp;ROW(U111)&amp;":"&amp;IF(_xlfn.ISFORMULA(INDIRECT((ADDRESS(ROW()-1+MATCH(1,$Y111:$Y$261,0),COLUMN(),1,1)))),(ADDRESS(ROW()-2+MATCH(1,$Y111:$Y$261,0),COLUMN(),1,1)),(ADDRESS(ROW()-1+MATCH(1,$Y111:$Y$261,0),COLUMN(),1,1)))))</f>
        <v/>
      </c>
      <c r="V110" s="522">
        <f>IFERROR((T110-U110),"N/A")</f>
        <v/>
      </c>
      <c r="W110" s="523">
        <f>IFERROR((T110-U110)/ABS(U110),"N/A")</f>
        <v/>
      </c>
      <c r="X110" s="537" t="n"/>
      <c r="Y110" s="512">
        <f>IF(ISNUMBER(SEARCH("SUMPRODUCT",_xlfn.FORMULATEXT(L110),1))=FALSE,IF(ISNUMBER(SEARCH("INDIRECT",_xlfn.FORMULATEXT(L110),1))=TRUE,1,0),2)</f>
        <v/>
      </c>
      <c r="Z110" s="525">
        <f>IFERROR(SUMPRODUCT(--(_xlfn.ISFORMULA(L110)=FALSE),--(C110&lt;&gt;"Other Projects"),--(AC110&lt;&gt;TRUE),L110),0)</f>
        <v/>
      </c>
      <c r="AA110" s="512">
        <f>IFERROR(SUMPRODUCT(--(_xlfn.ISFORMULA(L110)=FALSE),--(C110&lt;&gt;"Other Projects"),--(G110="Yes"),--(AC110&lt;&gt;TRUE),L110),0)</f>
        <v/>
      </c>
      <c r="AB110" s="512">
        <f>IF(_xlfn.ISFORMULA(L110)=TRUE,0,AB109-1)</f>
        <v/>
      </c>
      <c r="AC110" s="512" t="n"/>
    </row>
    <row r="111" outlineLevel="1" ht="63.75" customFormat="1" customHeight="1" s="266">
      <c r="A111" s="515" t="n"/>
      <c r="B111" s="526" t="inlineStr">
        <is>
          <t>Downstream</t>
        </is>
      </c>
      <c r="C111" s="530" t="inlineStr">
        <is>
          <t>[Input of the project name]</t>
        </is>
      </c>
      <c r="D111" s="531" t="inlineStr">
        <is>
          <t>[input: brief description of the project, including:</t>
        </is>
      </c>
      <c r="E111" s="518">
        <f>IF(ISBLANK(C111)=FALSE,"thsd</f>
        <v/>
      </c>
      <c r="F111" s="518">
        <f>IF(ISBLANK(C111)=FALSE,"+","")</f>
        <v/>
      </c>
      <c r="G111" s="532" t="n"/>
      <c r="H111" s="533" t="n"/>
      <c r="I111" s="533" t="n"/>
      <c r="J111" s="536" t="n"/>
      <c r="K111" s="537" t="n"/>
      <c r="L111" s="534" t="n"/>
      <c r="M111" s="534" t="n"/>
      <c r="N111" s="534" t="n"/>
      <c r="O111" s="534" t="n"/>
      <c r="P111" s="534" t="n"/>
      <c r="Q111" s="522">
        <f>IFERROR((O111-P111),"N/A")</f>
        <v/>
      </c>
      <c r="R111" s="523">
        <f>IFERROR((O111-P111)/ABS(P111),"N/A")</f>
        <v/>
      </c>
      <c r="S111" s="537" t="n"/>
      <c r="T111" s="546" t="n"/>
      <c r="U111" s="546" t="n"/>
      <c r="V111" s="522">
        <f>IFERROR((T111-U111),"N/A")</f>
        <v/>
      </c>
      <c r="W111" s="523">
        <f>IFERROR((T111-U111)/ABS(U111),"N/A")</f>
        <v/>
      </c>
      <c r="X111" s="537" t="n"/>
      <c r="Y111" s="512">
        <f>IF(ISNUMBER(SEARCH("SUMPRODUCT",_xlfn.FORMULATEXT(L111),1))=FALSE,IF(ISNUMBER(SEARCH("INDIRECT",_xlfn.FORMULATEXT(L111),1))=TRUE,1,0),2)</f>
        <v/>
      </c>
      <c r="Z111" s="525">
        <f>IFERROR(SUMPRODUCT(--(_xlfn.ISFORMULA(L111)=FALSE),--(C111&lt;&gt;"Other Projects"),--(AC111&lt;&gt;TRUE),L111),0)</f>
        <v/>
      </c>
      <c r="AA111" s="512">
        <f>IFERROR(SUMPRODUCT(--(_xlfn.ISFORMULA(L111)=FALSE),--(C111&lt;&gt;"Other Projects"),--(G111="Yes"),--(AC111&lt;&gt;TRUE),L111),0)</f>
        <v/>
      </c>
      <c r="AB111" s="512">
        <f>IF(_xlfn.ISFORMULA(L111)=TRUE,0,AB110-1)</f>
        <v/>
      </c>
      <c r="AC111" s="512" t="n"/>
    </row>
    <row r="112" outlineLevel="1" ht="63.75" customFormat="1" customHeight="1" s="266">
      <c r="A112" s="515" t="n"/>
      <c r="B112" s="526" t="inlineStr">
        <is>
          <t>Downstream</t>
        </is>
      </c>
      <c r="C112" s="530" t="inlineStr">
        <is>
          <t>[Input of the project name]</t>
        </is>
      </c>
      <c r="D112" s="531" t="inlineStr">
        <is>
          <t>[input: brief description of the project, including:</t>
        </is>
      </c>
      <c r="E112" s="518">
        <f>IF(ISBLANK(C112)=FALSE,"thsd</f>
        <v/>
      </c>
      <c r="F112" s="518">
        <f>IF(ISBLANK(C112)=FALSE,"+","")</f>
        <v/>
      </c>
      <c r="G112" s="532" t="n"/>
      <c r="H112" s="533" t="n"/>
      <c r="I112" s="533" t="n"/>
      <c r="J112" s="536" t="n"/>
      <c r="K112" s="537" t="n"/>
      <c r="L112" s="534" t="n"/>
      <c r="M112" s="534" t="n"/>
      <c r="N112" s="534" t="n"/>
      <c r="O112" s="534" t="n"/>
      <c r="P112" s="534" t="n"/>
      <c r="Q112" s="522">
        <f>IFERROR((O112-P112),"N/A")</f>
        <v/>
      </c>
      <c r="R112" s="523">
        <f>IFERROR((O112-P112)/ABS(P112),"N/A")</f>
        <v/>
      </c>
      <c r="S112" s="537" t="n"/>
      <c r="T112" s="546" t="n"/>
      <c r="U112" s="546" t="n"/>
      <c r="V112" s="522">
        <f>IFERROR((T112-U112),"N/A")</f>
        <v/>
      </c>
      <c r="W112" s="523">
        <f>IFERROR((T112-U112)/ABS(U112),"N/A")</f>
        <v/>
      </c>
      <c r="X112" s="537" t="n"/>
      <c r="Y112" s="512">
        <f>IF(ISNUMBER(SEARCH("SUMPRODUCT",_xlfn.FORMULATEXT(L112),1))=FALSE,IF(ISNUMBER(SEARCH("INDIRECT",_xlfn.FORMULATEXT(L112),1))=TRUE,1,0),2)</f>
        <v/>
      </c>
      <c r="Z112" s="525">
        <f>IFERROR(SUMPRODUCT(--(_xlfn.ISFORMULA(L112)=FALSE),--(C112&lt;&gt;"Other Projects"),--(AC112&lt;&gt;TRUE),L112),0)</f>
        <v/>
      </c>
      <c r="AA112" s="512">
        <f>IFERROR(SUMPRODUCT(--(_xlfn.ISFORMULA(L112)=FALSE),--(C112&lt;&gt;"Other Projects"),--(G112="Yes"),--(AC112&lt;&gt;TRUE),L112),0)</f>
        <v/>
      </c>
      <c r="AB112" s="512">
        <f>IF(_xlfn.ISFORMULA(L112)=TRUE,0,AB111-1)</f>
        <v/>
      </c>
      <c r="AC112" s="512" t="n"/>
    </row>
    <row r="113" outlineLevel="1" ht="63.75" customFormat="1" customHeight="1" s="266">
      <c r="A113" s="515" t="n"/>
      <c r="B113" s="526" t="inlineStr">
        <is>
          <t>Downstream</t>
        </is>
      </c>
      <c r="C113" s="530" t="inlineStr">
        <is>
          <t>[Input of the project name]</t>
        </is>
      </c>
      <c r="D113" s="531" t="inlineStr">
        <is>
          <t>[input: brief description of the project, including:</t>
        </is>
      </c>
      <c r="E113" s="518">
        <f>IF(ISBLANK(C113)=FALSE,"thsd</f>
        <v/>
      </c>
      <c r="F113" s="518">
        <f>IF(ISBLANK(C113)=FALSE,"+","")</f>
        <v/>
      </c>
      <c r="G113" s="532" t="n"/>
      <c r="H113" s="533" t="n"/>
      <c r="I113" s="533" t="n"/>
      <c r="J113" s="536" t="n"/>
      <c r="K113" s="537" t="n"/>
      <c r="L113" s="534" t="n"/>
      <c r="M113" s="534" t="n"/>
      <c r="N113" s="534" t="n"/>
      <c r="O113" s="534" t="n"/>
      <c r="P113" s="534" t="n"/>
      <c r="Q113" s="522">
        <f>IFERROR((O113-P113),"N/A")</f>
        <v/>
      </c>
      <c r="R113" s="523">
        <f>IFERROR((O113-P113)/ABS(P113),"N/A")</f>
        <v/>
      </c>
      <c r="S113" s="537" t="n"/>
      <c r="T113" s="546" t="n"/>
      <c r="U113" s="546" t="n"/>
      <c r="V113" s="522">
        <f>IFERROR((T113-U113),"N/A")</f>
        <v/>
      </c>
      <c r="W113" s="523">
        <f>IFERROR((T113-U113)/ABS(U113),"N/A")</f>
        <v/>
      </c>
      <c r="X113" s="537" t="n"/>
      <c r="Y113" s="512">
        <f>IF(ISNUMBER(SEARCH("SUMPRODUCT",_xlfn.FORMULATEXT(L113),1))=FALSE,IF(ISNUMBER(SEARCH("INDIRECT",_xlfn.FORMULATEXT(L113),1))=TRUE,1,0),2)</f>
        <v/>
      </c>
      <c r="Z113" s="525">
        <f>IFERROR(SUMPRODUCT(--(_xlfn.ISFORMULA(L113)=FALSE),--(C113&lt;&gt;"Other Projects"),--(AC113&lt;&gt;TRUE),L113),0)</f>
        <v/>
      </c>
      <c r="AA113" s="512">
        <f>IFERROR(SUMPRODUCT(--(_xlfn.ISFORMULA(L113)=FALSE),--(C113&lt;&gt;"Other Projects"),--(G113="Yes"),--(AC113&lt;&gt;TRUE),L113),0)</f>
        <v/>
      </c>
      <c r="AB113" s="512">
        <f>IF(_xlfn.ISFORMULA(L113)=TRUE,0,AB112-1)</f>
        <v/>
      </c>
      <c r="AC113" s="512" t="n"/>
    </row>
    <row r="114" outlineLevel="1" ht="63.75" customFormat="1" customHeight="1" s="266">
      <c r="A114" s="515" t="n"/>
      <c r="B114" s="526" t="inlineStr">
        <is>
          <t>Downstream</t>
        </is>
      </c>
      <c r="C114" s="530" t="inlineStr">
        <is>
          <t>[Input of the project name]</t>
        </is>
      </c>
      <c r="D114" s="531" t="inlineStr">
        <is>
          <t>[input: brief description of the project, including:</t>
        </is>
      </c>
      <c r="E114" s="518">
        <f>IF(ISBLANK(C114)=FALSE,"thsd</f>
        <v/>
      </c>
      <c r="F114" s="518">
        <f>IF(ISBLANK(C114)=FALSE,"+","")</f>
        <v/>
      </c>
      <c r="G114" s="532" t="n"/>
      <c r="H114" s="533" t="n"/>
      <c r="I114" s="533" t="n"/>
      <c r="J114" s="536" t="n"/>
      <c r="K114" s="537" t="n"/>
      <c r="L114" s="534" t="n"/>
      <c r="M114" s="534" t="n"/>
      <c r="N114" s="534" t="n"/>
      <c r="O114" s="534" t="n"/>
      <c r="P114" s="534" t="n"/>
      <c r="Q114" s="522">
        <f>IFERROR((O114-P114),"N/A")</f>
        <v/>
      </c>
      <c r="R114" s="523">
        <f>IFERROR((O114-P114)/ABS(P114),"N/A")</f>
        <v/>
      </c>
      <c r="S114" s="537" t="n"/>
      <c r="T114" s="546" t="n"/>
      <c r="U114" s="546" t="n"/>
      <c r="V114" s="522">
        <f>IFERROR((T114-U114),"N/A")</f>
        <v/>
      </c>
      <c r="W114" s="523">
        <f>IFERROR((T114-U114)/ABS(U114),"N/A")</f>
        <v/>
      </c>
      <c r="X114" s="537" t="n"/>
      <c r="Y114" s="512">
        <f>IF(ISNUMBER(SEARCH("SUMPRODUCT",_xlfn.FORMULATEXT(L114),1))=FALSE,IF(ISNUMBER(SEARCH("INDIRECT",_xlfn.FORMULATEXT(L114),1))=TRUE,1,0),2)</f>
        <v/>
      </c>
      <c r="Z114" s="525">
        <f>IFERROR(SUMPRODUCT(--(_xlfn.ISFORMULA(L114)=FALSE),--(C114&lt;&gt;"Other Projects"),--(AC114&lt;&gt;TRUE),L114),0)</f>
        <v/>
      </c>
      <c r="AA114" s="512">
        <f>IFERROR(SUMPRODUCT(--(_xlfn.ISFORMULA(L114)=FALSE),--(C114&lt;&gt;"Other Projects"),--(G114="Yes"),--(AC114&lt;&gt;TRUE),L114),0)</f>
        <v/>
      </c>
      <c r="AB114" s="512">
        <f>IF(_xlfn.ISFORMULA(L114)=TRUE,0,AB113-1)</f>
        <v/>
      </c>
      <c r="AC114" s="512" t="n"/>
    </row>
    <row r="115" outlineLevel="1" ht="63.75" customFormat="1" customHeight="1" s="266">
      <c r="A115" s="515" t="n"/>
      <c r="B115" s="526" t="inlineStr">
        <is>
          <t>Downstream</t>
        </is>
      </c>
      <c r="C115" s="530" t="inlineStr">
        <is>
          <t>[Input of the project name]</t>
        </is>
      </c>
      <c r="D115" s="531" t="inlineStr">
        <is>
          <t>[input: brief description of the project, including:</t>
        </is>
      </c>
      <c r="E115" s="518">
        <f>IF(ISBLANK(C115)=FALSE,"thsd</f>
        <v/>
      </c>
      <c r="F115" s="518">
        <f>IF(ISBLANK(C115)=FALSE,"+","")</f>
        <v/>
      </c>
      <c r="G115" s="532" t="n"/>
      <c r="H115" s="533" t="n"/>
      <c r="I115" s="533" t="n"/>
      <c r="J115" s="536" t="n"/>
      <c r="K115" s="537" t="n"/>
      <c r="L115" s="534" t="n"/>
      <c r="M115" s="534" t="n"/>
      <c r="N115" s="534" t="n"/>
      <c r="O115" s="534" t="n"/>
      <c r="P115" s="534" t="n"/>
      <c r="Q115" s="522">
        <f>IFERROR((O115-P115),"N/A")</f>
        <v/>
      </c>
      <c r="R115" s="523">
        <f>IFERROR((O115-P115)/ABS(P115),"N/A")</f>
        <v/>
      </c>
      <c r="S115" s="537" t="n"/>
      <c r="T115" s="546" t="n"/>
      <c r="U115" s="546" t="n"/>
      <c r="V115" s="522">
        <f>IFERROR((T115-U115),"N/A")</f>
        <v/>
      </c>
      <c r="W115" s="523">
        <f>IFERROR((T115-U115)/ABS(U115),"N/A")</f>
        <v/>
      </c>
      <c r="X115" s="537" t="n"/>
      <c r="Y115" s="512">
        <f>IF(ISNUMBER(SEARCH("SUMPRODUCT",_xlfn.FORMULATEXT(L115),1))=FALSE,IF(ISNUMBER(SEARCH("INDIRECT",_xlfn.FORMULATEXT(L115),1))=TRUE,1,0),2)</f>
        <v/>
      </c>
      <c r="Z115" s="525">
        <f>IFERROR(SUMPRODUCT(--(_xlfn.ISFORMULA(L115)=FALSE),--(C115&lt;&gt;"Other Projects"),--(AC115&lt;&gt;TRUE),L115),0)</f>
        <v/>
      </c>
      <c r="AA115" s="512">
        <f>IFERROR(SUMPRODUCT(--(_xlfn.ISFORMULA(L115)=FALSE),--(C115&lt;&gt;"Other Projects"),--(G115="Yes"),--(AC115&lt;&gt;TRUE),L115),0)</f>
        <v/>
      </c>
      <c r="AB115" s="512">
        <f>IF(_xlfn.ISFORMULA(L115)=TRUE,0,AB114-1)</f>
        <v/>
      </c>
      <c r="AC115" s="512" t="n"/>
    </row>
    <row r="116" outlineLevel="1" ht="63.75" customFormat="1" customHeight="1" s="266">
      <c r="A116" s="515" t="n"/>
      <c r="B116" s="526" t="inlineStr">
        <is>
          <t>Downstream</t>
        </is>
      </c>
      <c r="C116" s="530" t="inlineStr">
        <is>
          <t>[Input of the project name]</t>
        </is>
      </c>
      <c r="D116" s="531" t="inlineStr">
        <is>
          <t>[input: brief description of the project, including:</t>
        </is>
      </c>
      <c r="E116" s="518">
        <f>IF(ISBLANK(C116)=FALSE,"thsd</f>
        <v/>
      </c>
      <c r="F116" s="518">
        <f>IF(ISBLANK(C116)=FALSE,"+","")</f>
        <v/>
      </c>
      <c r="G116" s="532" t="n"/>
      <c r="H116" s="533" t="n"/>
      <c r="I116" s="533" t="n"/>
      <c r="J116" s="536" t="n"/>
      <c r="K116" s="537" t="n"/>
      <c r="L116" s="534" t="n"/>
      <c r="M116" s="534" t="n"/>
      <c r="N116" s="534" t="n"/>
      <c r="O116" s="534" t="n"/>
      <c r="P116" s="534" t="n"/>
      <c r="Q116" s="522">
        <f>IFERROR((O116-P116),"N/A")</f>
        <v/>
      </c>
      <c r="R116" s="523">
        <f>IFERROR((O116-P116)/ABS(P116),"N/A")</f>
        <v/>
      </c>
      <c r="S116" s="537" t="n"/>
      <c r="T116" s="546" t="n"/>
      <c r="U116" s="546" t="n"/>
      <c r="V116" s="522">
        <f>IFERROR((T116-U116),"N/A")</f>
        <v/>
      </c>
      <c r="W116" s="523">
        <f>IFERROR((T116-U116)/ABS(U116),"N/A")</f>
        <v/>
      </c>
      <c r="X116" s="537" t="n"/>
      <c r="Y116" s="512">
        <f>IF(ISNUMBER(SEARCH("SUMPRODUCT",_xlfn.FORMULATEXT(L116),1))=FALSE,IF(ISNUMBER(SEARCH("INDIRECT",_xlfn.FORMULATEXT(L116),1))=TRUE,1,0),2)</f>
        <v/>
      </c>
      <c r="Z116" s="525">
        <f>IFERROR(SUMPRODUCT(--(_xlfn.ISFORMULA(L116)=FALSE),--(C116&lt;&gt;"Other Projects"),--(AC116&lt;&gt;TRUE),L116),0)</f>
        <v/>
      </c>
      <c r="AA116" s="512">
        <f>IFERROR(SUMPRODUCT(--(_xlfn.ISFORMULA(L116)=FALSE),--(C116&lt;&gt;"Other Projects"),--(G116="Yes"),--(AC116&lt;&gt;TRUE),L116),0)</f>
        <v/>
      </c>
      <c r="AB116" s="512">
        <f>IF(_xlfn.ISFORMULA(L116)=TRUE,0,AB115-1)</f>
        <v/>
      </c>
      <c r="AC116" s="512" t="n"/>
    </row>
    <row r="117" outlineLevel="1" ht="63.75" customFormat="1" customHeight="1" s="266">
      <c r="A117" s="515" t="n"/>
      <c r="B117" s="526" t="inlineStr">
        <is>
          <t>Downstream</t>
        </is>
      </c>
      <c r="C117" s="530" t="inlineStr">
        <is>
          <t>[Input of the project name]</t>
        </is>
      </c>
      <c r="D117" s="531" t="inlineStr">
        <is>
          <t>[input: brief description of the project, including:</t>
        </is>
      </c>
      <c r="E117" s="518">
        <f>IF(ISBLANK(C117)=FALSE,"thsd</f>
        <v/>
      </c>
      <c r="F117" s="518">
        <f>IF(ISBLANK(C117)=FALSE,"+","")</f>
        <v/>
      </c>
      <c r="G117" s="532" t="n"/>
      <c r="H117" s="533" t="n"/>
      <c r="I117" s="533" t="n"/>
      <c r="J117" s="536" t="n"/>
      <c r="K117" s="537" t="n"/>
      <c r="L117" s="534" t="n"/>
      <c r="M117" s="534" t="n"/>
      <c r="N117" s="534" t="n"/>
      <c r="O117" s="534" t="n"/>
      <c r="P117" s="534" t="n"/>
      <c r="Q117" s="522">
        <f>IFERROR((O117-P117),"N/A")</f>
        <v/>
      </c>
      <c r="R117" s="523">
        <f>IFERROR((O117-P117)/ABS(P117),"N/A")</f>
        <v/>
      </c>
      <c r="S117" s="537" t="n"/>
      <c r="T117" s="546" t="n"/>
      <c r="U117" s="546" t="n"/>
      <c r="V117" s="522">
        <f>IFERROR((T117-U117),"N/A")</f>
        <v/>
      </c>
      <c r="W117" s="523">
        <f>IFERROR((T117-U117)/ABS(U117),"N/A")</f>
        <v/>
      </c>
      <c r="X117" s="537" t="n"/>
      <c r="Y117" s="512">
        <f>IF(ISNUMBER(SEARCH("SUMPRODUCT",_xlfn.FORMULATEXT(L117),1))=FALSE,IF(ISNUMBER(SEARCH("INDIRECT",_xlfn.FORMULATEXT(L117),1))=TRUE,1,0),2)</f>
        <v/>
      </c>
      <c r="Z117" s="525">
        <f>IFERROR(SUMPRODUCT(--(_xlfn.ISFORMULA(L117)=FALSE),--(C117&lt;&gt;"Other Projects"),--(AC117&lt;&gt;TRUE),L117),0)</f>
        <v/>
      </c>
      <c r="AA117" s="512">
        <f>IFERROR(SUMPRODUCT(--(_xlfn.ISFORMULA(L117)=FALSE),--(C117&lt;&gt;"Other Projects"),--(G117="Yes"),--(AC117&lt;&gt;TRUE),L117),0)</f>
        <v/>
      </c>
      <c r="AB117" s="512">
        <f>IF(_xlfn.ISFORMULA(L117)=TRUE,0,AB116-1)</f>
        <v/>
      </c>
      <c r="AC117" s="512" t="n"/>
    </row>
    <row r="118" outlineLevel="1" ht="63.75" customFormat="1" customHeight="1" s="266">
      <c r="A118" s="515" t="n"/>
      <c r="B118" s="526" t="inlineStr">
        <is>
          <t>Downstream</t>
        </is>
      </c>
      <c r="C118" s="530" t="inlineStr">
        <is>
          <t>[Input of the project name]</t>
        </is>
      </c>
      <c r="D118" s="531" t="inlineStr">
        <is>
          <t>[input: brief description of the project, including:</t>
        </is>
      </c>
      <c r="E118" s="518">
        <f>IF(ISBLANK(C118)=FALSE,"thsd</f>
        <v/>
      </c>
      <c r="F118" s="518">
        <f>IF(ISBLANK(C118)=FALSE,"+","")</f>
        <v/>
      </c>
      <c r="G118" s="532" t="n"/>
      <c r="H118" s="533" t="n"/>
      <c r="I118" s="533" t="n"/>
      <c r="J118" s="536" t="n"/>
      <c r="K118" s="537" t="n"/>
      <c r="L118" s="534" t="n"/>
      <c r="M118" s="534" t="n"/>
      <c r="N118" s="534" t="n"/>
      <c r="O118" s="534" t="n"/>
      <c r="P118" s="534" t="n"/>
      <c r="Q118" s="522">
        <f>IFERROR((O118-P118),"N/A")</f>
        <v/>
      </c>
      <c r="R118" s="523">
        <f>IFERROR((O118-P118)/ABS(P118),"N/A")</f>
        <v/>
      </c>
      <c r="S118" s="537" t="n"/>
      <c r="T118" s="546" t="n"/>
      <c r="U118" s="546" t="n"/>
      <c r="V118" s="522">
        <f>IFERROR((T118-U118),"N/A")</f>
        <v/>
      </c>
      <c r="W118" s="523">
        <f>IFERROR((T118-U118)/ABS(U118),"N/A")</f>
        <v/>
      </c>
      <c r="X118" s="537" t="n"/>
      <c r="Y118" s="512">
        <f>IF(ISNUMBER(SEARCH("SUMPRODUCT",_xlfn.FORMULATEXT(L118),1))=FALSE,IF(ISNUMBER(SEARCH("INDIRECT",_xlfn.FORMULATEXT(L118),1))=TRUE,1,0),2)</f>
        <v/>
      </c>
      <c r="Z118" s="525">
        <f>IFERROR(SUMPRODUCT(--(_xlfn.ISFORMULA(L118)=FALSE),--(C118&lt;&gt;"Other Projects"),--(AC118&lt;&gt;TRUE),L118),0)</f>
        <v/>
      </c>
      <c r="AA118" s="512">
        <f>IFERROR(SUMPRODUCT(--(_xlfn.ISFORMULA(L118)=FALSE),--(C118&lt;&gt;"Other Projects"),--(G118="Yes"),--(AC118&lt;&gt;TRUE),L118),0)</f>
        <v/>
      </c>
      <c r="AB118" s="512">
        <f>IF(_xlfn.ISFORMULA(L118)=TRUE,0,AB117-1)</f>
        <v/>
      </c>
      <c r="AC118" s="512" t="n"/>
    </row>
    <row r="119" outlineLevel="1" ht="63.75" customFormat="1" customHeight="1" s="266">
      <c r="A119" s="515" t="n"/>
      <c r="B119" s="526" t="inlineStr">
        <is>
          <t>Downstream</t>
        </is>
      </c>
      <c r="C119" s="530" t="inlineStr">
        <is>
          <t>[Input of the project name]</t>
        </is>
      </c>
      <c r="D119" s="531" t="inlineStr">
        <is>
          <t>[input: brief description of the project, including:</t>
        </is>
      </c>
      <c r="E119" s="518">
        <f>IF(ISBLANK(C119)=FALSE,"thsd</f>
        <v/>
      </c>
      <c r="F119" s="518">
        <f>IF(ISBLANK(C119)=FALSE,"+","")</f>
        <v/>
      </c>
      <c r="G119" s="532" t="n"/>
      <c r="H119" s="533" t="n"/>
      <c r="I119" s="533" t="n"/>
      <c r="J119" s="536" t="n"/>
      <c r="K119" s="537" t="n"/>
      <c r="L119" s="534" t="n"/>
      <c r="M119" s="534" t="n"/>
      <c r="N119" s="534" t="n"/>
      <c r="O119" s="534" t="n"/>
      <c r="P119" s="534" t="n"/>
      <c r="Q119" s="522">
        <f>IFERROR((O119-P119),"N/A")</f>
        <v/>
      </c>
      <c r="R119" s="523">
        <f>IFERROR((O119-P119)/ABS(P119),"N/A")</f>
        <v/>
      </c>
      <c r="S119" s="537" t="n"/>
      <c r="T119" s="546" t="n"/>
      <c r="U119" s="546" t="n"/>
      <c r="V119" s="522">
        <f>IFERROR((T119-U119),"N/A")</f>
        <v/>
      </c>
      <c r="W119" s="523">
        <f>IFERROR((T119-U119)/ABS(U119),"N/A")</f>
        <v/>
      </c>
      <c r="X119" s="537" t="n"/>
      <c r="Y119" s="512">
        <f>IF(ISNUMBER(SEARCH("SUMPRODUCT",_xlfn.FORMULATEXT(L119),1))=FALSE,IF(ISNUMBER(SEARCH("INDIRECT",_xlfn.FORMULATEXT(L119),1))=TRUE,1,0),2)</f>
        <v/>
      </c>
      <c r="Z119" s="525">
        <f>IFERROR(SUMPRODUCT(--(_xlfn.ISFORMULA(L119)=FALSE),--(C119&lt;&gt;"Other Projects"),--(AC119&lt;&gt;TRUE),L119),0)</f>
        <v/>
      </c>
      <c r="AA119" s="512">
        <f>IFERROR(SUMPRODUCT(--(_xlfn.ISFORMULA(L119)=FALSE),--(C119&lt;&gt;"Other Projects"),--(G119="Yes"),--(AC119&lt;&gt;TRUE),L119),0)</f>
        <v/>
      </c>
      <c r="AB119" s="512">
        <f>IF(_xlfn.ISFORMULA(L119)=TRUE,0,AB118-1)</f>
        <v/>
      </c>
      <c r="AC119" s="512" t="n"/>
    </row>
    <row r="120" outlineLevel="1" ht="63.75" customFormat="1" customHeight="1" s="266">
      <c r="A120" s="515" t="n"/>
      <c r="B120" s="526" t="inlineStr">
        <is>
          <t>Downstream</t>
        </is>
      </c>
      <c r="C120" s="530" t="inlineStr">
        <is>
          <t>[Input of the project name]</t>
        </is>
      </c>
      <c r="D120" s="531" t="inlineStr">
        <is>
          <t>[input: brief description of the project, including:</t>
        </is>
      </c>
      <c r="E120" s="518">
        <f>IF(ISBLANK(C120)=FALSE,"thsd</f>
        <v/>
      </c>
      <c r="F120" s="518">
        <f>IF(ISBLANK(C120)=FALSE,"+","")</f>
        <v/>
      </c>
      <c r="G120" s="532" t="n"/>
      <c r="H120" s="533" t="n"/>
      <c r="I120" s="533" t="n"/>
      <c r="J120" s="536" t="n"/>
      <c r="K120" s="537" t="n"/>
      <c r="L120" s="534" t="n"/>
      <c r="M120" s="534" t="n"/>
      <c r="N120" s="534" t="n"/>
      <c r="O120" s="534" t="n"/>
      <c r="P120" s="534" t="n"/>
      <c r="Q120" s="522">
        <f>IFERROR((O120-P120),"N/A")</f>
        <v/>
      </c>
      <c r="R120" s="523">
        <f>IFERROR((O120-P120)/ABS(P120),"N/A")</f>
        <v/>
      </c>
      <c r="S120" s="537" t="n"/>
      <c r="T120" s="546" t="n"/>
      <c r="U120" s="546" t="n"/>
      <c r="V120" s="522">
        <f>IFERROR((T120-U120),"N/A")</f>
        <v/>
      </c>
      <c r="W120" s="523">
        <f>IFERROR((T120-U120)/ABS(U120),"N/A")</f>
        <v/>
      </c>
      <c r="X120" s="537" t="n"/>
      <c r="Y120" s="512">
        <f>IF(ISNUMBER(SEARCH("SUMPRODUCT",_xlfn.FORMULATEXT(L120),1))=FALSE,IF(ISNUMBER(SEARCH("INDIRECT",_xlfn.FORMULATEXT(L120),1))=TRUE,1,0),2)</f>
        <v/>
      </c>
      <c r="Z120" s="525">
        <f>IFERROR(SUMPRODUCT(--(_xlfn.ISFORMULA(L120)=FALSE),--(C120&lt;&gt;"Other Projects"),--(AC120&lt;&gt;TRUE),L120),0)</f>
        <v/>
      </c>
      <c r="AA120" s="512">
        <f>IFERROR(SUMPRODUCT(--(_xlfn.ISFORMULA(L120)=FALSE),--(C120&lt;&gt;"Other Projects"),--(G120="Yes"),--(AC120&lt;&gt;TRUE),L120),0)</f>
        <v/>
      </c>
      <c r="AB120" s="512">
        <f>IF(_xlfn.ISFORMULA(L120)=TRUE,0,AB119-1)</f>
        <v/>
      </c>
      <c r="AC120" s="512" t="n"/>
    </row>
    <row r="121" outlineLevel="1" ht="63.75" customFormat="1" customHeight="1" s="266">
      <c r="A121" s="515" t="n"/>
      <c r="B121" s="526" t="inlineStr">
        <is>
          <t>Downstream</t>
        </is>
      </c>
      <c r="C121" s="530" t="inlineStr">
        <is>
          <t>[Input of the project name]</t>
        </is>
      </c>
      <c r="D121" s="531" t="inlineStr">
        <is>
          <t>[input: brief description of the project, including:</t>
        </is>
      </c>
      <c r="E121" s="518">
        <f>IF(ISBLANK(C121)=FALSE,"thsd</f>
        <v/>
      </c>
      <c r="F121" s="518">
        <f>IF(ISBLANK(C121)=FALSE,"+","")</f>
        <v/>
      </c>
      <c r="G121" s="532" t="n"/>
      <c r="H121" s="533" t="n"/>
      <c r="I121" s="533" t="n"/>
      <c r="J121" s="536" t="n"/>
      <c r="K121" s="537" t="n"/>
      <c r="L121" s="534" t="n"/>
      <c r="M121" s="534" t="n"/>
      <c r="N121" s="534" t="n"/>
      <c r="O121" s="534" t="n"/>
      <c r="P121" s="534" t="n"/>
      <c r="Q121" s="522">
        <f>IFERROR((O121-P121),"N/A")</f>
        <v/>
      </c>
      <c r="R121" s="523">
        <f>IFERROR((O121-P121)/ABS(P121),"N/A")</f>
        <v/>
      </c>
      <c r="S121" s="537" t="n"/>
      <c r="T121" s="546" t="n"/>
      <c r="U121" s="546" t="n"/>
      <c r="V121" s="522">
        <f>IFERROR((T121-U121),"N/A")</f>
        <v/>
      </c>
      <c r="W121" s="523">
        <f>IFERROR((T121-U121)/ABS(U121),"N/A")</f>
        <v/>
      </c>
      <c r="X121" s="537" t="n"/>
      <c r="Y121" s="512">
        <f>IF(ISNUMBER(SEARCH("SUMPRODUCT",_xlfn.FORMULATEXT(L121),1))=FALSE,IF(ISNUMBER(SEARCH("INDIRECT",_xlfn.FORMULATEXT(L121),1))=TRUE,1,0),2)</f>
        <v/>
      </c>
      <c r="Z121" s="525">
        <f>IFERROR(SUMPRODUCT(--(_xlfn.ISFORMULA(L121)=FALSE),--(C121&lt;&gt;"Other Projects"),--(AC121&lt;&gt;TRUE),L121),0)</f>
        <v/>
      </c>
      <c r="AA121" s="512">
        <f>IFERROR(SUMPRODUCT(--(_xlfn.ISFORMULA(L121)=FALSE),--(C121&lt;&gt;"Other Projects"),--(G121="Yes"),--(AC121&lt;&gt;TRUE),L121),0)</f>
        <v/>
      </c>
      <c r="AB121" s="512">
        <f>IF(_xlfn.ISFORMULA(L121)=TRUE,0,AB120-1)</f>
        <v/>
      </c>
      <c r="AC121" s="512" t="n"/>
    </row>
    <row r="122" outlineLevel="1" ht="63.75" customFormat="1" customHeight="1" s="266">
      <c r="A122" s="515" t="n"/>
      <c r="B122" s="526" t="inlineStr">
        <is>
          <t>Downstream</t>
        </is>
      </c>
      <c r="C122" s="530" t="inlineStr">
        <is>
          <t>[Input of the project name]</t>
        </is>
      </c>
      <c r="D122" s="531" t="inlineStr">
        <is>
          <t>[input: brief description of the project, including:</t>
        </is>
      </c>
      <c r="E122" s="518">
        <f>IF(ISBLANK(C122)=FALSE,"thsd</f>
        <v/>
      </c>
      <c r="F122" s="518">
        <f>IF(ISBLANK(C122)=FALSE,"+","")</f>
        <v/>
      </c>
      <c r="G122" s="532" t="n"/>
      <c r="H122" s="533" t="n"/>
      <c r="I122" s="533" t="n"/>
      <c r="J122" s="536" t="n"/>
      <c r="K122" s="537" t="n"/>
      <c r="L122" s="534" t="n"/>
      <c r="M122" s="534" t="n"/>
      <c r="N122" s="534" t="n"/>
      <c r="O122" s="534" t="n"/>
      <c r="P122" s="534" t="n"/>
      <c r="Q122" s="522">
        <f>IFERROR((O122-P122),"N/A")</f>
        <v/>
      </c>
      <c r="R122" s="523">
        <f>IFERROR((O122-P122)/ABS(P122),"N/A")</f>
        <v/>
      </c>
      <c r="S122" s="537" t="n"/>
      <c r="T122" s="546" t="n"/>
      <c r="U122" s="546" t="n"/>
      <c r="V122" s="522">
        <f>IFERROR((T122-U122),"N/A")</f>
        <v/>
      </c>
      <c r="W122" s="523">
        <f>IFERROR((T122-U122)/ABS(U122),"N/A")</f>
        <v/>
      </c>
      <c r="X122" s="537" t="n"/>
      <c r="Y122" s="512">
        <f>IF(ISNUMBER(SEARCH("SUMPRODUCT",_xlfn.FORMULATEXT(L122),1))=FALSE,IF(ISNUMBER(SEARCH("INDIRECT",_xlfn.FORMULATEXT(L122),1))=TRUE,1,0),2)</f>
        <v/>
      </c>
      <c r="Z122" s="525">
        <f>IFERROR(SUMPRODUCT(--(_xlfn.ISFORMULA(L122)=FALSE),--(C122&lt;&gt;"Other Projects"),--(AC122&lt;&gt;TRUE),L122),0)</f>
        <v/>
      </c>
      <c r="AA122" s="512">
        <f>IFERROR(SUMPRODUCT(--(_xlfn.ISFORMULA(L122)=FALSE),--(C122&lt;&gt;"Other Projects"),--(G122="Yes"),--(AC122&lt;&gt;TRUE),L122),0)</f>
        <v/>
      </c>
      <c r="AB122" s="512">
        <f>IF(_xlfn.ISFORMULA(L122)=TRUE,0,AB121-1)</f>
        <v/>
      </c>
      <c r="AC122" s="512" t="n"/>
    </row>
    <row r="123" outlineLevel="1" ht="63.75" customFormat="1" customHeight="1" s="266">
      <c r="A123" s="515" t="n"/>
      <c r="B123" s="526" t="inlineStr">
        <is>
          <t>Downstream</t>
        </is>
      </c>
      <c r="C123" s="530" t="inlineStr">
        <is>
          <t>[Input of the project name]</t>
        </is>
      </c>
      <c r="D123" s="531" t="inlineStr">
        <is>
          <t>[input: brief description of the project, including:</t>
        </is>
      </c>
      <c r="E123" s="518">
        <f>IF(ISBLANK(C123)=FALSE,"thsd</f>
        <v/>
      </c>
      <c r="F123" s="518">
        <f>IF(ISBLANK(C123)=FALSE,"+","")</f>
        <v/>
      </c>
      <c r="G123" s="532" t="n"/>
      <c r="H123" s="533" t="n"/>
      <c r="I123" s="533" t="n"/>
      <c r="J123" s="536" t="n"/>
      <c r="K123" s="537" t="n"/>
      <c r="L123" s="534" t="n"/>
      <c r="M123" s="534" t="n"/>
      <c r="N123" s="534" t="n"/>
      <c r="O123" s="534" t="n"/>
      <c r="P123" s="534" t="n"/>
      <c r="Q123" s="522">
        <f>IFERROR((O123-P123),"N/A")</f>
        <v/>
      </c>
      <c r="R123" s="523">
        <f>IFERROR((O123-P123)/ABS(P123),"N/A")</f>
        <v/>
      </c>
      <c r="S123" s="537" t="n"/>
      <c r="T123" s="546" t="n"/>
      <c r="U123" s="546" t="n"/>
      <c r="V123" s="522">
        <f>IFERROR((T123-U123),"N/A")</f>
        <v/>
      </c>
      <c r="W123" s="523">
        <f>IFERROR((T123-U123)/ABS(U123),"N/A")</f>
        <v/>
      </c>
      <c r="X123" s="537" t="n"/>
      <c r="Y123" s="512">
        <f>IF(ISNUMBER(SEARCH("SUMPRODUCT",_xlfn.FORMULATEXT(L123),1))=FALSE,IF(ISNUMBER(SEARCH("INDIRECT",_xlfn.FORMULATEXT(L123),1))=TRUE,1,0),2)</f>
        <v/>
      </c>
      <c r="Z123" s="525">
        <f>IFERROR(SUMPRODUCT(--(_xlfn.ISFORMULA(L123)=FALSE),--(C123&lt;&gt;"Other Projects"),--(AC123&lt;&gt;TRUE),L123),0)</f>
        <v/>
      </c>
      <c r="AA123" s="512">
        <f>IFERROR(SUMPRODUCT(--(_xlfn.ISFORMULA(L123)=FALSE),--(C123&lt;&gt;"Other Projects"),--(G123="Yes"),--(AC123&lt;&gt;TRUE),L123),0)</f>
        <v/>
      </c>
      <c r="AB123" s="512">
        <f>IF(_xlfn.ISFORMULA(L123)=TRUE,0,AB122-1)</f>
        <v/>
      </c>
      <c r="AC123" s="512" t="n"/>
    </row>
    <row r="124" outlineLevel="1" ht="63.75" customFormat="1" customHeight="1" s="266">
      <c r="A124" s="515" t="n"/>
      <c r="B124" s="526" t="inlineStr">
        <is>
          <t>Downstream</t>
        </is>
      </c>
      <c r="C124" s="530" t="inlineStr">
        <is>
          <t>[Input of the project name]</t>
        </is>
      </c>
      <c r="D124" s="531" t="inlineStr">
        <is>
          <t>[input: brief description of the project, including:</t>
        </is>
      </c>
      <c r="E124" s="518">
        <f>IF(ISBLANK(C124)=FALSE,"thsd</f>
        <v/>
      </c>
      <c r="F124" s="518">
        <f>IF(ISBLANK(C124)=FALSE,"+","")</f>
        <v/>
      </c>
      <c r="G124" s="532" t="n"/>
      <c r="H124" s="533" t="n"/>
      <c r="I124" s="533" t="n"/>
      <c r="J124" s="536" t="n"/>
      <c r="K124" s="537" t="n"/>
      <c r="L124" s="534" t="n"/>
      <c r="M124" s="534" t="n"/>
      <c r="N124" s="534" t="n"/>
      <c r="O124" s="534" t="n"/>
      <c r="P124" s="534" t="n"/>
      <c r="Q124" s="522">
        <f>IFERROR((O124-P124),"N/A")</f>
        <v/>
      </c>
      <c r="R124" s="523">
        <f>IFERROR((O124-P124)/ABS(P124),"N/A")</f>
        <v/>
      </c>
      <c r="S124" s="537" t="n"/>
      <c r="T124" s="546" t="n"/>
      <c r="U124" s="546" t="n"/>
      <c r="V124" s="522">
        <f>IFERROR((T124-U124),"N/A")</f>
        <v/>
      </c>
      <c r="W124" s="523">
        <f>IFERROR((T124-U124)/ABS(U124),"N/A")</f>
        <v/>
      </c>
      <c r="X124" s="537" t="n"/>
      <c r="Y124" s="512">
        <f>IF(ISNUMBER(SEARCH("SUMPRODUCT",_xlfn.FORMULATEXT(L124),1))=FALSE,IF(ISNUMBER(SEARCH("INDIRECT",_xlfn.FORMULATEXT(L124),1))=TRUE,1,0),2)</f>
        <v/>
      </c>
      <c r="Z124" s="525">
        <f>IFERROR(SUMPRODUCT(--(_xlfn.ISFORMULA(L124)=FALSE),--(C124&lt;&gt;"Other Projects"),--(AC124&lt;&gt;TRUE),L124),0)</f>
        <v/>
      </c>
      <c r="AA124" s="512">
        <f>IFERROR(SUMPRODUCT(--(_xlfn.ISFORMULA(L124)=FALSE),--(C124&lt;&gt;"Other Projects"),--(G124="Yes"),--(AC124&lt;&gt;TRUE),L124),0)</f>
        <v/>
      </c>
      <c r="AB124" s="512">
        <f>IF(_xlfn.ISFORMULA(L124)=TRUE,0,AB123-1)</f>
        <v/>
      </c>
      <c r="AC124" s="512" t="n"/>
    </row>
    <row r="125" outlineLevel="1" ht="63.75" customFormat="1" customHeight="1" s="266">
      <c r="A125" s="515" t="n"/>
      <c r="B125" s="526" t="inlineStr">
        <is>
          <t>Downstream</t>
        </is>
      </c>
      <c r="C125" s="530" t="inlineStr">
        <is>
          <t>[Input of the project name]</t>
        </is>
      </c>
      <c r="D125" s="531" t="inlineStr">
        <is>
          <t>[input: brief description of the project, including:</t>
        </is>
      </c>
      <c r="E125" s="518">
        <f>IF(ISBLANK(C125)=FALSE,"thsd</f>
        <v/>
      </c>
      <c r="F125" s="518">
        <f>IF(ISBLANK(C125)=FALSE,"+","")</f>
        <v/>
      </c>
      <c r="G125" s="532" t="n"/>
      <c r="H125" s="533" t="n"/>
      <c r="I125" s="533" t="n"/>
      <c r="J125" s="536" t="n"/>
      <c r="K125" s="537" t="n"/>
      <c r="L125" s="534" t="n"/>
      <c r="M125" s="534" t="n"/>
      <c r="N125" s="534" t="n"/>
      <c r="O125" s="534" t="n"/>
      <c r="P125" s="534" t="n"/>
      <c r="Q125" s="522">
        <f>IFERROR((O125-P125),"N/A")</f>
        <v/>
      </c>
      <c r="R125" s="523">
        <f>IFERROR((O125-P125)/ABS(P125),"N/A")</f>
        <v/>
      </c>
      <c r="S125" s="537" t="n"/>
      <c r="T125" s="546" t="n"/>
      <c r="U125" s="546" t="n"/>
      <c r="V125" s="522">
        <f>IFERROR((T125-U125),"N/A")</f>
        <v/>
      </c>
      <c r="W125" s="523">
        <f>IFERROR((T125-U125)/ABS(U125),"N/A")</f>
        <v/>
      </c>
      <c r="X125" s="537" t="n"/>
      <c r="Y125" s="512">
        <f>IF(ISNUMBER(SEARCH("SUMPRODUCT",_xlfn.FORMULATEXT(L125),1))=FALSE,IF(ISNUMBER(SEARCH("INDIRECT",_xlfn.FORMULATEXT(L125),1))=TRUE,1,0),2)</f>
        <v/>
      </c>
      <c r="Z125" s="525">
        <f>IFERROR(SUMPRODUCT(--(_xlfn.ISFORMULA(L125)=FALSE),--(C125&lt;&gt;"Other Projects"),--(AC125&lt;&gt;TRUE),L125),0)</f>
        <v/>
      </c>
      <c r="AA125" s="512">
        <f>IFERROR(SUMPRODUCT(--(_xlfn.ISFORMULA(L125)=FALSE),--(C125&lt;&gt;"Other Projects"),--(G125="Yes"),--(AC125&lt;&gt;TRUE),L125),0)</f>
        <v/>
      </c>
      <c r="AB125" s="512">
        <f>IF(_xlfn.ISFORMULA(L125)=TRUE,0,AB124-1)</f>
        <v/>
      </c>
      <c r="AC125" s="512" t="n"/>
    </row>
    <row r="126" outlineLevel="1" ht="63.75" customFormat="1" customHeight="1" s="266">
      <c r="A126" s="515" t="n"/>
      <c r="B126" s="526" t="inlineStr">
        <is>
          <t>Downstream</t>
        </is>
      </c>
      <c r="C126" s="530" t="inlineStr">
        <is>
          <t>[Input of the project name]</t>
        </is>
      </c>
      <c r="D126" s="531" t="inlineStr">
        <is>
          <t>[input: brief description of the project, including:</t>
        </is>
      </c>
      <c r="E126" s="518">
        <f>IF(ISBLANK(C126)=FALSE,"thsd</f>
        <v/>
      </c>
      <c r="F126" s="518">
        <f>IF(ISBLANK(C126)=FALSE,"+","")</f>
        <v/>
      </c>
      <c r="G126" s="532" t="n"/>
      <c r="H126" s="533" t="n"/>
      <c r="I126" s="533" t="n"/>
      <c r="J126" s="536" t="n"/>
      <c r="K126" s="537" t="n"/>
      <c r="L126" s="534" t="n"/>
      <c r="M126" s="534" t="n"/>
      <c r="N126" s="534" t="n"/>
      <c r="O126" s="534" t="n"/>
      <c r="P126" s="534" t="n"/>
      <c r="Q126" s="522">
        <f>IFERROR((O126-P126),"N/A")</f>
        <v/>
      </c>
      <c r="R126" s="523">
        <f>IFERROR((O126-P126)/ABS(P126),"N/A")</f>
        <v/>
      </c>
      <c r="S126" s="537" t="n"/>
      <c r="T126" s="546" t="n"/>
      <c r="U126" s="546" t="n"/>
      <c r="V126" s="522">
        <f>IFERROR((T126-U126),"N/A")</f>
        <v/>
      </c>
      <c r="W126" s="523">
        <f>IFERROR((T126-U126)/ABS(U126),"N/A")</f>
        <v/>
      </c>
      <c r="X126" s="537" t="n"/>
      <c r="Y126" s="512">
        <f>IF(ISNUMBER(SEARCH("SUMPRODUCT",_xlfn.FORMULATEXT(L126),1))=FALSE,IF(ISNUMBER(SEARCH("INDIRECT",_xlfn.FORMULATEXT(L126),1))=TRUE,1,0),2)</f>
        <v/>
      </c>
      <c r="Z126" s="525">
        <f>IFERROR(SUMPRODUCT(--(_xlfn.ISFORMULA(L126)=FALSE),--(C126&lt;&gt;"Other Projects"),--(AC126&lt;&gt;TRUE),L126),0)</f>
        <v/>
      </c>
      <c r="AA126" s="512">
        <f>IFERROR(SUMPRODUCT(--(_xlfn.ISFORMULA(L126)=FALSE),--(C126&lt;&gt;"Other Projects"),--(G126="Yes"),--(AC126&lt;&gt;TRUE),L126),0)</f>
        <v/>
      </c>
      <c r="AB126" s="512">
        <f>IF(_xlfn.ISFORMULA(L126)=TRUE,0,AB125-1)</f>
        <v/>
      </c>
      <c r="AC126" s="512" t="n"/>
    </row>
    <row r="127" outlineLevel="1" ht="63.75" customFormat="1" customHeight="1" s="266">
      <c r="A127" s="515" t="n"/>
      <c r="B127" s="526" t="inlineStr">
        <is>
          <t>Downstream</t>
        </is>
      </c>
      <c r="C127" s="530" t="inlineStr">
        <is>
          <t>[Input of the project name]</t>
        </is>
      </c>
      <c r="D127" s="531" t="inlineStr">
        <is>
          <t>[input: brief description of the project, including:</t>
        </is>
      </c>
      <c r="E127" s="518">
        <f>IF(ISBLANK(C127)=FALSE,"thsd</f>
        <v/>
      </c>
      <c r="F127" s="518">
        <f>IF(ISBLANK(C127)=FALSE,"+","")</f>
        <v/>
      </c>
      <c r="G127" s="532" t="n"/>
      <c r="H127" s="533" t="n"/>
      <c r="I127" s="533" t="n"/>
      <c r="J127" s="536" t="n"/>
      <c r="K127" s="537" t="n"/>
      <c r="L127" s="534" t="n"/>
      <c r="M127" s="534" t="n"/>
      <c r="N127" s="534" t="n"/>
      <c r="O127" s="534" t="n"/>
      <c r="P127" s="534" t="n"/>
      <c r="Q127" s="522">
        <f>IFERROR((O127-P127),"N/A")</f>
        <v/>
      </c>
      <c r="R127" s="523">
        <f>IFERROR((O127-P127)/ABS(P127),"N/A")</f>
        <v/>
      </c>
      <c r="S127" s="537" t="n"/>
      <c r="T127" s="546" t="n"/>
      <c r="U127" s="546" t="n"/>
      <c r="V127" s="522">
        <f>IFERROR((T127-U127),"N/A")</f>
        <v/>
      </c>
      <c r="W127" s="523">
        <f>IFERROR((T127-U127)/ABS(U127),"N/A")</f>
        <v/>
      </c>
      <c r="X127" s="537" t="n"/>
      <c r="Y127" s="512">
        <f>IF(ISNUMBER(SEARCH("SUMPRODUCT",_xlfn.FORMULATEXT(L127),1))=FALSE,IF(ISNUMBER(SEARCH("INDIRECT",_xlfn.FORMULATEXT(L127),1))=TRUE,1,0),2)</f>
        <v/>
      </c>
      <c r="Z127" s="525">
        <f>IFERROR(SUMPRODUCT(--(_xlfn.ISFORMULA(L127)=FALSE),--(C127&lt;&gt;"Other Projects"),--(AC127&lt;&gt;TRUE),L127),0)</f>
        <v/>
      </c>
      <c r="AA127" s="512">
        <f>IFERROR(SUMPRODUCT(--(_xlfn.ISFORMULA(L127)=FALSE),--(C127&lt;&gt;"Other Projects"),--(G127="Yes"),--(AC127&lt;&gt;TRUE),L127),0)</f>
        <v/>
      </c>
      <c r="AB127" s="512">
        <f>IF(_xlfn.ISFORMULA(L127)=TRUE,0,AB126-1)</f>
        <v/>
      </c>
      <c r="AC127" s="512" t="n"/>
    </row>
    <row r="128" outlineLevel="1" ht="63.75" customFormat="1" customHeight="1" s="266">
      <c r="A128" s="515" t="n"/>
      <c r="B128" s="526" t="inlineStr">
        <is>
          <t>Downstream</t>
        </is>
      </c>
      <c r="C128" s="530" t="inlineStr">
        <is>
          <t>[Input of the project name]</t>
        </is>
      </c>
      <c r="D128" s="531" t="inlineStr">
        <is>
          <t>[input: brief description of the project, including:</t>
        </is>
      </c>
      <c r="E128" s="518">
        <f>IF(ISBLANK(C128)=FALSE,"thsd</f>
        <v/>
      </c>
      <c r="F128" s="518">
        <f>IF(ISBLANK(C128)=FALSE,"+","")</f>
        <v/>
      </c>
      <c r="G128" s="532" t="n"/>
      <c r="H128" s="533" t="n"/>
      <c r="I128" s="533" t="n"/>
      <c r="J128" s="536" t="n"/>
      <c r="K128" s="537" t="n"/>
      <c r="L128" s="534" t="n"/>
      <c r="M128" s="534" t="n"/>
      <c r="N128" s="534" t="n"/>
      <c r="O128" s="534" t="n"/>
      <c r="P128" s="534" t="n"/>
      <c r="Q128" s="522">
        <f>IFERROR((O128-P128),"N/A")</f>
        <v/>
      </c>
      <c r="R128" s="523">
        <f>IFERROR((O128-P128)/ABS(P128),"N/A")</f>
        <v/>
      </c>
      <c r="S128" s="537" t="n"/>
      <c r="T128" s="546" t="n"/>
      <c r="U128" s="546" t="n"/>
      <c r="V128" s="522">
        <f>IFERROR((T128-U128),"N/A")</f>
        <v/>
      </c>
      <c r="W128" s="523">
        <f>IFERROR((T128-U128)/ABS(U128),"N/A")</f>
        <v/>
      </c>
      <c r="X128" s="537" t="n"/>
      <c r="Y128" s="512">
        <f>IF(ISNUMBER(SEARCH("SUMPRODUCT",_xlfn.FORMULATEXT(L128),1))=FALSE,IF(ISNUMBER(SEARCH("INDIRECT",_xlfn.FORMULATEXT(L128),1))=TRUE,1,0),2)</f>
        <v/>
      </c>
      <c r="Z128" s="525">
        <f>IFERROR(SUMPRODUCT(--(_xlfn.ISFORMULA(L128)=FALSE),--(C128&lt;&gt;"Other Projects"),--(AC128&lt;&gt;TRUE),L128),0)</f>
        <v/>
      </c>
      <c r="AA128" s="512">
        <f>IFERROR(SUMPRODUCT(--(_xlfn.ISFORMULA(L128)=FALSE),--(C128&lt;&gt;"Other Projects"),--(G128="Yes"),--(AC128&lt;&gt;TRUE),L128),0)</f>
        <v/>
      </c>
      <c r="AB128" s="512">
        <f>IF(_xlfn.ISFORMULA(L128)=TRUE,0,AB127-1)</f>
        <v/>
      </c>
      <c r="AC128" s="512" t="n"/>
    </row>
    <row r="129" outlineLevel="1" ht="63.75" customFormat="1" customHeight="1" s="266">
      <c r="A129" s="515" t="n"/>
      <c r="B129" s="526" t="inlineStr">
        <is>
          <t>Downstream</t>
        </is>
      </c>
      <c r="C129" s="530" t="inlineStr">
        <is>
          <t>[Input of the project name]</t>
        </is>
      </c>
      <c r="D129" s="531" t="inlineStr">
        <is>
          <t>[input: brief description of the project, including:</t>
        </is>
      </c>
      <c r="E129" s="518">
        <f>IF(ISBLANK(C129)=FALSE,"thsd</f>
        <v/>
      </c>
      <c r="F129" s="518">
        <f>IF(ISBLANK(C129)=FALSE,"+","")</f>
        <v/>
      </c>
      <c r="G129" s="532" t="n"/>
      <c r="H129" s="533" t="n"/>
      <c r="I129" s="533" t="n"/>
      <c r="J129" s="536" t="n"/>
      <c r="K129" s="537" t="n"/>
      <c r="L129" s="534" t="n"/>
      <c r="M129" s="534" t="n"/>
      <c r="N129" s="534" t="n"/>
      <c r="O129" s="534" t="n"/>
      <c r="P129" s="534" t="n"/>
      <c r="Q129" s="522">
        <f>IFERROR((O129-P129),"N/A")</f>
        <v/>
      </c>
      <c r="R129" s="523">
        <f>IFERROR((O129-P129)/ABS(P129),"N/A")</f>
        <v/>
      </c>
      <c r="S129" s="537" t="n"/>
      <c r="T129" s="546" t="n"/>
      <c r="U129" s="546" t="n"/>
      <c r="V129" s="522">
        <f>IFERROR((T129-U129),"N/A")</f>
        <v/>
      </c>
      <c r="W129" s="523">
        <f>IFERROR((T129-U129)/ABS(U129),"N/A")</f>
        <v/>
      </c>
      <c r="X129" s="537" t="n"/>
      <c r="Y129" s="512">
        <f>IF(ISNUMBER(SEARCH("SUMPRODUCT",_xlfn.FORMULATEXT(L129),1))=FALSE,IF(ISNUMBER(SEARCH("INDIRECT",_xlfn.FORMULATEXT(L129),1))=TRUE,1,0),2)</f>
        <v/>
      </c>
      <c r="Z129" s="525">
        <f>IFERROR(SUMPRODUCT(--(_xlfn.ISFORMULA(L129)=FALSE),--(C129&lt;&gt;"Other Projects"),--(AC129&lt;&gt;TRUE),L129),0)</f>
        <v/>
      </c>
      <c r="AA129" s="512">
        <f>IFERROR(SUMPRODUCT(--(_xlfn.ISFORMULA(L129)=FALSE),--(C129&lt;&gt;"Other Projects"),--(G129="Yes"),--(AC129&lt;&gt;TRUE),L129),0)</f>
        <v/>
      </c>
      <c r="AB129" s="512">
        <f>IF(_xlfn.ISFORMULA(L129)=TRUE,0,AB128-1)</f>
        <v/>
      </c>
      <c r="AC129" s="512" t="n"/>
    </row>
    <row r="130" outlineLevel="1" ht="63.75" customFormat="1" customHeight="1" s="266">
      <c r="A130" s="515" t="n"/>
      <c r="B130" s="526" t="inlineStr">
        <is>
          <t>Downstream</t>
        </is>
      </c>
      <c r="C130" s="530" t="inlineStr">
        <is>
          <t>[Input of the project name]</t>
        </is>
      </c>
      <c r="D130" s="531" t="inlineStr">
        <is>
          <t>[input: brief description of the project, including:</t>
        </is>
      </c>
      <c r="E130" s="518">
        <f>IF(ISBLANK(C130)=FALSE,"thsd</f>
        <v/>
      </c>
      <c r="F130" s="518">
        <f>IF(ISBLANK(C130)=FALSE,"+","")</f>
        <v/>
      </c>
      <c r="G130" s="532" t="n"/>
      <c r="H130" s="533" t="n"/>
      <c r="I130" s="533" t="n"/>
      <c r="J130" s="536" t="n"/>
      <c r="K130" s="537" t="n"/>
      <c r="L130" s="534" t="n"/>
      <c r="M130" s="534" t="n"/>
      <c r="N130" s="534" t="n"/>
      <c r="O130" s="534" t="n"/>
      <c r="P130" s="534" t="n"/>
      <c r="Q130" s="522">
        <f>IFERROR((O130-P130),"N/A")</f>
        <v/>
      </c>
      <c r="R130" s="523">
        <f>IFERROR((O130-P130)/ABS(P130),"N/A")</f>
        <v/>
      </c>
      <c r="S130" s="537" t="n"/>
      <c r="T130" s="546" t="n"/>
      <c r="U130" s="546" t="n"/>
      <c r="V130" s="522">
        <f>IFERROR((T130-U130),"N/A")</f>
        <v/>
      </c>
      <c r="W130" s="523">
        <f>IFERROR((T130-U130)/ABS(U130),"N/A")</f>
        <v/>
      </c>
      <c r="X130" s="537" t="n"/>
      <c r="Y130" s="512">
        <f>IF(ISNUMBER(SEARCH("SUMPRODUCT",_xlfn.FORMULATEXT(L130),1))=FALSE,IF(ISNUMBER(SEARCH("INDIRECT",_xlfn.FORMULATEXT(L130),1))=TRUE,1,0),2)</f>
        <v/>
      </c>
      <c r="Z130" s="525">
        <f>IFERROR(SUMPRODUCT(--(_xlfn.ISFORMULA(L130)=FALSE),--(C130&lt;&gt;"Other Projects"),--(AC130&lt;&gt;TRUE),L130),0)</f>
        <v/>
      </c>
      <c r="AA130" s="512">
        <f>IFERROR(SUMPRODUCT(--(_xlfn.ISFORMULA(L130)=FALSE),--(C130&lt;&gt;"Other Projects"),--(G130="Yes"),--(AC130&lt;&gt;TRUE),L130),0)</f>
        <v/>
      </c>
      <c r="AB130" s="512">
        <f>IF(_xlfn.ISFORMULA(L130)=TRUE,0,AB129-1)</f>
        <v/>
      </c>
      <c r="AC130" s="512" t="n"/>
    </row>
    <row r="131" outlineLevel="1" ht="63.75" customFormat="1" customHeight="1" s="266">
      <c r="A131" s="515" t="n"/>
      <c r="B131" s="526" t="inlineStr">
        <is>
          <t>Downstream</t>
        </is>
      </c>
      <c r="C131" s="530" t="inlineStr">
        <is>
          <t>[Input of the project name]</t>
        </is>
      </c>
      <c r="D131" s="531" t="inlineStr">
        <is>
          <t>[input: brief description of the project, including:</t>
        </is>
      </c>
      <c r="E131" s="518">
        <f>IF(ISBLANK(C131)=FALSE,"thsd</f>
        <v/>
      </c>
      <c r="F131" s="518">
        <f>IF(ISBLANK(C131)=FALSE,"+","")</f>
        <v/>
      </c>
      <c r="G131" s="532" t="n"/>
      <c r="H131" s="533" t="n"/>
      <c r="I131" s="533" t="n"/>
      <c r="J131" s="536" t="n"/>
      <c r="K131" s="537" t="n"/>
      <c r="L131" s="534" t="n"/>
      <c r="M131" s="534" t="n"/>
      <c r="N131" s="534" t="n"/>
      <c r="O131" s="534" t="n"/>
      <c r="P131" s="534" t="n"/>
      <c r="Q131" s="522">
        <f>IFERROR((O131-P131),"N/A")</f>
        <v/>
      </c>
      <c r="R131" s="523">
        <f>IFERROR((O131-P131)/ABS(P131),"N/A")</f>
        <v/>
      </c>
      <c r="S131" s="537" t="n"/>
      <c r="T131" s="546" t="n"/>
      <c r="U131" s="546" t="n"/>
      <c r="V131" s="522">
        <f>IFERROR((T131-U131),"N/A")</f>
        <v/>
      </c>
      <c r="W131" s="523">
        <f>IFERROR((T131-U131)/ABS(U131),"N/A")</f>
        <v/>
      </c>
      <c r="X131" s="537" t="n"/>
      <c r="Y131" s="512">
        <f>IF(ISNUMBER(SEARCH("SUMPRODUCT",_xlfn.FORMULATEXT(L131),1))=FALSE,IF(ISNUMBER(SEARCH("INDIRECT",_xlfn.FORMULATEXT(L131),1))=TRUE,1,0),2)</f>
        <v/>
      </c>
      <c r="Z131" s="525">
        <f>IFERROR(SUMPRODUCT(--(_xlfn.ISFORMULA(L131)=FALSE),--(C131&lt;&gt;"Other Projects"),--(AC131&lt;&gt;TRUE),L131),0)</f>
        <v/>
      </c>
      <c r="AA131" s="512">
        <f>IFERROR(SUMPRODUCT(--(_xlfn.ISFORMULA(L131)=FALSE),--(C131&lt;&gt;"Other Projects"),--(G131="Yes"),--(AC131&lt;&gt;TRUE),L131),0)</f>
        <v/>
      </c>
      <c r="AB131" s="512">
        <f>IF(_xlfn.ISFORMULA(L131)=TRUE,0,AB130-1)</f>
        <v/>
      </c>
      <c r="AC131" s="512" t="n"/>
    </row>
    <row r="132" outlineLevel="1" ht="63.75" customFormat="1" customHeight="1" s="266">
      <c r="A132" s="515" t="n"/>
      <c r="B132" s="526" t="inlineStr">
        <is>
          <t>Downstream</t>
        </is>
      </c>
      <c r="C132" s="530" t="inlineStr">
        <is>
          <t>[Input of the project name]</t>
        </is>
      </c>
      <c r="D132" s="531" t="inlineStr">
        <is>
          <t>[input: brief description of the project, including:</t>
        </is>
      </c>
      <c r="E132" s="518">
        <f>IF(ISBLANK(C132)=FALSE,"thsd</f>
        <v/>
      </c>
      <c r="F132" s="518">
        <f>IF(ISBLANK(C132)=FALSE,"+","")</f>
        <v/>
      </c>
      <c r="G132" s="532" t="n"/>
      <c r="H132" s="533" t="n"/>
      <c r="I132" s="533" t="n"/>
      <c r="J132" s="536" t="n"/>
      <c r="K132" s="537" t="n"/>
      <c r="L132" s="534" t="n"/>
      <c r="M132" s="534" t="n"/>
      <c r="N132" s="534" t="n"/>
      <c r="O132" s="534" t="n"/>
      <c r="P132" s="534" t="n"/>
      <c r="Q132" s="522">
        <f>IFERROR((O132-P132),"N/A")</f>
        <v/>
      </c>
      <c r="R132" s="523">
        <f>IFERROR((O132-P132)/ABS(P132),"N/A")</f>
        <v/>
      </c>
      <c r="S132" s="537" t="n"/>
      <c r="T132" s="546" t="n"/>
      <c r="U132" s="546" t="n"/>
      <c r="V132" s="522">
        <f>IFERROR((T132-U132),"N/A")</f>
        <v/>
      </c>
      <c r="W132" s="523">
        <f>IFERROR((T132-U132)/ABS(U132),"N/A")</f>
        <v/>
      </c>
      <c r="X132" s="537" t="n"/>
      <c r="Y132" s="512">
        <f>IF(ISNUMBER(SEARCH("SUMPRODUCT",_xlfn.FORMULATEXT(L132),1))=FALSE,IF(ISNUMBER(SEARCH("INDIRECT",_xlfn.FORMULATEXT(L132),1))=TRUE,1,0),2)</f>
        <v/>
      </c>
      <c r="Z132" s="525">
        <f>IFERROR(SUMPRODUCT(--(_xlfn.ISFORMULA(L132)=FALSE),--(C132&lt;&gt;"Other Projects"),--(AC132&lt;&gt;TRUE),L132),0)</f>
        <v/>
      </c>
      <c r="AA132" s="512">
        <f>IFERROR(SUMPRODUCT(--(_xlfn.ISFORMULA(L132)=FALSE),--(C132&lt;&gt;"Other Projects"),--(G132="Yes"),--(AC132&lt;&gt;TRUE),L132),0)</f>
        <v/>
      </c>
      <c r="AB132" s="512">
        <f>IF(_xlfn.ISFORMULA(L132)=TRUE,0,AB131-1)</f>
        <v/>
      </c>
      <c r="AC132" s="512" t="n"/>
    </row>
    <row r="133" outlineLevel="1" ht="63.75" customFormat="1" customHeight="1" s="266">
      <c r="A133" s="515" t="n"/>
      <c r="B133" s="526" t="inlineStr">
        <is>
          <t>Downstream</t>
        </is>
      </c>
      <c r="C133" s="530" t="inlineStr">
        <is>
          <t>[Input of the project name]</t>
        </is>
      </c>
      <c r="D133" s="531" t="inlineStr">
        <is>
          <t>[input: brief description of the project, including:</t>
        </is>
      </c>
      <c r="E133" s="518">
        <f>IF(ISBLANK(C133)=FALSE,"thsd</f>
        <v/>
      </c>
      <c r="F133" s="518">
        <f>IF(ISBLANK(C133)=FALSE,"+","")</f>
        <v/>
      </c>
      <c r="G133" s="532" t="n"/>
      <c r="H133" s="533" t="n"/>
      <c r="I133" s="533" t="n"/>
      <c r="J133" s="536" t="n"/>
      <c r="K133" s="537" t="n"/>
      <c r="L133" s="534" t="n"/>
      <c r="M133" s="534" t="n"/>
      <c r="N133" s="534" t="n"/>
      <c r="O133" s="534" t="n"/>
      <c r="P133" s="534" t="n"/>
      <c r="Q133" s="522">
        <f>IFERROR((O133-P133),"N/A")</f>
        <v/>
      </c>
      <c r="R133" s="523">
        <f>IFERROR((O133-P133)/ABS(P133),"N/A")</f>
        <v/>
      </c>
      <c r="S133" s="537" t="n"/>
      <c r="T133" s="546" t="n"/>
      <c r="U133" s="546" t="n"/>
      <c r="V133" s="522">
        <f>IFERROR((T133-U133),"N/A")</f>
        <v/>
      </c>
      <c r="W133" s="523">
        <f>IFERROR((T133-U133)/ABS(U133),"N/A")</f>
        <v/>
      </c>
      <c r="X133" s="537" t="n"/>
      <c r="Y133" s="512">
        <f>IF(ISNUMBER(SEARCH("SUMPRODUCT",_xlfn.FORMULATEXT(L133),1))=FALSE,IF(ISNUMBER(SEARCH("INDIRECT",_xlfn.FORMULATEXT(L133),1))=TRUE,1,0),2)</f>
        <v/>
      </c>
      <c r="Z133" s="525">
        <f>IFERROR(SUMPRODUCT(--(_xlfn.ISFORMULA(L133)=FALSE),--(C133&lt;&gt;"Other Projects"),--(AC133&lt;&gt;TRUE),L133),0)</f>
        <v/>
      </c>
      <c r="AA133" s="512">
        <f>IFERROR(SUMPRODUCT(--(_xlfn.ISFORMULA(L133)=FALSE),--(C133&lt;&gt;"Other Projects"),--(G133="Yes"),--(AC133&lt;&gt;TRUE),L133),0)</f>
        <v/>
      </c>
      <c r="AB133" s="512">
        <f>IF(_xlfn.ISFORMULA(L133)=TRUE,0,AB132-1)</f>
        <v/>
      </c>
      <c r="AC133" s="512" t="n"/>
    </row>
    <row r="134" outlineLevel="1" ht="63.75" customFormat="1" customHeight="1" s="266">
      <c r="A134" s="515" t="n"/>
      <c r="B134" s="526" t="inlineStr">
        <is>
          <t>Downstream</t>
        </is>
      </c>
      <c r="C134" s="530" t="inlineStr">
        <is>
          <t>[Input of the project name]</t>
        </is>
      </c>
      <c r="D134" s="531" t="inlineStr">
        <is>
          <t>[input: brief description of the project, including:</t>
        </is>
      </c>
      <c r="E134" s="518">
        <f>IF(ISBLANK(C134)=FALSE,"thsd</f>
        <v/>
      </c>
      <c r="F134" s="518">
        <f>IF(ISBLANK(C134)=FALSE,"+","")</f>
        <v/>
      </c>
      <c r="G134" s="532" t="n"/>
      <c r="H134" s="533" t="n"/>
      <c r="I134" s="533" t="n"/>
      <c r="J134" s="536" t="n"/>
      <c r="K134" s="537" t="n"/>
      <c r="L134" s="534" t="n"/>
      <c r="M134" s="534" t="n"/>
      <c r="N134" s="534" t="n"/>
      <c r="O134" s="534" t="n"/>
      <c r="P134" s="534" t="n"/>
      <c r="Q134" s="522">
        <f>IFERROR((O134-P134),"N/A")</f>
        <v/>
      </c>
      <c r="R134" s="523">
        <f>IFERROR((O134-P134)/ABS(P134),"N/A")</f>
        <v/>
      </c>
      <c r="S134" s="537" t="n"/>
      <c r="T134" s="546" t="n"/>
      <c r="U134" s="546" t="n"/>
      <c r="V134" s="522">
        <f>IFERROR((T134-U134),"N/A")</f>
        <v/>
      </c>
      <c r="W134" s="523">
        <f>IFERROR((T134-U134)/ABS(U134),"N/A")</f>
        <v/>
      </c>
      <c r="X134" s="537" t="n"/>
      <c r="Y134" s="512">
        <f>IF(ISNUMBER(SEARCH("SUMPRODUCT",_xlfn.FORMULATEXT(L134),1))=FALSE,IF(ISNUMBER(SEARCH("INDIRECT",_xlfn.FORMULATEXT(L134),1))=TRUE,1,0),2)</f>
        <v/>
      </c>
      <c r="Z134" s="525">
        <f>IFERROR(SUMPRODUCT(--(_xlfn.ISFORMULA(L134)=FALSE),--(C134&lt;&gt;"Other Projects"),--(AC134&lt;&gt;TRUE),L134),0)</f>
        <v/>
      </c>
      <c r="AA134" s="512">
        <f>IFERROR(SUMPRODUCT(--(_xlfn.ISFORMULA(L134)=FALSE),--(C134&lt;&gt;"Other Projects"),--(G134="Yes"),--(AC134&lt;&gt;TRUE),L134),0)</f>
        <v/>
      </c>
      <c r="AB134" s="512">
        <f>IF(_xlfn.ISFORMULA(L134)=TRUE,0,AB133-1)</f>
        <v/>
      </c>
      <c r="AC134" s="512" t="n"/>
    </row>
    <row r="135" outlineLevel="1" ht="63.75" customFormat="1" customHeight="1" s="266">
      <c r="A135" s="515" t="n"/>
      <c r="B135" s="526" t="inlineStr">
        <is>
          <t>Downstream</t>
        </is>
      </c>
      <c r="C135" s="530" t="inlineStr">
        <is>
          <t>[Input of the project name]</t>
        </is>
      </c>
      <c r="D135" s="531" t="inlineStr">
        <is>
          <t>[input: brief description of the project, including:</t>
        </is>
      </c>
      <c r="E135" s="518">
        <f>IF(ISBLANK(C135)=FALSE,"thsd</f>
        <v/>
      </c>
      <c r="F135" s="518">
        <f>IF(ISBLANK(C135)=FALSE,"+","")</f>
        <v/>
      </c>
      <c r="G135" s="532" t="n"/>
      <c r="H135" s="533" t="n"/>
      <c r="I135" s="533" t="n"/>
      <c r="J135" s="536" t="n"/>
      <c r="K135" s="537" t="n"/>
      <c r="L135" s="534" t="n"/>
      <c r="M135" s="534" t="n"/>
      <c r="N135" s="534" t="n"/>
      <c r="O135" s="534" t="n"/>
      <c r="P135" s="534" t="n"/>
      <c r="Q135" s="522">
        <f>IFERROR((O135-P135),"N/A")</f>
        <v/>
      </c>
      <c r="R135" s="523">
        <f>IFERROR((O135-P135)/ABS(P135),"N/A")</f>
        <v/>
      </c>
      <c r="S135" s="537" t="n"/>
      <c r="T135" s="546" t="n"/>
      <c r="U135" s="546" t="n"/>
      <c r="V135" s="522">
        <f>IFERROR((T135-U135),"N/A")</f>
        <v/>
      </c>
      <c r="W135" s="523">
        <f>IFERROR((T135-U135)/ABS(U135),"N/A")</f>
        <v/>
      </c>
      <c r="X135" s="537" t="n"/>
      <c r="Y135" s="512">
        <f>IF(ISNUMBER(SEARCH("SUMPRODUCT",_xlfn.FORMULATEXT(L135),1))=FALSE,IF(ISNUMBER(SEARCH("INDIRECT",_xlfn.FORMULATEXT(L135),1))=TRUE,1,0),2)</f>
        <v/>
      </c>
      <c r="Z135" s="525">
        <f>IFERROR(SUMPRODUCT(--(_xlfn.ISFORMULA(L135)=FALSE),--(C135&lt;&gt;"Other Projects"),--(AC135&lt;&gt;TRUE),L135),0)</f>
        <v/>
      </c>
      <c r="AA135" s="512">
        <f>IFERROR(SUMPRODUCT(--(_xlfn.ISFORMULA(L135)=FALSE),--(C135&lt;&gt;"Other Projects"),--(G135="Yes"),--(AC135&lt;&gt;TRUE),L135),0)</f>
        <v/>
      </c>
      <c r="AB135" s="512">
        <f>IF(_xlfn.ISFORMULA(L135)=TRUE,0,AB134-1)</f>
        <v/>
      </c>
      <c r="AC135" s="512" t="n"/>
    </row>
    <row r="136" outlineLevel="1" ht="63.75" customFormat="1" customHeight="1" s="266">
      <c r="A136" s="515" t="n"/>
      <c r="B136" s="526" t="inlineStr">
        <is>
          <t>Downstream</t>
        </is>
      </c>
      <c r="C136" s="530" t="inlineStr">
        <is>
          <t>[Input of the project name]</t>
        </is>
      </c>
      <c r="D136" s="531" t="inlineStr">
        <is>
          <t>[input: brief description of the project, including:</t>
        </is>
      </c>
      <c r="E136" s="518">
        <f>IF(ISBLANK(C136)=FALSE,"thsd</f>
        <v/>
      </c>
      <c r="F136" s="518">
        <f>IF(ISBLANK(C136)=FALSE,"+","")</f>
        <v/>
      </c>
      <c r="G136" s="532" t="n"/>
      <c r="H136" s="533" t="n"/>
      <c r="I136" s="533" t="n"/>
      <c r="J136" s="536" t="n"/>
      <c r="K136" s="537" t="n"/>
      <c r="L136" s="534" t="n"/>
      <c r="M136" s="534" t="n"/>
      <c r="N136" s="534" t="n"/>
      <c r="O136" s="534" t="n"/>
      <c r="P136" s="534" t="n"/>
      <c r="Q136" s="522">
        <f>IFERROR((O136-P136),"N/A")</f>
        <v/>
      </c>
      <c r="R136" s="523">
        <f>IFERROR((O136-P136)/ABS(P136),"N/A")</f>
        <v/>
      </c>
      <c r="S136" s="537" t="n"/>
      <c r="T136" s="546" t="n"/>
      <c r="U136" s="546" t="n"/>
      <c r="V136" s="522">
        <f>IFERROR((T136-U136),"N/A")</f>
        <v/>
      </c>
      <c r="W136" s="523">
        <f>IFERROR((T136-U136)/ABS(U136),"N/A")</f>
        <v/>
      </c>
      <c r="X136" s="537" t="n"/>
      <c r="Y136" s="512">
        <f>IF(ISNUMBER(SEARCH("SUMPRODUCT",_xlfn.FORMULATEXT(L136),1))=FALSE,IF(ISNUMBER(SEARCH("INDIRECT",_xlfn.FORMULATEXT(L136),1))=TRUE,1,0),2)</f>
        <v/>
      </c>
      <c r="Z136" s="525">
        <f>IFERROR(SUMPRODUCT(--(_xlfn.ISFORMULA(L136)=FALSE),--(C136&lt;&gt;"Other Projects"),--(AC136&lt;&gt;TRUE),L136),0)</f>
        <v/>
      </c>
      <c r="AA136" s="512">
        <f>IFERROR(SUMPRODUCT(--(_xlfn.ISFORMULA(L136)=FALSE),--(C136&lt;&gt;"Other Projects"),--(G136="Yes"),--(AC136&lt;&gt;TRUE),L136),0)</f>
        <v/>
      </c>
      <c r="AB136" s="512">
        <f>IF(_xlfn.ISFORMULA(L136)=TRUE,0,AB135-1)</f>
        <v/>
      </c>
      <c r="AC136" s="512" t="n"/>
    </row>
    <row r="137" outlineLevel="1" ht="63.75" customFormat="1" customHeight="1" s="266">
      <c r="A137" s="515" t="n"/>
      <c r="B137" s="526" t="inlineStr">
        <is>
          <t>Downstream</t>
        </is>
      </c>
      <c r="C137" s="530" t="inlineStr">
        <is>
          <t>[Input of the project name]</t>
        </is>
      </c>
      <c r="D137" s="531" t="inlineStr">
        <is>
          <t>[input: brief description of the project, including:</t>
        </is>
      </c>
      <c r="E137" s="518">
        <f>IF(ISBLANK(C137)=FALSE,"thsd</f>
        <v/>
      </c>
      <c r="F137" s="518">
        <f>IF(ISBLANK(C137)=FALSE,"+","")</f>
        <v/>
      </c>
      <c r="G137" s="532" t="n"/>
      <c r="H137" s="533" t="n"/>
      <c r="I137" s="533" t="n"/>
      <c r="J137" s="536" t="n"/>
      <c r="K137" s="537" t="n"/>
      <c r="L137" s="534" t="n"/>
      <c r="M137" s="534" t="n"/>
      <c r="N137" s="534" t="n"/>
      <c r="O137" s="534" t="n"/>
      <c r="P137" s="534" t="n"/>
      <c r="Q137" s="522">
        <f>IFERROR((O137-P137),"N/A")</f>
        <v/>
      </c>
      <c r="R137" s="523">
        <f>IFERROR((O137-P137)/ABS(P137),"N/A")</f>
        <v/>
      </c>
      <c r="S137" s="537" t="n"/>
      <c r="T137" s="546" t="n"/>
      <c r="U137" s="546" t="n"/>
      <c r="V137" s="522">
        <f>IFERROR((T137-U137),"N/A")</f>
        <v/>
      </c>
      <c r="W137" s="523">
        <f>IFERROR((T137-U137)/ABS(U137),"N/A")</f>
        <v/>
      </c>
      <c r="X137" s="537" t="n"/>
      <c r="Y137" s="512">
        <f>IF(ISNUMBER(SEARCH("SUMPRODUCT",_xlfn.FORMULATEXT(L137),1))=FALSE,IF(ISNUMBER(SEARCH("INDIRECT",_xlfn.FORMULATEXT(L137),1))=TRUE,1,0),2)</f>
        <v/>
      </c>
      <c r="Z137" s="525">
        <f>IFERROR(SUMPRODUCT(--(_xlfn.ISFORMULA(L137)=FALSE),--(C137&lt;&gt;"Other Projects"),--(AC137&lt;&gt;TRUE),L137),0)</f>
        <v/>
      </c>
      <c r="AA137" s="512">
        <f>IFERROR(SUMPRODUCT(--(_xlfn.ISFORMULA(L137)=FALSE),--(C137&lt;&gt;"Other Projects"),--(G137="Yes"),--(AC137&lt;&gt;TRUE),L137),0)</f>
        <v/>
      </c>
      <c r="AB137" s="512">
        <f>IF(_xlfn.ISFORMULA(L137)=TRUE,0,AB136-1)</f>
        <v/>
      </c>
      <c r="AC137" s="512" t="n"/>
    </row>
    <row r="138" outlineLevel="1" ht="63.75" customFormat="1" customHeight="1" s="266">
      <c r="A138" s="515" t="n"/>
      <c r="B138" s="526" t="inlineStr">
        <is>
          <t>Downstream</t>
        </is>
      </c>
      <c r="C138" s="530" t="inlineStr">
        <is>
          <t>[Input of the project name]</t>
        </is>
      </c>
      <c r="D138" s="531" t="inlineStr">
        <is>
          <t>[input: brief description of the project, including:</t>
        </is>
      </c>
      <c r="E138" s="518">
        <f>IF(ISBLANK(C138)=FALSE,"thsd</f>
        <v/>
      </c>
      <c r="F138" s="518">
        <f>IF(ISBLANK(C138)=FALSE,"+","")</f>
        <v/>
      </c>
      <c r="G138" s="532" t="n"/>
      <c r="H138" s="533" t="n"/>
      <c r="I138" s="533" t="n"/>
      <c r="J138" s="536" t="n"/>
      <c r="K138" s="537" t="n"/>
      <c r="L138" s="534" t="n"/>
      <c r="M138" s="534" t="n"/>
      <c r="N138" s="534" t="n"/>
      <c r="O138" s="534" t="n"/>
      <c r="P138" s="534" t="n"/>
      <c r="Q138" s="522">
        <f>IFERROR((O138-P138),"N/A")</f>
        <v/>
      </c>
      <c r="R138" s="523">
        <f>IFERROR((O138-P138)/ABS(P138),"N/A")</f>
        <v/>
      </c>
      <c r="S138" s="537" t="n"/>
      <c r="T138" s="546" t="n"/>
      <c r="U138" s="546" t="n"/>
      <c r="V138" s="522">
        <f>IFERROR((T138-U138),"N/A")</f>
        <v/>
      </c>
      <c r="W138" s="523">
        <f>IFERROR((T138-U138)/ABS(U138),"N/A")</f>
        <v/>
      </c>
      <c r="X138" s="537" t="n"/>
      <c r="Y138" s="512">
        <f>IF(ISNUMBER(SEARCH("SUMPRODUCT",_xlfn.FORMULATEXT(L138),1))=FALSE,IF(ISNUMBER(SEARCH("INDIRECT",_xlfn.FORMULATEXT(L138),1))=TRUE,1,0),2)</f>
        <v/>
      </c>
      <c r="Z138" s="525">
        <f>IFERROR(SUMPRODUCT(--(_xlfn.ISFORMULA(L138)=FALSE),--(C138&lt;&gt;"Other Projects"),--(AC138&lt;&gt;TRUE),L138),0)</f>
        <v/>
      </c>
      <c r="AA138" s="512">
        <f>IFERROR(SUMPRODUCT(--(_xlfn.ISFORMULA(L138)=FALSE),--(C138&lt;&gt;"Other Projects"),--(G138="Yes"),--(AC138&lt;&gt;TRUE),L138),0)</f>
        <v/>
      </c>
      <c r="AB138" s="512">
        <f>IF(_xlfn.ISFORMULA(L138)=TRUE,0,AB137-1)</f>
        <v/>
      </c>
      <c r="AC138" s="512" t="n"/>
    </row>
    <row r="139" outlineLevel="1" ht="63.75" customFormat="1" customHeight="1" s="266">
      <c r="A139" s="515" t="n"/>
      <c r="B139" s="526" t="inlineStr">
        <is>
          <t>Downstream</t>
        </is>
      </c>
      <c r="C139" s="530" t="inlineStr">
        <is>
          <t>[Input of the project name]</t>
        </is>
      </c>
      <c r="D139" s="531" t="inlineStr">
        <is>
          <t>[input: brief description of the project, including:</t>
        </is>
      </c>
      <c r="E139" s="518">
        <f>IF(ISBLANK(C139)=FALSE,"thsd</f>
        <v/>
      </c>
      <c r="F139" s="518">
        <f>IF(ISBLANK(C139)=FALSE,"+","")</f>
        <v/>
      </c>
      <c r="G139" s="532" t="n"/>
      <c r="H139" s="533" t="n"/>
      <c r="I139" s="533" t="n"/>
      <c r="J139" s="536" t="n"/>
      <c r="K139" s="537" t="n"/>
      <c r="L139" s="534" t="n"/>
      <c r="M139" s="534" t="n"/>
      <c r="N139" s="534" t="n"/>
      <c r="O139" s="534" t="n"/>
      <c r="P139" s="534" t="n"/>
      <c r="Q139" s="522">
        <f>IFERROR((O139-P139),"N/A")</f>
        <v/>
      </c>
      <c r="R139" s="523">
        <f>IFERROR((O139-P139)/ABS(P139),"N/A")</f>
        <v/>
      </c>
      <c r="S139" s="537" t="n"/>
      <c r="T139" s="546" t="n"/>
      <c r="U139" s="546" t="n"/>
      <c r="V139" s="522">
        <f>IFERROR((T139-U139),"N/A")</f>
        <v/>
      </c>
      <c r="W139" s="523">
        <f>IFERROR((T139-U139)/ABS(U139),"N/A")</f>
        <v/>
      </c>
      <c r="X139" s="537" t="n"/>
      <c r="Y139" s="512">
        <f>IF(ISNUMBER(SEARCH("SUMPRODUCT",_xlfn.FORMULATEXT(L139),1))=FALSE,IF(ISNUMBER(SEARCH("INDIRECT",_xlfn.FORMULATEXT(L139),1))=TRUE,1,0),2)</f>
        <v/>
      </c>
      <c r="Z139" s="525">
        <f>IFERROR(SUMPRODUCT(--(_xlfn.ISFORMULA(L139)=FALSE),--(C139&lt;&gt;"Other Projects"),--(AC139&lt;&gt;TRUE),L139),0)</f>
        <v/>
      </c>
      <c r="AA139" s="512">
        <f>IFERROR(SUMPRODUCT(--(_xlfn.ISFORMULA(L139)=FALSE),--(C139&lt;&gt;"Other Projects"),--(G139="Yes"),--(AC139&lt;&gt;TRUE),L139),0)</f>
        <v/>
      </c>
      <c r="AB139" s="512">
        <f>IF(_xlfn.ISFORMULA(L139)=TRUE,0,AB138-1)</f>
        <v/>
      </c>
      <c r="AC139" s="512" t="n"/>
    </row>
    <row r="140" outlineLevel="1" ht="63.75" customFormat="1" customHeight="1" s="266">
      <c r="A140" s="515" t="n"/>
      <c r="B140" s="526" t="inlineStr">
        <is>
          <t>Downstream</t>
        </is>
      </c>
      <c r="C140" s="530" t="inlineStr">
        <is>
          <t>[Input of the project name]</t>
        </is>
      </c>
      <c r="D140" s="531" t="inlineStr">
        <is>
          <t>[input: brief description of the project, including:</t>
        </is>
      </c>
      <c r="E140" s="518">
        <f>IF(ISBLANK(C140)=FALSE,"thsd</f>
        <v/>
      </c>
      <c r="F140" s="518">
        <f>IF(ISBLANK(C140)=FALSE,"+","")</f>
        <v/>
      </c>
      <c r="G140" s="532" t="n"/>
      <c r="H140" s="533" t="n"/>
      <c r="I140" s="533" t="n"/>
      <c r="J140" s="536" t="n"/>
      <c r="K140" s="537" t="n"/>
      <c r="L140" s="534" t="n"/>
      <c r="M140" s="534" t="n"/>
      <c r="N140" s="534" t="n"/>
      <c r="O140" s="534" t="n"/>
      <c r="P140" s="534" t="n"/>
      <c r="Q140" s="522">
        <f>IFERROR((O140-P140),"N/A")</f>
        <v/>
      </c>
      <c r="R140" s="523">
        <f>IFERROR((O140-P140)/ABS(P140),"N/A")</f>
        <v/>
      </c>
      <c r="S140" s="537" t="n"/>
      <c r="T140" s="546" t="n"/>
      <c r="U140" s="546" t="n"/>
      <c r="V140" s="522">
        <f>IFERROR((T140-U140),"N/A")</f>
        <v/>
      </c>
      <c r="W140" s="523">
        <f>IFERROR((T140-U140)/ABS(U140),"N/A")</f>
        <v/>
      </c>
      <c r="X140" s="537" t="n"/>
      <c r="Y140" s="512">
        <f>IF(ISNUMBER(SEARCH("SUMPRODUCT",_xlfn.FORMULATEXT(L140),1))=FALSE,IF(ISNUMBER(SEARCH("INDIRECT",_xlfn.FORMULATEXT(L140),1))=TRUE,1,0),2)</f>
        <v/>
      </c>
      <c r="Z140" s="525">
        <f>IFERROR(SUMPRODUCT(--(_xlfn.ISFORMULA(L140)=FALSE),--(C140&lt;&gt;"Other Projects"),--(AC140&lt;&gt;TRUE),L140),0)</f>
        <v/>
      </c>
      <c r="AA140" s="512">
        <f>IFERROR(SUMPRODUCT(--(_xlfn.ISFORMULA(L140)=FALSE),--(C140&lt;&gt;"Other Projects"),--(G140="Yes"),--(AC140&lt;&gt;TRUE),L140),0)</f>
        <v/>
      </c>
      <c r="AB140" s="512">
        <f>IF(_xlfn.ISFORMULA(L140)=TRUE,0,AB139-1)</f>
        <v/>
      </c>
      <c r="AC140" s="512" t="n"/>
    </row>
    <row r="141" outlineLevel="1" customFormat="1" s="266">
      <c r="A141" s="515" t="n"/>
      <c r="B141" s="526" t="inlineStr">
        <is>
          <t>Downstream</t>
        </is>
      </c>
      <c r="C141" s="539" t="inlineStr">
        <is>
          <t>Other projects</t>
        </is>
      </c>
      <c r="D141" s="540" t="n"/>
      <c r="E141" s="518">
        <f>IF(ISBLANK(C141)=FALSE,"thsd</f>
        <v/>
      </c>
      <c r="F141" s="518">
        <f>IF(ISBLANK(C141)=FALSE,"+","")</f>
        <v/>
      </c>
      <c r="G141" s="532" t="n"/>
      <c r="H141" s="533" t="n"/>
      <c r="I141" s="533" t="n"/>
      <c r="J141" s="536" t="n"/>
      <c r="K141" s="537" t="n"/>
      <c r="L141" s="534" t="n"/>
      <c r="M141" s="534" t="n"/>
      <c r="N141" s="534" t="n"/>
      <c r="O141" s="534" t="n"/>
      <c r="P141" s="534" t="n"/>
      <c r="Q141" s="522">
        <f>IFERROR((O141-P141),"N/A")</f>
        <v/>
      </c>
      <c r="R141" s="523">
        <f>IFERROR((O141-P141)/ABS(P141),"N/A")</f>
        <v/>
      </c>
      <c r="S141" s="537" t="n"/>
      <c r="T141" s="546" t="n"/>
      <c r="U141" s="546" t="n"/>
      <c r="V141" s="522">
        <f>IFERROR((T141-U141),"N/A")</f>
        <v/>
      </c>
      <c r="W141" s="523">
        <f>IFERROR((T141-U141)/ABS(U141),"N/A")</f>
        <v/>
      </c>
      <c r="X141" s="537" t="n"/>
      <c r="Y141" s="512">
        <f>IF(ISNUMBER(SEARCH("SUMPRODUCT",_xlfn.FORMULATEXT(L141),1))=FALSE,IF(ISNUMBER(SEARCH("INDIRECT",_xlfn.FORMULATEXT(L141),1))=TRUE,1,0),2)</f>
        <v/>
      </c>
      <c r="Z141" s="525">
        <f>IFERROR(SUMPRODUCT(--(_xlfn.ISFORMULA(L141)=FALSE),--(C141&lt;&gt;"Other Projects"),--(AC141&lt;&gt;TRUE),L141),0)</f>
        <v/>
      </c>
      <c r="AA141" s="512">
        <f>IFERROR(SUMPRODUCT(--(_xlfn.ISFORMULA(L141)=FALSE),--(C141&lt;&gt;"Other Projects"),--(G141="Yes"),--(AC141&lt;&gt;TRUE),L141),0)</f>
        <v/>
      </c>
      <c r="AB141" s="512">
        <f>IF(_xlfn.ISFORMULA(L141)=TRUE,0,AB140-1)</f>
        <v/>
      </c>
      <c r="AC141" s="512" t="n"/>
    </row>
    <row r="142" outlineLevel="1" ht="15" customFormat="1" customHeight="1" s="266">
      <c r="A142" s="515" t="n"/>
      <c r="B142" s="526" t="inlineStr">
        <is>
          <t>Downstream</t>
        </is>
      </c>
      <c r="C142" s="527" t="inlineStr">
        <is>
          <t xml:space="preserve">Other type of projects </t>
        </is>
      </c>
      <c r="D142" s="516" t="n"/>
      <c r="E142" s="518">
        <f>IF(ISBLANK(C142)=FALSE,"thsd</f>
        <v/>
      </c>
      <c r="F142" s="518">
        <f>IF(ISBLANK(C142)=FALSE,"+","")</f>
        <v/>
      </c>
      <c r="G142" s="519" t="n"/>
      <c r="H142" s="519" t="n"/>
      <c r="I142" s="519" t="n"/>
      <c r="J142" s="519" t="n"/>
      <c r="K142" s="537" t="n"/>
      <c r="L142" s="588">
        <f>SUM(INDIRECT(CHAR(COLUMN()+64)&amp;ROW(L143)&amp;":"&amp;IF(_xlfn.ISFORMULA(INDIRECT((ADDRESS(ROW()-1+MATCH(1,$Y143:$Y$261,0),COLUMN(),1,1)))),(ADDRESS(ROW()-2+MATCH(1,$Y143:$Y$261,0),COLUMN(),1,1)),(ADDRESS(ROW()-1+MATCH(1,$Y143:$Y$261,0),COLUMN(),1,1)))))</f>
        <v/>
      </c>
      <c r="M142" s="588">
        <f>SUM(INDIRECT(CHAR(COLUMN()+64)&amp;ROW(M143)&amp;":"&amp;IF(_xlfn.ISFORMULA(INDIRECT((ADDRESS(ROW()-1+MATCH(1,$Y143:$Y$261,0),COLUMN(),1,1)))),(ADDRESS(ROW()-2+MATCH(1,$Y143:$Y$261,0),COLUMN(),1,1)),(ADDRESS(ROW()-1+MATCH(1,$Y143:$Y$261,0),COLUMN(),1,1)))))</f>
        <v/>
      </c>
      <c r="N142" s="588">
        <f>SUM(INDIRECT(CHAR(COLUMN()+64)&amp;ROW(N143)&amp;":"&amp;IF(_xlfn.ISFORMULA(INDIRECT((ADDRESS(ROW()-1+MATCH(1,$Y143:$Y$261,0),COLUMN(),1,1)))),(ADDRESS(ROW()-2+MATCH(1,$Y143:$Y$261,0),COLUMN(),1,1)),(ADDRESS(ROW()-1+MATCH(1,$Y143:$Y$261,0),COLUMN(),1,1)))))</f>
        <v/>
      </c>
      <c r="O142" s="588">
        <f>SUM(INDIRECT(CHAR(COLUMN()+64)&amp;ROW(O143)&amp;":"&amp;IF(_xlfn.ISFORMULA(INDIRECT((ADDRESS(ROW()-1+MATCH(1,$Y143:$Y$261,0),COLUMN(),1,1)))),(ADDRESS(ROW()-2+MATCH(1,$Y143:$Y$261,0),COLUMN(),1,1)),(ADDRESS(ROW()-1+MATCH(1,$Y143:$Y$261,0),COLUMN(),1,1)))))</f>
        <v/>
      </c>
      <c r="P142" s="588">
        <f>SUM(INDIRECT(CHAR(COLUMN()+64)&amp;ROW(P143)&amp;":"&amp;IF(_xlfn.ISFORMULA(INDIRECT((ADDRESS(ROW()-1+MATCH(1,$Y143:$Y$261,0),COLUMN(),1,1)))),(ADDRESS(ROW()-2+MATCH(1,$Y143:$Y$261,0),COLUMN(),1,1)),(ADDRESS(ROW()-1+MATCH(1,$Y143:$Y$261,0),COLUMN(),1,1)))))</f>
        <v/>
      </c>
      <c r="Q142" s="522">
        <f>IFERROR((O142-P142),"N/A")</f>
        <v/>
      </c>
      <c r="R142" s="523">
        <f>IFERROR((O142-P142)/ABS(P142),"N/A")</f>
        <v/>
      </c>
      <c r="S142" s="537" t="n"/>
      <c r="T142" s="588">
        <f>SUM(INDIRECT(CHAR(COLUMN()+64)&amp;ROW(T143)&amp;":"&amp;IF(_xlfn.ISFORMULA(INDIRECT((ADDRESS(ROW()-1+MATCH(1,$Y143:$Y$261,0),COLUMN(),1,1)))),(ADDRESS(ROW()-2+MATCH(1,$Y143:$Y$261,0),COLUMN(),1,1)),(ADDRESS(ROW()-1+MATCH(1,$Y143:$Y$261,0),COLUMN(),1,1)))))</f>
        <v/>
      </c>
      <c r="U142" s="588">
        <f>SUM(INDIRECT(CHAR(COLUMN()+64)&amp;ROW(U143)&amp;":"&amp;IF(_xlfn.ISFORMULA(INDIRECT((ADDRESS(ROW()-1+MATCH(1,$Y143:$Y$261,0),COLUMN(),1,1)))),(ADDRESS(ROW()-2+MATCH(1,$Y143:$Y$261,0),COLUMN(),1,1)),(ADDRESS(ROW()-1+MATCH(1,$Y143:$Y$261,0),COLUMN(),1,1)))))</f>
        <v/>
      </c>
      <c r="V142" s="522">
        <f>IFERROR((T142-U142),"N/A")</f>
        <v/>
      </c>
      <c r="W142" s="523">
        <f>IFERROR((T142-U142)/ABS(U142),"N/A")</f>
        <v/>
      </c>
      <c r="X142" s="537" t="n"/>
      <c r="Y142" s="512">
        <f>IF(ISNUMBER(SEARCH("SUMPRODUCT",_xlfn.FORMULATEXT(L142),1))=FALSE,IF(ISNUMBER(SEARCH("INDIRECT",_xlfn.FORMULATEXT(L142),1))=TRUE,1,0),2)</f>
        <v/>
      </c>
      <c r="Z142" s="525">
        <f>IFERROR(SUMPRODUCT(--(_xlfn.ISFORMULA(L142)=FALSE),--(C142&lt;&gt;"Other Projects"),--(AC142&lt;&gt;TRUE),L142),0)</f>
        <v/>
      </c>
      <c r="AA142" s="512">
        <f>IFERROR(SUMPRODUCT(--(_xlfn.ISFORMULA(L142)=FALSE),--(C142&lt;&gt;"Other Projects"),--(G142="Yes"),--(AC142&lt;&gt;TRUE),L142),0)</f>
        <v/>
      </c>
      <c r="AB142" s="512">
        <f>IF(_xlfn.ISFORMULA(L142)=TRUE,0,AB141-1)</f>
        <v/>
      </c>
      <c r="AC142" s="512" t="n"/>
    </row>
    <row r="143" outlineLevel="1" ht="63.75" customFormat="1" customHeight="1" s="266">
      <c r="A143" s="515" t="n"/>
      <c r="B143" s="526" t="inlineStr">
        <is>
          <t>Downstream</t>
        </is>
      </c>
      <c r="C143" s="530" t="inlineStr">
        <is>
          <t>[Input of the project name]</t>
        </is>
      </c>
      <c r="D143" s="531" t="inlineStr">
        <is>
          <t>[input: brief description of the project, including:</t>
        </is>
      </c>
      <c r="E143" s="518">
        <f>IF(ISBLANK(C143)=FALSE,"thsd</f>
        <v/>
      </c>
      <c r="F143" s="518">
        <f>IF(ISBLANK(C143)=FALSE,"+","")</f>
        <v/>
      </c>
      <c r="G143" s="532" t="n"/>
      <c r="H143" s="533" t="n"/>
      <c r="I143" s="533" t="n"/>
      <c r="J143" s="536" t="n"/>
      <c r="K143" s="537" t="n"/>
      <c r="L143" s="534" t="n"/>
      <c r="M143" s="534" t="n"/>
      <c r="N143" s="534" t="n"/>
      <c r="O143" s="534" t="n"/>
      <c r="P143" s="534" t="n"/>
      <c r="Q143" s="522">
        <f>IFERROR((O143-P143),"N/A")</f>
        <v/>
      </c>
      <c r="R143" s="523">
        <f>IFERROR((O143-P143)/ABS(P143),"N/A")</f>
        <v/>
      </c>
      <c r="S143" s="537" t="n"/>
      <c r="T143" s="546" t="n"/>
      <c r="U143" s="546" t="n"/>
      <c r="V143" s="522">
        <f>IFERROR((T143-U143),"N/A")</f>
        <v/>
      </c>
      <c r="W143" s="523">
        <f>IFERROR((T143-U143)/ABS(U143),"N/A")</f>
        <v/>
      </c>
      <c r="X143" s="537" t="n"/>
      <c r="Y143" s="512">
        <f>IF(ISNUMBER(SEARCH("SUMPRODUCT",_xlfn.FORMULATEXT(L143),1))=FALSE,IF(ISNUMBER(SEARCH("INDIRECT",_xlfn.FORMULATEXT(L143),1))=TRUE,1,0),2)</f>
        <v/>
      </c>
      <c r="Z143" s="525">
        <f>IFERROR(SUMPRODUCT(--(_xlfn.ISFORMULA(L143)=FALSE),--(C143&lt;&gt;"Other Projects"),--(AC143&lt;&gt;TRUE),L143),0)</f>
        <v/>
      </c>
      <c r="AA143" s="512">
        <f>IFERROR(SUMPRODUCT(--(_xlfn.ISFORMULA(L143)=FALSE),--(C143&lt;&gt;"Other Projects"),--(G143="Yes"),--(AC143&lt;&gt;TRUE),L143),0)</f>
        <v/>
      </c>
      <c r="AB143" s="512">
        <f>IF(_xlfn.ISFORMULA(L143)=TRUE,0,AB142-1)</f>
        <v/>
      </c>
      <c r="AC143" s="512" t="n"/>
    </row>
    <row r="144" outlineLevel="1" ht="63.75" customFormat="1" customHeight="1" s="266">
      <c r="A144" s="515" t="n"/>
      <c r="B144" s="526" t="inlineStr">
        <is>
          <t>Downstream</t>
        </is>
      </c>
      <c r="C144" s="530" t="inlineStr">
        <is>
          <t>[Input of the project name]</t>
        </is>
      </c>
      <c r="D144" s="531" t="inlineStr">
        <is>
          <t>[input: brief description of the project, including:</t>
        </is>
      </c>
      <c r="E144" s="518">
        <f>IF(ISBLANK(C144)=FALSE,"thsd</f>
        <v/>
      </c>
      <c r="F144" s="518">
        <f>IF(ISBLANK(C144)=FALSE,"+","")</f>
        <v/>
      </c>
      <c r="G144" s="532" t="n"/>
      <c r="H144" s="533" t="n"/>
      <c r="I144" s="533" t="n"/>
      <c r="J144" s="536" t="n"/>
      <c r="K144" s="537" t="n"/>
      <c r="L144" s="534" t="n"/>
      <c r="M144" s="534" t="n"/>
      <c r="N144" s="534" t="n"/>
      <c r="O144" s="534" t="n"/>
      <c r="P144" s="534" t="n"/>
      <c r="Q144" s="522">
        <f>IFERROR((O144-P144),"N/A")</f>
        <v/>
      </c>
      <c r="R144" s="523">
        <f>IFERROR((O144-P144)/ABS(P144),"N/A")</f>
        <v/>
      </c>
      <c r="S144" s="537" t="n"/>
      <c r="T144" s="546" t="n"/>
      <c r="U144" s="546" t="n"/>
      <c r="V144" s="522">
        <f>IFERROR((T144-U144),"N/A")</f>
        <v/>
      </c>
      <c r="W144" s="523">
        <f>IFERROR((T144-U144)/ABS(U144),"N/A")</f>
        <v/>
      </c>
      <c r="X144" s="537" t="n"/>
      <c r="Y144" s="512">
        <f>IF(ISNUMBER(SEARCH("SUMPRODUCT",_xlfn.FORMULATEXT(L144),1))=FALSE,IF(ISNUMBER(SEARCH("INDIRECT",_xlfn.FORMULATEXT(L144),1))=TRUE,1,0),2)</f>
        <v/>
      </c>
      <c r="Z144" s="525">
        <f>IFERROR(SUMPRODUCT(--(_xlfn.ISFORMULA(L144)=FALSE),--(C144&lt;&gt;"Other Projects"),--(AC144&lt;&gt;TRUE),L144),0)</f>
        <v/>
      </c>
      <c r="AA144" s="512">
        <f>IFERROR(SUMPRODUCT(--(_xlfn.ISFORMULA(L144)=FALSE),--(C144&lt;&gt;"Other Projects"),--(G144="Yes"),--(AC144&lt;&gt;TRUE),L144),0)</f>
        <v/>
      </c>
      <c r="AB144" s="512">
        <f>IF(_xlfn.ISFORMULA(L144)=TRUE,0,AB143-1)</f>
        <v/>
      </c>
      <c r="AC144" s="512" t="n"/>
    </row>
    <row r="145" outlineLevel="1" ht="63.75" customFormat="1" customHeight="1" s="266">
      <c r="A145" s="515" t="n"/>
      <c r="B145" s="526" t="inlineStr">
        <is>
          <t>Downstream</t>
        </is>
      </c>
      <c r="C145" s="530" t="inlineStr">
        <is>
          <t>[Input of the project name]</t>
        </is>
      </c>
      <c r="D145" s="531" t="inlineStr">
        <is>
          <t>[input: brief description of the project, including:</t>
        </is>
      </c>
      <c r="E145" s="518">
        <f>IF(ISBLANK(C145)=FALSE,"thsd</f>
        <v/>
      </c>
      <c r="F145" s="518">
        <f>IF(ISBLANK(C145)=FALSE,"+","")</f>
        <v/>
      </c>
      <c r="G145" s="532" t="n"/>
      <c r="H145" s="533" t="n"/>
      <c r="I145" s="533" t="n"/>
      <c r="J145" s="536" t="n"/>
      <c r="K145" s="537" t="n"/>
      <c r="L145" s="534" t="n"/>
      <c r="M145" s="534" t="n"/>
      <c r="N145" s="534" t="n"/>
      <c r="O145" s="534" t="n"/>
      <c r="P145" s="534" t="n"/>
      <c r="Q145" s="522">
        <f>IFERROR((O145-P145),"N/A")</f>
        <v/>
      </c>
      <c r="R145" s="523">
        <f>IFERROR((O145-P145)/ABS(P145),"N/A")</f>
        <v/>
      </c>
      <c r="S145" s="537" t="n"/>
      <c r="T145" s="546" t="n"/>
      <c r="U145" s="546" t="n"/>
      <c r="V145" s="522">
        <f>IFERROR((T145-U145),"N/A")</f>
        <v/>
      </c>
      <c r="W145" s="523">
        <f>IFERROR((T145-U145)/ABS(U145),"N/A")</f>
        <v/>
      </c>
      <c r="X145" s="537" t="n"/>
      <c r="Y145" s="512">
        <f>IF(ISNUMBER(SEARCH("SUMPRODUCT",_xlfn.FORMULATEXT(L145),1))=FALSE,IF(ISNUMBER(SEARCH("INDIRECT",_xlfn.FORMULATEXT(L145),1))=TRUE,1,0),2)</f>
        <v/>
      </c>
      <c r="Z145" s="525">
        <f>IFERROR(SUMPRODUCT(--(_xlfn.ISFORMULA(L145)=FALSE),--(C145&lt;&gt;"Other Projects"),--(AC145&lt;&gt;TRUE),L145),0)</f>
        <v/>
      </c>
      <c r="AA145" s="512">
        <f>IFERROR(SUMPRODUCT(--(_xlfn.ISFORMULA(L145)=FALSE),--(C145&lt;&gt;"Other Projects"),--(G145="Yes"),--(AC145&lt;&gt;TRUE),L145),0)</f>
        <v/>
      </c>
      <c r="AB145" s="512">
        <f>IF(_xlfn.ISFORMULA(L145)=TRUE,0,AB144-1)</f>
        <v/>
      </c>
      <c r="AC145" s="512" t="n"/>
    </row>
    <row r="146" outlineLevel="1" ht="63.75" customFormat="1" customHeight="1" s="266">
      <c r="A146" s="515" t="n"/>
      <c r="B146" s="526" t="inlineStr">
        <is>
          <t>Downstream</t>
        </is>
      </c>
      <c r="C146" s="530" t="inlineStr">
        <is>
          <t>[Input of the project name]</t>
        </is>
      </c>
      <c r="D146" s="531" t="inlineStr">
        <is>
          <t>[input: brief description of the project, including:</t>
        </is>
      </c>
      <c r="E146" s="518">
        <f>IF(ISBLANK(C146)=FALSE,"thsd</f>
        <v/>
      </c>
      <c r="F146" s="518">
        <f>IF(ISBLANK(C146)=FALSE,"+","")</f>
        <v/>
      </c>
      <c r="G146" s="532" t="n"/>
      <c r="H146" s="533" t="n"/>
      <c r="I146" s="533" t="n"/>
      <c r="J146" s="536" t="n"/>
      <c r="K146" s="537" t="n"/>
      <c r="L146" s="534" t="n"/>
      <c r="M146" s="534" t="n"/>
      <c r="N146" s="534" t="n"/>
      <c r="O146" s="534" t="n"/>
      <c r="P146" s="534" t="n"/>
      <c r="Q146" s="522">
        <f>IFERROR((O146-P146),"N/A")</f>
        <v/>
      </c>
      <c r="R146" s="523">
        <f>IFERROR((O146-P146)/ABS(P146),"N/A")</f>
        <v/>
      </c>
      <c r="S146" s="537" t="n"/>
      <c r="T146" s="546" t="n"/>
      <c r="U146" s="546" t="n"/>
      <c r="V146" s="522">
        <f>IFERROR((T146-U146),"N/A")</f>
        <v/>
      </c>
      <c r="W146" s="523">
        <f>IFERROR((T146-U146)/ABS(U146),"N/A")</f>
        <v/>
      </c>
      <c r="X146" s="537" t="n"/>
      <c r="Y146" s="512">
        <f>IF(ISNUMBER(SEARCH("SUMPRODUCT",_xlfn.FORMULATEXT(L146),1))=FALSE,IF(ISNUMBER(SEARCH("INDIRECT",_xlfn.FORMULATEXT(L146),1))=TRUE,1,0),2)</f>
        <v/>
      </c>
      <c r="Z146" s="525">
        <f>IFERROR(SUMPRODUCT(--(_xlfn.ISFORMULA(L146)=FALSE),--(C146&lt;&gt;"Other Projects"),--(AC146&lt;&gt;TRUE),L146),0)</f>
        <v/>
      </c>
      <c r="AA146" s="512">
        <f>IFERROR(SUMPRODUCT(--(_xlfn.ISFORMULA(L146)=FALSE),--(C146&lt;&gt;"Other Projects"),--(G146="Yes"),--(AC146&lt;&gt;TRUE),L146),0)</f>
        <v/>
      </c>
      <c r="AB146" s="512">
        <f>IF(_xlfn.ISFORMULA(L146)=TRUE,0,AB145-1)</f>
        <v/>
      </c>
      <c r="AC146" s="512" t="n"/>
    </row>
    <row r="147" outlineLevel="1" ht="63.75" customFormat="1" customHeight="1" s="266">
      <c r="A147" s="515" t="n"/>
      <c r="B147" s="526" t="inlineStr">
        <is>
          <t>Downstream</t>
        </is>
      </c>
      <c r="C147" s="530" t="inlineStr">
        <is>
          <t>[Input of the project name]</t>
        </is>
      </c>
      <c r="D147" s="531" t="inlineStr">
        <is>
          <t>[input: brief description of the project, including:</t>
        </is>
      </c>
      <c r="E147" s="518">
        <f>IF(ISBLANK(C147)=FALSE,"thsd</f>
        <v/>
      </c>
      <c r="F147" s="518">
        <f>IF(ISBLANK(C147)=FALSE,"+","")</f>
        <v/>
      </c>
      <c r="G147" s="532" t="n"/>
      <c r="H147" s="533" t="n"/>
      <c r="I147" s="533" t="n"/>
      <c r="J147" s="536" t="n"/>
      <c r="K147" s="537" t="n"/>
      <c r="L147" s="534" t="n"/>
      <c r="M147" s="534" t="n"/>
      <c r="N147" s="534" t="n"/>
      <c r="O147" s="534" t="n"/>
      <c r="P147" s="534" t="n"/>
      <c r="Q147" s="522">
        <f>IFERROR((O147-P147),"N/A")</f>
        <v/>
      </c>
      <c r="R147" s="523">
        <f>IFERROR((O147-P147)/ABS(P147),"N/A")</f>
        <v/>
      </c>
      <c r="S147" s="537" t="n"/>
      <c r="T147" s="546" t="n"/>
      <c r="U147" s="546" t="n"/>
      <c r="V147" s="522">
        <f>IFERROR((T147-U147),"N/A")</f>
        <v/>
      </c>
      <c r="W147" s="523">
        <f>IFERROR((T147-U147)/ABS(U147),"N/A")</f>
        <v/>
      </c>
      <c r="X147" s="537" t="n"/>
      <c r="Y147" s="512">
        <f>IF(ISNUMBER(SEARCH("SUMPRODUCT",_xlfn.FORMULATEXT(L147),1))=FALSE,IF(ISNUMBER(SEARCH("INDIRECT",_xlfn.FORMULATEXT(L147),1))=TRUE,1,0),2)</f>
        <v/>
      </c>
      <c r="Z147" s="525">
        <f>IFERROR(SUMPRODUCT(--(_xlfn.ISFORMULA(L147)=FALSE),--(C147&lt;&gt;"Other Projects"),--(AC147&lt;&gt;TRUE),L147),0)</f>
        <v/>
      </c>
      <c r="AA147" s="512">
        <f>IFERROR(SUMPRODUCT(--(_xlfn.ISFORMULA(L147)=FALSE),--(C147&lt;&gt;"Other Projects"),--(G147="Yes"),--(AC147&lt;&gt;TRUE),L147),0)</f>
        <v/>
      </c>
      <c r="AB147" s="512">
        <f>IF(_xlfn.ISFORMULA(L147)=TRUE,0,AB146-1)</f>
        <v/>
      </c>
      <c r="AC147" s="512" t="n"/>
    </row>
    <row r="148" outlineLevel="1" ht="63.75" customFormat="1" customHeight="1" s="266">
      <c r="A148" s="515" t="n"/>
      <c r="B148" s="526" t="inlineStr">
        <is>
          <t>Downstream</t>
        </is>
      </c>
      <c r="C148" s="530" t="inlineStr">
        <is>
          <t>[Input of the project name]</t>
        </is>
      </c>
      <c r="D148" s="531" t="inlineStr">
        <is>
          <t>[input: brief description of the project, including:</t>
        </is>
      </c>
      <c r="E148" s="518">
        <f>IF(ISBLANK(C148)=FALSE,"thsd</f>
        <v/>
      </c>
      <c r="F148" s="518">
        <f>IF(ISBLANK(C148)=FALSE,"+","")</f>
        <v/>
      </c>
      <c r="G148" s="532" t="n"/>
      <c r="H148" s="533" t="n"/>
      <c r="I148" s="533" t="n"/>
      <c r="J148" s="536" t="n"/>
      <c r="K148" s="537" t="n"/>
      <c r="L148" s="534" t="n"/>
      <c r="M148" s="534" t="n"/>
      <c r="N148" s="534" t="n"/>
      <c r="O148" s="534" t="n"/>
      <c r="P148" s="534" t="n"/>
      <c r="Q148" s="522">
        <f>IFERROR((O148-P148),"N/A")</f>
        <v/>
      </c>
      <c r="R148" s="523">
        <f>IFERROR((O148-P148)/ABS(P148),"N/A")</f>
        <v/>
      </c>
      <c r="S148" s="537" t="n"/>
      <c r="T148" s="546" t="n"/>
      <c r="U148" s="546" t="n"/>
      <c r="V148" s="522">
        <f>IFERROR((T148-U148),"N/A")</f>
        <v/>
      </c>
      <c r="W148" s="523">
        <f>IFERROR((T148-U148)/ABS(U148),"N/A")</f>
        <v/>
      </c>
      <c r="X148" s="537" t="n"/>
      <c r="Y148" s="512">
        <f>IF(ISNUMBER(SEARCH("SUMPRODUCT",_xlfn.FORMULATEXT(L148),1))=FALSE,IF(ISNUMBER(SEARCH("INDIRECT",_xlfn.FORMULATEXT(L148),1))=TRUE,1,0),2)</f>
        <v/>
      </c>
      <c r="Z148" s="525">
        <f>IFERROR(SUMPRODUCT(--(_xlfn.ISFORMULA(L148)=FALSE),--(C148&lt;&gt;"Other Projects"),--(AC148&lt;&gt;TRUE),L148),0)</f>
        <v/>
      </c>
      <c r="AA148" s="512">
        <f>IFERROR(SUMPRODUCT(--(_xlfn.ISFORMULA(L148)=FALSE),--(C148&lt;&gt;"Other Projects"),--(G148="Yes"),--(AC148&lt;&gt;TRUE),L148),0)</f>
        <v/>
      </c>
      <c r="AB148" s="512">
        <f>IF(_xlfn.ISFORMULA(L148)=TRUE,0,AB147-1)</f>
        <v/>
      </c>
      <c r="AC148" s="512" t="n"/>
    </row>
    <row r="149" outlineLevel="1" ht="63.75" customFormat="1" customHeight="1" s="266">
      <c r="A149" s="515" t="n"/>
      <c r="B149" s="526" t="inlineStr">
        <is>
          <t>Downstream</t>
        </is>
      </c>
      <c r="C149" s="530" t="inlineStr">
        <is>
          <t>[Input of the project name]</t>
        </is>
      </c>
      <c r="D149" s="531" t="inlineStr">
        <is>
          <t>[input: brief description of the project, including:</t>
        </is>
      </c>
      <c r="E149" s="518">
        <f>IF(ISBLANK(C149)=FALSE,"thsd</f>
        <v/>
      </c>
      <c r="F149" s="518">
        <f>IF(ISBLANK(C149)=FALSE,"+","")</f>
        <v/>
      </c>
      <c r="G149" s="532" t="n"/>
      <c r="H149" s="533" t="n"/>
      <c r="I149" s="533" t="n"/>
      <c r="J149" s="536" t="n"/>
      <c r="K149" s="537" t="n"/>
      <c r="L149" s="534" t="n"/>
      <c r="M149" s="534" t="n"/>
      <c r="N149" s="534" t="n"/>
      <c r="O149" s="534" t="n"/>
      <c r="P149" s="534" t="n"/>
      <c r="Q149" s="522">
        <f>IFERROR((O149-P149),"N/A")</f>
        <v/>
      </c>
      <c r="R149" s="523">
        <f>IFERROR((O149-P149)/ABS(P149),"N/A")</f>
        <v/>
      </c>
      <c r="S149" s="537" t="n"/>
      <c r="T149" s="546" t="n"/>
      <c r="U149" s="546" t="n"/>
      <c r="V149" s="522">
        <f>IFERROR((T149-U149),"N/A")</f>
        <v/>
      </c>
      <c r="W149" s="523">
        <f>IFERROR((T149-U149)/ABS(U149),"N/A")</f>
        <v/>
      </c>
      <c r="X149" s="537" t="n"/>
      <c r="Y149" s="512">
        <f>IF(ISNUMBER(SEARCH("SUMPRODUCT",_xlfn.FORMULATEXT(L149),1))=FALSE,IF(ISNUMBER(SEARCH("INDIRECT",_xlfn.FORMULATEXT(L149),1))=TRUE,1,0),2)</f>
        <v/>
      </c>
      <c r="Z149" s="525">
        <f>IFERROR(SUMPRODUCT(--(_xlfn.ISFORMULA(L149)=FALSE),--(C149&lt;&gt;"Other Projects"),--(AC149&lt;&gt;TRUE),L149),0)</f>
        <v/>
      </c>
      <c r="AA149" s="512">
        <f>IFERROR(SUMPRODUCT(--(_xlfn.ISFORMULA(L149)=FALSE),--(C149&lt;&gt;"Other Projects"),--(G149="Yes"),--(AC149&lt;&gt;TRUE),L149),0)</f>
        <v/>
      </c>
      <c r="AB149" s="512">
        <f>IF(_xlfn.ISFORMULA(L149)=TRUE,0,AB148-1)</f>
        <v/>
      </c>
      <c r="AC149" s="512" t="n"/>
    </row>
    <row r="150" outlineLevel="1" ht="63.75" customFormat="1" customHeight="1" s="266">
      <c r="A150" s="515" t="n"/>
      <c r="B150" s="526" t="inlineStr">
        <is>
          <t>Downstream</t>
        </is>
      </c>
      <c r="C150" s="530" t="inlineStr">
        <is>
          <t>[Input of the project name]</t>
        </is>
      </c>
      <c r="D150" s="531" t="inlineStr">
        <is>
          <t>[input: brief description of the project, including:</t>
        </is>
      </c>
      <c r="E150" s="518">
        <f>IF(ISBLANK(C150)=FALSE,"thsd</f>
        <v/>
      </c>
      <c r="F150" s="518">
        <f>IF(ISBLANK(C150)=FALSE,"+","")</f>
        <v/>
      </c>
      <c r="G150" s="532" t="n"/>
      <c r="H150" s="533" t="n"/>
      <c r="I150" s="533" t="n"/>
      <c r="J150" s="536" t="n"/>
      <c r="K150" s="537" t="n"/>
      <c r="L150" s="534" t="n"/>
      <c r="M150" s="534" t="n"/>
      <c r="N150" s="534" t="n"/>
      <c r="O150" s="534" t="n"/>
      <c r="P150" s="534" t="n"/>
      <c r="Q150" s="522">
        <f>IFERROR((O150-P150),"N/A")</f>
        <v/>
      </c>
      <c r="R150" s="523">
        <f>IFERROR((O150-P150)/ABS(P150),"N/A")</f>
        <v/>
      </c>
      <c r="S150" s="537" t="n"/>
      <c r="T150" s="546" t="n"/>
      <c r="U150" s="546" t="n"/>
      <c r="V150" s="522">
        <f>IFERROR((T150-U150),"N/A")</f>
        <v/>
      </c>
      <c r="W150" s="523">
        <f>IFERROR((T150-U150)/ABS(U150),"N/A")</f>
        <v/>
      </c>
      <c r="X150" s="537" t="n"/>
      <c r="Y150" s="512">
        <f>IF(ISNUMBER(SEARCH("SUMPRODUCT",_xlfn.FORMULATEXT(L150),1))=FALSE,IF(ISNUMBER(SEARCH("INDIRECT",_xlfn.FORMULATEXT(L150),1))=TRUE,1,0),2)</f>
        <v/>
      </c>
      <c r="Z150" s="525">
        <f>IFERROR(SUMPRODUCT(--(_xlfn.ISFORMULA(L150)=FALSE),--(C150&lt;&gt;"Other Projects"),--(AC150&lt;&gt;TRUE),L150),0)</f>
        <v/>
      </c>
      <c r="AA150" s="512">
        <f>IFERROR(SUMPRODUCT(--(_xlfn.ISFORMULA(L150)=FALSE),--(C150&lt;&gt;"Other Projects"),--(G150="Yes"),--(AC150&lt;&gt;TRUE),L150),0)</f>
        <v/>
      </c>
      <c r="AB150" s="512">
        <f>IF(_xlfn.ISFORMULA(L150)=TRUE,0,AB149-1)</f>
        <v/>
      </c>
      <c r="AC150" s="512" t="n"/>
    </row>
    <row r="151" outlineLevel="1" ht="63.75" customFormat="1" customHeight="1" s="266">
      <c r="A151" s="515" t="n"/>
      <c r="B151" s="526" t="inlineStr">
        <is>
          <t>Downstream</t>
        </is>
      </c>
      <c r="C151" s="530" t="inlineStr">
        <is>
          <t>[Input of the project name]</t>
        </is>
      </c>
      <c r="D151" s="531" t="inlineStr">
        <is>
          <t>[input: brief description of the project, including:</t>
        </is>
      </c>
      <c r="E151" s="518">
        <f>IF(ISBLANK(C151)=FALSE,"thsd</f>
        <v/>
      </c>
      <c r="F151" s="518">
        <f>IF(ISBLANK(C151)=FALSE,"+","")</f>
        <v/>
      </c>
      <c r="G151" s="532" t="n"/>
      <c r="H151" s="533" t="n"/>
      <c r="I151" s="533" t="n"/>
      <c r="J151" s="536" t="n"/>
      <c r="K151" s="537" t="n"/>
      <c r="L151" s="534" t="n"/>
      <c r="M151" s="534" t="n"/>
      <c r="N151" s="534" t="n"/>
      <c r="O151" s="534" t="n"/>
      <c r="P151" s="534" t="n"/>
      <c r="Q151" s="522">
        <f>IFERROR((O151-P151),"N/A")</f>
        <v/>
      </c>
      <c r="R151" s="523">
        <f>IFERROR((O151-P151)/ABS(P151),"N/A")</f>
        <v/>
      </c>
      <c r="S151" s="537" t="n"/>
      <c r="T151" s="546" t="n"/>
      <c r="U151" s="546" t="n"/>
      <c r="V151" s="522">
        <f>IFERROR((T151-U151),"N/A")</f>
        <v/>
      </c>
      <c r="W151" s="523">
        <f>IFERROR((T151-U151)/ABS(U151),"N/A")</f>
        <v/>
      </c>
      <c r="X151" s="537" t="n"/>
      <c r="Y151" s="512">
        <f>IF(ISNUMBER(SEARCH("SUMPRODUCT",_xlfn.FORMULATEXT(L151),1))=FALSE,IF(ISNUMBER(SEARCH("INDIRECT",_xlfn.FORMULATEXT(L151),1))=TRUE,1,0),2)</f>
        <v/>
      </c>
      <c r="Z151" s="525">
        <f>IFERROR(SUMPRODUCT(--(_xlfn.ISFORMULA(L151)=FALSE),--(C151&lt;&gt;"Other Projects"),--(AC151&lt;&gt;TRUE),L151),0)</f>
        <v/>
      </c>
      <c r="AA151" s="512">
        <f>IFERROR(SUMPRODUCT(--(_xlfn.ISFORMULA(L151)=FALSE),--(C151&lt;&gt;"Other Projects"),--(G151="Yes"),--(AC151&lt;&gt;TRUE),L151),0)</f>
        <v/>
      </c>
      <c r="AB151" s="512">
        <f>IF(_xlfn.ISFORMULA(L151)=TRUE,0,AB150-1)</f>
        <v/>
      </c>
      <c r="AC151" s="512" t="n"/>
    </row>
    <row r="152" outlineLevel="1" ht="63.75" customFormat="1" customHeight="1" s="266">
      <c r="A152" s="515" t="n"/>
      <c r="B152" s="526" t="inlineStr">
        <is>
          <t>Downstream</t>
        </is>
      </c>
      <c r="C152" s="530" t="inlineStr">
        <is>
          <t>[Input of the project name]</t>
        </is>
      </c>
      <c r="D152" s="531" t="inlineStr">
        <is>
          <t>[input: brief description of the project, including:</t>
        </is>
      </c>
      <c r="E152" s="518">
        <f>IF(ISBLANK(C152)=FALSE,"thsd</f>
        <v/>
      </c>
      <c r="F152" s="518">
        <f>IF(ISBLANK(C152)=FALSE,"+","")</f>
        <v/>
      </c>
      <c r="G152" s="532" t="n"/>
      <c r="H152" s="533" t="n"/>
      <c r="I152" s="533" t="n"/>
      <c r="J152" s="536" t="n"/>
      <c r="K152" s="537" t="n"/>
      <c r="L152" s="534" t="n"/>
      <c r="M152" s="534" t="n"/>
      <c r="N152" s="534" t="n"/>
      <c r="O152" s="534" t="n"/>
      <c r="P152" s="534" t="n"/>
      <c r="Q152" s="522">
        <f>IFERROR((O152-P152),"N/A")</f>
        <v/>
      </c>
      <c r="R152" s="523">
        <f>IFERROR((O152-P152)/ABS(P152),"N/A")</f>
        <v/>
      </c>
      <c r="S152" s="537" t="n"/>
      <c r="T152" s="546" t="n"/>
      <c r="U152" s="546" t="n"/>
      <c r="V152" s="522">
        <f>IFERROR((T152-U152),"N/A")</f>
        <v/>
      </c>
      <c r="W152" s="523">
        <f>IFERROR((T152-U152)/ABS(U152),"N/A")</f>
        <v/>
      </c>
      <c r="X152" s="537" t="n"/>
      <c r="Y152" s="512">
        <f>IF(ISNUMBER(SEARCH("SUMPRODUCT",_xlfn.FORMULATEXT(L152),1))=FALSE,IF(ISNUMBER(SEARCH("INDIRECT",_xlfn.FORMULATEXT(L152),1))=TRUE,1,0),2)</f>
        <v/>
      </c>
      <c r="Z152" s="525">
        <f>IFERROR(SUMPRODUCT(--(_xlfn.ISFORMULA(L152)=FALSE),--(C152&lt;&gt;"Other Projects"),--(AC152&lt;&gt;TRUE),L152),0)</f>
        <v/>
      </c>
      <c r="AA152" s="512">
        <f>IFERROR(SUMPRODUCT(--(_xlfn.ISFORMULA(L152)=FALSE),--(C152&lt;&gt;"Other Projects"),--(G152="Yes"),--(AC152&lt;&gt;TRUE),L152),0)</f>
        <v/>
      </c>
      <c r="AB152" s="512">
        <f>IF(_xlfn.ISFORMULA(L152)=TRUE,0,AB151-1)</f>
        <v/>
      </c>
      <c r="AC152" s="512" t="n"/>
    </row>
    <row r="153" outlineLevel="1" ht="63.75" customFormat="1" customHeight="1" s="266">
      <c r="A153" s="515" t="n"/>
      <c r="B153" s="526" t="inlineStr">
        <is>
          <t>Downstream</t>
        </is>
      </c>
      <c r="C153" s="530" t="inlineStr">
        <is>
          <t>[Input of the project name]</t>
        </is>
      </c>
      <c r="D153" s="531" t="inlineStr">
        <is>
          <t>[input: brief description of the project, including:</t>
        </is>
      </c>
      <c r="E153" s="518">
        <f>IF(ISBLANK(C153)=FALSE,"thsd</f>
        <v/>
      </c>
      <c r="F153" s="518">
        <f>IF(ISBLANK(C153)=FALSE,"+","")</f>
        <v/>
      </c>
      <c r="G153" s="532" t="n"/>
      <c r="H153" s="533" t="n"/>
      <c r="I153" s="533" t="n"/>
      <c r="J153" s="536" t="n"/>
      <c r="K153" s="537" t="n"/>
      <c r="L153" s="534" t="n"/>
      <c r="M153" s="534" t="n"/>
      <c r="N153" s="534" t="n"/>
      <c r="O153" s="534" t="n"/>
      <c r="P153" s="534" t="n"/>
      <c r="Q153" s="522">
        <f>IFERROR((O153-P153),"N/A")</f>
        <v/>
      </c>
      <c r="R153" s="523">
        <f>IFERROR((O153-P153)/ABS(P153),"N/A")</f>
        <v/>
      </c>
      <c r="S153" s="537" t="n"/>
      <c r="T153" s="546" t="n"/>
      <c r="U153" s="546" t="n"/>
      <c r="V153" s="522">
        <f>IFERROR((T153-U153),"N/A")</f>
        <v/>
      </c>
      <c r="W153" s="523">
        <f>IFERROR((T153-U153)/ABS(U153),"N/A")</f>
        <v/>
      </c>
      <c r="X153" s="537" t="n"/>
      <c r="Y153" s="512">
        <f>IF(ISNUMBER(SEARCH("SUMPRODUCT",_xlfn.FORMULATEXT(L153),1))=FALSE,IF(ISNUMBER(SEARCH("INDIRECT",_xlfn.FORMULATEXT(L153),1))=TRUE,1,0),2)</f>
        <v/>
      </c>
      <c r="Z153" s="525">
        <f>IFERROR(SUMPRODUCT(--(_xlfn.ISFORMULA(L153)=FALSE),--(C153&lt;&gt;"Other Projects"),--(AC153&lt;&gt;TRUE),L153),0)</f>
        <v/>
      </c>
      <c r="AA153" s="512">
        <f>IFERROR(SUMPRODUCT(--(_xlfn.ISFORMULA(L153)=FALSE),--(C153&lt;&gt;"Other Projects"),--(G153="Yes"),--(AC153&lt;&gt;TRUE),L153),0)</f>
        <v/>
      </c>
      <c r="AB153" s="512">
        <f>IF(_xlfn.ISFORMULA(L153)=TRUE,0,AB152-1)</f>
        <v/>
      </c>
      <c r="AC153" s="512" t="n"/>
    </row>
    <row r="154" outlineLevel="1" ht="63.75" customFormat="1" customHeight="1" s="266">
      <c r="A154" s="515" t="n"/>
      <c r="B154" s="526" t="inlineStr">
        <is>
          <t>Downstream</t>
        </is>
      </c>
      <c r="C154" s="530" t="inlineStr">
        <is>
          <t>[Input of the project name]</t>
        </is>
      </c>
      <c r="D154" s="531" t="inlineStr">
        <is>
          <t>[input: brief description of the project, including:</t>
        </is>
      </c>
      <c r="E154" s="518">
        <f>IF(ISBLANK(C154)=FALSE,"thsd</f>
        <v/>
      </c>
      <c r="F154" s="518">
        <f>IF(ISBLANK(C154)=FALSE,"+","")</f>
        <v/>
      </c>
      <c r="G154" s="532" t="n"/>
      <c r="H154" s="533" t="n"/>
      <c r="I154" s="533" t="n"/>
      <c r="J154" s="536" t="n"/>
      <c r="K154" s="537" t="n"/>
      <c r="L154" s="534" t="n"/>
      <c r="M154" s="534" t="n"/>
      <c r="N154" s="534" t="n"/>
      <c r="O154" s="534" t="n"/>
      <c r="P154" s="534" t="n"/>
      <c r="Q154" s="522">
        <f>IFERROR((O154-P154),"N/A")</f>
        <v/>
      </c>
      <c r="R154" s="523">
        <f>IFERROR((O154-P154)/ABS(P154),"N/A")</f>
        <v/>
      </c>
      <c r="S154" s="537" t="n"/>
      <c r="T154" s="546" t="n"/>
      <c r="U154" s="546" t="n"/>
      <c r="V154" s="522">
        <f>IFERROR((T154-U154),"N/A")</f>
        <v/>
      </c>
      <c r="W154" s="523">
        <f>IFERROR((T154-U154)/ABS(U154),"N/A")</f>
        <v/>
      </c>
      <c r="X154" s="537" t="n"/>
      <c r="Y154" s="512">
        <f>IF(ISNUMBER(SEARCH("SUMPRODUCT",_xlfn.FORMULATEXT(L154),1))=FALSE,IF(ISNUMBER(SEARCH("INDIRECT",_xlfn.FORMULATEXT(L154),1))=TRUE,1,0),2)</f>
        <v/>
      </c>
      <c r="Z154" s="525">
        <f>IFERROR(SUMPRODUCT(--(_xlfn.ISFORMULA(L154)=FALSE),--(C154&lt;&gt;"Other Projects"),--(AC154&lt;&gt;TRUE),L154),0)</f>
        <v/>
      </c>
      <c r="AA154" s="512">
        <f>IFERROR(SUMPRODUCT(--(_xlfn.ISFORMULA(L154)=FALSE),--(C154&lt;&gt;"Other Projects"),--(G154="Yes"),--(AC154&lt;&gt;TRUE),L154),0)</f>
        <v/>
      </c>
      <c r="AB154" s="512">
        <f>IF(_xlfn.ISFORMULA(L154)=TRUE,0,AB153-1)</f>
        <v/>
      </c>
      <c r="AC154" s="512" t="n"/>
    </row>
    <row r="155" outlineLevel="1" ht="63.75" customFormat="1" customHeight="1" s="266">
      <c r="A155" s="515" t="n"/>
      <c r="B155" s="526" t="inlineStr">
        <is>
          <t>Downstream</t>
        </is>
      </c>
      <c r="C155" s="530" t="inlineStr">
        <is>
          <t>[Input of the project name]</t>
        </is>
      </c>
      <c r="D155" s="531" t="inlineStr">
        <is>
          <t>[input: brief description of the project, including:</t>
        </is>
      </c>
      <c r="E155" s="518">
        <f>IF(ISBLANK(C155)=FALSE,"thsd</f>
        <v/>
      </c>
      <c r="F155" s="518">
        <f>IF(ISBLANK(C155)=FALSE,"+","")</f>
        <v/>
      </c>
      <c r="G155" s="532" t="n"/>
      <c r="H155" s="533" t="n"/>
      <c r="I155" s="533" t="n"/>
      <c r="J155" s="536" t="n"/>
      <c r="K155" s="537" t="n"/>
      <c r="L155" s="534" t="n"/>
      <c r="M155" s="534" t="n"/>
      <c r="N155" s="534" t="n"/>
      <c r="O155" s="534" t="n"/>
      <c r="P155" s="534" t="n"/>
      <c r="Q155" s="522">
        <f>IFERROR((O155-P155),"N/A")</f>
        <v/>
      </c>
      <c r="R155" s="523">
        <f>IFERROR((O155-P155)/ABS(P155),"N/A")</f>
        <v/>
      </c>
      <c r="S155" s="537" t="n"/>
      <c r="T155" s="546" t="n"/>
      <c r="U155" s="546" t="n"/>
      <c r="V155" s="522">
        <f>IFERROR((T155-U155),"N/A")</f>
        <v/>
      </c>
      <c r="W155" s="523">
        <f>IFERROR((T155-U155)/ABS(U155),"N/A")</f>
        <v/>
      </c>
      <c r="X155" s="537" t="n"/>
      <c r="Y155" s="512">
        <f>IF(ISNUMBER(SEARCH("SUMPRODUCT",_xlfn.FORMULATEXT(L155),1))=FALSE,IF(ISNUMBER(SEARCH("INDIRECT",_xlfn.FORMULATEXT(L155),1))=TRUE,1,0),2)</f>
        <v/>
      </c>
      <c r="Z155" s="525">
        <f>IFERROR(SUMPRODUCT(--(_xlfn.ISFORMULA(L155)=FALSE),--(C155&lt;&gt;"Other Projects"),--(AC155&lt;&gt;TRUE),L155),0)</f>
        <v/>
      </c>
      <c r="AA155" s="512">
        <f>IFERROR(SUMPRODUCT(--(_xlfn.ISFORMULA(L155)=FALSE),--(C155&lt;&gt;"Other Projects"),--(G155="Yes"),--(AC155&lt;&gt;TRUE),L155),0)</f>
        <v/>
      </c>
      <c r="AB155" s="512">
        <f>IF(_xlfn.ISFORMULA(L155)=TRUE,0,AB154-1)</f>
        <v/>
      </c>
      <c r="AC155" s="512" t="n"/>
    </row>
    <row r="156" outlineLevel="1" ht="63.75" customFormat="1" customHeight="1" s="266">
      <c r="A156" s="515" t="n"/>
      <c r="B156" s="526" t="inlineStr">
        <is>
          <t>Downstream</t>
        </is>
      </c>
      <c r="C156" s="530" t="inlineStr">
        <is>
          <t>[Input of the project name]</t>
        </is>
      </c>
      <c r="D156" s="531" t="inlineStr">
        <is>
          <t>[input: brief description of the project, including:</t>
        </is>
      </c>
      <c r="E156" s="518">
        <f>IF(ISBLANK(C156)=FALSE,"thsd</f>
        <v/>
      </c>
      <c r="F156" s="518">
        <f>IF(ISBLANK(C156)=FALSE,"+","")</f>
        <v/>
      </c>
      <c r="G156" s="532" t="n"/>
      <c r="H156" s="533" t="n"/>
      <c r="I156" s="533" t="n"/>
      <c r="J156" s="536" t="n"/>
      <c r="K156" s="537" t="n"/>
      <c r="L156" s="534" t="n"/>
      <c r="M156" s="534" t="n"/>
      <c r="N156" s="534" t="n"/>
      <c r="O156" s="534" t="n"/>
      <c r="P156" s="534" t="n"/>
      <c r="Q156" s="522">
        <f>IFERROR((O156-P156),"N/A")</f>
        <v/>
      </c>
      <c r="R156" s="523">
        <f>IFERROR((O156-P156)/ABS(P156),"N/A")</f>
        <v/>
      </c>
      <c r="S156" s="537" t="n"/>
      <c r="T156" s="546" t="n"/>
      <c r="U156" s="546" t="n"/>
      <c r="V156" s="522">
        <f>IFERROR((T156-U156),"N/A")</f>
        <v/>
      </c>
      <c r="W156" s="523">
        <f>IFERROR((T156-U156)/ABS(U156),"N/A")</f>
        <v/>
      </c>
      <c r="X156" s="537" t="n"/>
      <c r="Y156" s="512">
        <f>IF(ISNUMBER(SEARCH("SUMPRODUCT",_xlfn.FORMULATEXT(L156),1))=FALSE,IF(ISNUMBER(SEARCH("INDIRECT",_xlfn.FORMULATEXT(L156),1))=TRUE,1,0),2)</f>
        <v/>
      </c>
      <c r="Z156" s="525">
        <f>IFERROR(SUMPRODUCT(--(_xlfn.ISFORMULA(L156)=FALSE),--(C156&lt;&gt;"Other Projects"),--(AC156&lt;&gt;TRUE),L156),0)</f>
        <v/>
      </c>
      <c r="AA156" s="512">
        <f>IFERROR(SUMPRODUCT(--(_xlfn.ISFORMULA(L156)=FALSE),--(C156&lt;&gt;"Other Projects"),--(G156="Yes"),--(AC156&lt;&gt;TRUE),L156),0)</f>
        <v/>
      </c>
      <c r="AB156" s="512">
        <f>IF(_xlfn.ISFORMULA(L156)=TRUE,0,AB155-1)</f>
        <v/>
      </c>
      <c r="AC156" s="512" t="n"/>
    </row>
    <row r="157" outlineLevel="1" ht="63.75" customFormat="1" customHeight="1" s="266">
      <c r="A157" s="515" t="n"/>
      <c r="B157" s="526" t="inlineStr">
        <is>
          <t>Downstream</t>
        </is>
      </c>
      <c r="C157" s="530" t="inlineStr">
        <is>
          <t>[Input of the project name]</t>
        </is>
      </c>
      <c r="D157" s="531" t="inlineStr">
        <is>
          <t>[input: brief description of the project, including:</t>
        </is>
      </c>
      <c r="E157" s="518">
        <f>IF(ISBLANK(C157)=FALSE,"thsd</f>
        <v/>
      </c>
      <c r="F157" s="518">
        <f>IF(ISBLANK(C157)=FALSE,"+","")</f>
        <v/>
      </c>
      <c r="G157" s="532" t="n"/>
      <c r="H157" s="533" t="n"/>
      <c r="I157" s="533" t="n"/>
      <c r="J157" s="536" t="n"/>
      <c r="K157" s="537" t="n"/>
      <c r="L157" s="534" t="n"/>
      <c r="M157" s="534" t="n"/>
      <c r="N157" s="534" t="n"/>
      <c r="O157" s="534" t="n"/>
      <c r="P157" s="534" t="n"/>
      <c r="Q157" s="522">
        <f>IFERROR((O157-P157),"N/A")</f>
        <v/>
      </c>
      <c r="R157" s="523">
        <f>IFERROR((O157-P157)/ABS(P157),"N/A")</f>
        <v/>
      </c>
      <c r="S157" s="537" t="n"/>
      <c r="T157" s="546" t="n"/>
      <c r="U157" s="546" t="n"/>
      <c r="V157" s="522">
        <f>IFERROR((T157-U157),"N/A")</f>
        <v/>
      </c>
      <c r="W157" s="523">
        <f>IFERROR((T157-U157)/ABS(U157),"N/A")</f>
        <v/>
      </c>
      <c r="X157" s="537" t="n"/>
      <c r="Y157" s="512">
        <f>IF(ISNUMBER(SEARCH("SUMPRODUCT",_xlfn.FORMULATEXT(L157),1))=FALSE,IF(ISNUMBER(SEARCH("INDIRECT",_xlfn.FORMULATEXT(L157),1))=TRUE,1,0),2)</f>
        <v/>
      </c>
      <c r="Z157" s="525">
        <f>IFERROR(SUMPRODUCT(--(_xlfn.ISFORMULA(L157)=FALSE),--(C157&lt;&gt;"Other Projects"),--(AC157&lt;&gt;TRUE),L157),0)</f>
        <v/>
      </c>
      <c r="AA157" s="512">
        <f>IFERROR(SUMPRODUCT(--(_xlfn.ISFORMULA(L157)=FALSE),--(C157&lt;&gt;"Other Projects"),--(G157="Yes"),--(AC157&lt;&gt;TRUE),L157),0)</f>
        <v/>
      </c>
      <c r="AB157" s="512">
        <f>IF(_xlfn.ISFORMULA(L157)=TRUE,0,AB156-1)</f>
        <v/>
      </c>
      <c r="AC157" s="512" t="n"/>
    </row>
    <row r="158" outlineLevel="1" ht="63.75" customFormat="1" customHeight="1" s="266">
      <c r="A158" s="515" t="n"/>
      <c r="B158" s="526" t="inlineStr">
        <is>
          <t>Downstream</t>
        </is>
      </c>
      <c r="C158" s="530" t="inlineStr">
        <is>
          <t>[Input of the project name]</t>
        </is>
      </c>
      <c r="D158" s="531" t="inlineStr">
        <is>
          <t>[input: brief description of the project, including:</t>
        </is>
      </c>
      <c r="E158" s="518">
        <f>IF(ISBLANK(C158)=FALSE,"thsd</f>
        <v/>
      </c>
      <c r="F158" s="518">
        <f>IF(ISBLANK(C158)=FALSE,"+","")</f>
        <v/>
      </c>
      <c r="G158" s="532" t="n"/>
      <c r="H158" s="533" t="n"/>
      <c r="I158" s="533" t="n"/>
      <c r="J158" s="536" t="n"/>
      <c r="K158" s="537" t="n"/>
      <c r="L158" s="534" t="n"/>
      <c r="M158" s="534" t="n"/>
      <c r="N158" s="534" t="n"/>
      <c r="O158" s="534" t="n"/>
      <c r="P158" s="534" t="n"/>
      <c r="Q158" s="522">
        <f>IFERROR((O158-P158),"N/A")</f>
        <v/>
      </c>
      <c r="R158" s="523">
        <f>IFERROR((O158-P158)/ABS(P158),"N/A")</f>
        <v/>
      </c>
      <c r="S158" s="537" t="n"/>
      <c r="T158" s="546" t="n"/>
      <c r="U158" s="546" t="n"/>
      <c r="V158" s="522">
        <f>IFERROR((T158-U158),"N/A")</f>
        <v/>
      </c>
      <c r="W158" s="523">
        <f>IFERROR((T158-U158)/ABS(U158),"N/A")</f>
        <v/>
      </c>
      <c r="X158" s="537" t="n"/>
      <c r="Y158" s="512">
        <f>IF(ISNUMBER(SEARCH("SUMPRODUCT",_xlfn.FORMULATEXT(L158),1))=FALSE,IF(ISNUMBER(SEARCH("INDIRECT",_xlfn.FORMULATEXT(L158),1))=TRUE,1,0),2)</f>
        <v/>
      </c>
      <c r="Z158" s="525">
        <f>IFERROR(SUMPRODUCT(--(_xlfn.ISFORMULA(L158)=FALSE),--(C158&lt;&gt;"Other Projects"),--(AC158&lt;&gt;TRUE),L158),0)</f>
        <v/>
      </c>
      <c r="AA158" s="512">
        <f>IFERROR(SUMPRODUCT(--(_xlfn.ISFORMULA(L158)=FALSE),--(C158&lt;&gt;"Other Projects"),--(G158="Yes"),--(AC158&lt;&gt;TRUE),L158),0)</f>
        <v/>
      </c>
      <c r="AB158" s="512">
        <f>IF(_xlfn.ISFORMULA(L158)=TRUE,0,AB157-1)</f>
        <v/>
      </c>
      <c r="AC158" s="512" t="n"/>
    </row>
    <row r="159" outlineLevel="1" ht="63.75" customFormat="1" customHeight="1" s="266">
      <c r="A159" s="515" t="n"/>
      <c r="B159" s="526" t="inlineStr">
        <is>
          <t>Downstream</t>
        </is>
      </c>
      <c r="C159" s="530" t="inlineStr">
        <is>
          <t>[Input of the project name]</t>
        </is>
      </c>
      <c r="D159" s="531" t="inlineStr">
        <is>
          <t>[input: brief description of the project, including:</t>
        </is>
      </c>
      <c r="E159" s="518">
        <f>IF(ISBLANK(C159)=FALSE,"thsd</f>
        <v/>
      </c>
      <c r="F159" s="518">
        <f>IF(ISBLANK(C159)=FALSE,"+","")</f>
        <v/>
      </c>
      <c r="G159" s="532" t="n"/>
      <c r="H159" s="533" t="n"/>
      <c r="I159" s="533" t="n"/>
      <c r="J159" s="536" t="n"/>
      <c r="K159" s="537" t="n"/>
      <c r="L159" s="534" t="n"/>
      <c r="M159" s="534" t="n"/>
      <c r="N159" s="534" t="n"/>
      <c r="O159" s="534" t="n"/>
      <c r="P159" s="534" t="n"/>
      <c r="Q159" s="522">
        <f>IFERROR((O159-P159),"N/A")</f>
        <v/>
      </c>
      <c r="R159" s="523">
        <f>IFERROR((O159-P159)/ABS(P159),"N/A")</f>
        <v/>
      </c>
      <c r="S159" s="537" t="n"/>
      <c r="T159" s="546" t="n"/>
      <c r="U159" s="546" t="n"/>
      <c r="V159" s="522">
        <f>IFERROR((T159-U159),"N/A")</f>
        <v/>
      </c>
      <c r="W159" s="523">
        <f>IFERROR((T159-U159)/ABS(U159),"N/A")</f>
        <v/>
      </c>
      <c r="X159" s="537" t="n"/>
      <c r="Y159" s="512">
        <f>IF(ISNUMBER(SEARCH("SUMPRODUCT",_xlfn.FORMULATEXT(L159),1))=FALSE,IF(ISNUMBER(SEARCH("INDIRECT",_xlfn.FORMULATEXT(L159),1))=TRUE,1,0),2)</f>
        <v/>
      </c>
      <c r="Z159" s="525">
        <f>IFERROR(SUMPRODUCT(--(_xlfn.ISFORMULA(L159)=FALSE),--(C159&lt;&gt;"Other Projects"),--(AC159&lt;&gt;TRUE),L159),0)</f>
        <v/>
      </c>
      <c r="AA159" s="512">
        <f>IFERROR(SUMPRODUCT(--(_xlfn.ISFORMULA(L159)=FALSE),--(C159&lt;&gt;"Other Projects"),--(G159="Yes"),--(AC159&lt;&gt;TRUE),L159),0)</f>
        <v/>
      </c>
      <c r="AB159" s="512">
        <f>IF(_xlfn.ISFORMULA(L159)=TRUE,0,AB158-1)</f>
        <v/>
      </c>
      <c r="AC159" s="512" t="n"/>
    </row>
    <row r="160" outlineLevel="1" ht="63.75" customFormat="1" customHeight="1" s="266">
      <c r="A160" s="515" t="n"/>
      <c r="B160" s="526" t="inlineStr">
        <is>
          <t>Downstream</t>
        </is>
      </c>
      <c r="C160" s="530" t="inlineStr">
        <is>
          <t>[Input of the project name]</t>
        </is>
      </c>
      <c r="D160" s="531" t="inlineStr">
        <is>
          <t>[input: brief description of the project, including:</t>
        </is>
      </c>
      <c r="E160" s="518">
        <f>IF(ISBLANK(C160)=FALSE,"thsd</f>
        <v/>
      </c>
      <c r="F160" s="518">
        <f>IF(ISBLANK(C160)=FALSE,"+","")</f>
        <v/>
      </c>
      <c r="G160" s="532" t="n"/>
      <c r="H160" s="533" t="n"/>
      <c r="I160" s="533" t="n"/>
      <c r="J160" s="536" t="n"/>
      <c r="K160" s="537" t="n"/>
      <c r="L160" s="534" t="n"/>
      <c r="M160" s="534" t="n"/>
      <c r="N160" s="534" t="n"/>
      <c r="O160" s="534" t="n"/>
      <c r="P160" s="534" t="n"/>
      <c r="Q160" s="522">
        <f>IFERROR((O160-P160),"N/A")</f>
        <v/>
      </c>
      <c r="R160" s="523">
        <f>IFERROR((O160-P160)/ABS(P160),"N/A")</f>
        <v/>
      </c>
      <c r="S160" s="537" t="n"/>
      <c r="T160" s="546" t="n"/>
      <c r="U160" s="546" t="n"/>
      <c r="V160" s="522">
        <f>IFERROR((T160-U160),"N/A")</f>
        <v/>
      </c>
      <c r="W160" s="523">
        <f>IFERROR((T160-U160)/ABS(U160),"N/A")</f>
        <v/>
      </c>
      <c r="X160" s="537" t="n"/>
      <c r="Y160" s="512">
        <f>IF(ISNUMBER(SEARCH("SUMPRODUCT",_xlfn.FORMULATEXT(L160),1))=FALSE,IF(ISNUMBER(SEARCH("INDIRECT",_xlfn.FORMULATEXT(L160),1))=TRUE,1,0),2)</f>
        <v/>
      </c>
      <c r="Z160" s="525">
        <f>IFERROR(SUMPRODUCT(--(_xlfn.ISFORMULA(L160)=FALSE),--(C160&lt;&gt;"Other Projects"),--(AC160&lt;&gt;TRUE),L160),0)</f>
        <v/>
      </c>
      <c r="AA160" s="512">
        <f>IFERROR(SUMPRODUCT(--(_xlfn.ISFORMULA(L160)=FALSE),--(C160&lt;&gt;"Other Projects"),--(G160="Yes"),--(AC160&lt;&gt;TRUE),L160),0)</f>
        <v/>
      </c>
      <c r="AB160" s="512">
        <f>IF(_xlfn.ISFORMULA(L160)=TRUE,0,AB159-1)</f>
        <v/>
      </c>
      <c r="AC160" s="512" t="n"/>
    </row>
    <row r="161" outlineLevel="1" ht="63.75" customFormat="1" customHeight="1" s="266">
      <c r="A161" s="515" t="n"/>
      <c r="B161" s="526" t="inlineStr">
        <is>
          <t>Downstream</t>
        </is>
      </c>
      <c r="C161" s="530" t="inlineStr">
        <is>
          <t>[Input of the project name]</t>
        </is>
      </c>
      <c r="D161" s="531" t="inlineStr">
        <is>
          <t>[input: brief description of the project, including:</t>
        </is>
      </c>
      <c r="E161" s="518">
        <f>IF(ISBLANK(C161)=FALSE,"thsd</f>
        <v/>
      </c>
      <c r="F161" s="518">
        <f>IF(ISBLANK(C161)=FALSE,"+","")</f>
        <v/>
      </c>
      <c r="G161" s="532" t="n"/>
      <c r="H161" s="533" t="n"/>
      <c r="I161" s="533" t="n"/>
      <c r="J161" s="536" t="n"/>
      <c r="K161" s="537" t="n"/>
      <c r="L161" s="534" t="n"/>
      <c r="M161" s="534" t="n"/>
      <c r="N161" s="534" t="n"/>
      <c r="O161" s="534" t="n"/>
      <c r="P161" s="534" t="n"/>
      <c r="Q161" s="522">
        <f>IFERROR((O161-P161),"N/A")</f>
        <v/>
      </c>
      <c r="R161" s="523">
        <f>IFERROR((O161-P161)/ABS(P161),"N/A")</f>
        <v/>
      </c>
      <c r="S161" s="537" t="n"/>
      <c r="T161" s="546" t="n"/>
      <c r="U161" s="546" t="n"/>
      <c r="V161" s="522">
        <f>IFERROR((T161-U161),"N/A")</f>
        <v/>
      </c>
      <c r="W161" s="523">
        <f>IFERROR((T161-U161)/ABS(U161),"N/A")</f>
        <v/>
      </c>
      <c r="X161" s="537" t="n"/>
      <c r="Y161" s="512">
        <f>IF(ISNUMBER(SEARCH("SUMPRODUCT",_xlfn.FORMULATEXT(L161),1))=FALSE,IF(ISNUMBER(SEARCH("INDIRECT",_xlfn.FORMULATEXT(L161),1))=TRUE,1,0),2)</f>
        <v/>
      </c>
      <c r="Z161" s="525">
        <f>IFERROR(SUMPRODUCT(--(_xlfn.ISFORMULA(L161)=FALSE),--(C161&lt;&gt;"Other Projects"),--(AC161&lt;&gt;TRUE),L161),0)</f>
        <v/>
      </c>
      <c r="AA161" s="512">
        <f>IFERROR(SUMPRODUCT(--(_xlfn.ISFORMULA(L161)=FALSE),--(C161&lt;&gt;"Other Projects"),--(G161="Yes"),--(AC161&lt;&gt;TRUE),L161),0)</f>
        <v/>
      </c>
      <c r="AB161" s="512">
        <f>IF(_xlfn.ISFORMULA(L161)=TRUE,0,AB160-1)</f>
        <v/>
      </c>
      <c r="AC161" s="512" t="n"/>
    </row>
    <row r="162" outlineLevel="1" ht="63.75" customFormat="1" customHeight="1" s="266">
      <c r="A162" s="515" t="n"/>
      <c r="B162" s="526" t="inlineStr">
        <is>
          <t>Downstream</t>
        </is>
      </c>
      <c r="C162" s="530" t="inlineStr">
        <is>
          <t>[Input of the project name]</t>
        </is>
      </c>
      <c r="D162" s="531" t="inlineStr">
        <is>
          <t>[input: brief description of the project, including:</t>
        </is>
      </c>
      <c r="E162" s="518">
        <f>IF(ISBLANK(C162)=FALSE,"thsd</f>
        <v/>
      </c>
      <c r="F162" s="518">
        <f>IF(ISBLANK(C162)=FALSE,"+","")</f>
        <v/>
      </c>
      <c r="G162" s="532" t="n"/>
      <c r="H162" s="533" t="n"/>
      <c r="I162" s="533" t="n"/>
      <c r="J162" s="536" t="n"/>
      <c r="K162" s="537" t="n"/>
      <c r="L162" s="534" t="n"/>
      <c r="M162" s="534" t="n"/>
      <c r="N162" s="534" t="n"/>
      <c r="O162" s="534" t="n"/>
      <c r="P162" s="534" t="n"/>
      <c r="Q162" s="522">
        <f>IFERROR((O162-P162),"N/A")</f>
        <v/>
      </c>
      <c r="R162" s="523">
        <f>IFERROR((O162-P162)/ABS(P162),"N/A")</f>
        <v/>
      </c>
      <c r="S162" s="537" t="n"/>
      <c r="T162" s="546" t="n"/>
      <c r="U162" s="546" t="n"/>
      <c r="V162" s="522">
        <f>IFERROR((T162-U162),"N/A")</f>
        <v/>
      </c>
      <c r="W162" s="523">
        <f>IFERROR((T162-U162)/ABS(U162),"N/A")</f>
        <v/>
      </c>
      <c r="X162" s="537" t="n"/>
      <c r="Y162" s="512">
        <f>IF(ISNUMBER(SEARCH("SUMPRODUCT",_xlfn.FORMULATEXT(L162),1))=FALSE,IF(ISNUMBER(SEARCH("INDIRECT",_xlfn.FORMULATEXT(L162),1))=TRUE,1,0),2)</f>
        <v/>
      </c>
      <c r="Z162" s="525">
        <f>IFERROR(SUMPRODUCT(--(_xlfn.ISFORMULA(L162)=FALSE),--(C162&lt;&gt;"Other Projects"),--(AC162&lt;&gt;TRUE),L162),0)</f>
        <v/>
      </c>
      <c r="AA162" s="512">
        <f>IFERROR(SUMPRODUCT(--(_xlfn.ISFORMULA(L162)=FALSE),--(C162&lt;&gt;"Other Projects"),--(G162="Yes"),--(AC162&lt;&gt;TRUE),L162),0)</f>
        <v/>
      </c>
      <c r="AB162" s="512">
        <f>IF(_xlfn.ISFORMULA(L162)=TRUE,0,AB161-1)</f>
        <v/>
      </c>
      <c r="AC162" s="512" t="n"/>
    </row>
    <row r="163" outlineLevel="1" ht="63.75" customFormat="1" customHeight="1" s="266">
      <c r="A163" s="515" t="n"/>
      <c r="B163" s="526" t="inlineStr">
        <is>
          <t>Downstream</t>
        </is>
      </c>
      <c r="C163" s="530" t="inlineStr">
        <is>
          <t>[Input of the project name]</t>
        </is>
      </c>
      <c r="D163" s="531" t="inlineStr">
        <is>
          <t>[input: brief description of the project, including:</t>
        </is>
      </c>
      <c r="E163" s="518">
        <f>IF(ISBLANK(C163)=FALSE,"thsd</f>
        <v/>
      </c>
      <c r="F163" s="518">
        <f>IF(ISBLANK(C163)=FALSE,"+","")</f>
        <v/>
      </c>
      <c r="G163" s="532" t="n"/>
      <c r="H163" s="533" t="n"/>
      <c r="I163" s="533" t="n"/>
      <c r="J163" s="536" t="n"/>
      <c r="K163" s="537" t="n"/>
      <c r="L163" s="534" t="n"/>
      <c r="M163" s="534" t="n"/>
      <c r="N163" s="534" t="n"/>
      <c r="O163" s="534" t="n"/>
      <c r="P163" s="534" t="n"/>
      <c r="Q163" s="522">
        <f>IFERROR((O163-P163),"N/A")</f>
        <v/>
      </c>
      <c r="R163" s="523">
        <f>IFERROR((O163-P163)/ABS(P163),"N/A")</f>
        <v/>
      </c>
      <c r="S163" s="537" t="n"/>
      <c r="T163" s="546" t="n"/>
      <c r="U163" s="546" t="n"/>
      <c r="V163" s="522">
        <f>IFERROR((T163-U163),"N/A")</f>
        <v/>
      </c>
      <c r="W163" s="523">
        <f>IFERROR((T163-U163)/ABS(U163),"N/A")</f>
        <v/>
      </c>
      <c r="X163" s="537" t="n"/>
      <c r="Y163" s="512">
        <f>IF(ISNUMBER(SEARCH("SUMPRODUCT",_xlfn.FORMULATEXT(L163),1))=FALSE,IF(ISNUMBER(SEARCH("INDIRECT",_xlfn.FORMULATEXT(L163),1))=TRUE,1,0),2)</f>
        <v/>
      </c>
      <c r="Z163" s="525">
        <f>IFERROR(SUMPRODUCT(--(_xlfn.ISFORMULA(L163)=FALSE),--(C163&lt;&gt;"Other Projects"),--(AC163&lt;&gt;TRUE),L163),0)</f>
        <v/>
      </c>
      <c r="AA163" s="512">
        <f>IFERROR(SUMPRODUCT(--(_xlfn.ISFORMULA(L163)=FALSE),--(C163&lt;&gt;"Other Projects"),--(G163="Yes"),--(AC163&lt;&gt;TRUE),L163),0)</f>
        <v/>
      </c>
      <c r="AB163" s="512">
        <f>IF(_xlfn.ISFORMULA(L163)=TRUE,0,AB162-1)</f>
        <v/>
      </c>
      <c r="AC163" s="512" t="n"/>
    </row>
    <row r="164" outlineLevel="1" ht="63.75" customFormat="1" customHeight="1" s="266">
      <c r="A164" s="515" t="n"/>
      <c r="B164" s="526" t="inlineStr">
        <is>
          <t>Downstream</t>
        </is>
      </c>
      <c r="C164" s="530" t="inlineStr">
        <is>
          <t>[Input of the project name]</t>
        </is>
      </c>
      <c r="D164" s="531" t="inlineStr">
        <is>
          <t>[input: brief description of the project, including:</t>
        </is>
      </c>
      <c r="E164" s="518">
        <f>IF(ISBLANK(C164)=FALSE,"thsd</f>
        <v/>
      </c>
      <c r="F164" s="518">
        <f>IF(ISBLANK(C164)=FALSE,"+","")</f>
        <v/>
      </c>
      <c r="G164" s="532" t="n"/>
      <c r="H164" s="533" t="n"/>
      <c r="I164" s="533" t="n"/>
      <c r="J164" s="536" t="n"/>
      <c r="K164" s="537" t="n"/>
      <c r="L164" s="534" t="n"/>
      <c r="M164" s="534" t="n"/>
      <c r="N164" s="534" t="n"/>
      <c r="O164" s="534" t="n"/>
      <c r="P164" s="534" t="n"/>
      <c r="Q164" s="522">
        <f>IFERROR((O164-P164),"N/A")</f>
        <v/>
      </c>
      <c r="R164" s="523">
        <f>IFERROR((O164-P164)/ABS(P164),"N/A")</f>
        <v/>
      </c>
      <c r="S164" s="537" t="n"/>
      <c r="T164" s="546" t="n"/>
      <c r="U164" s="546" t="n"/>
      <c r="V164" s="522">
        <f>IFERROR((T164-U164),"N/A")</f>
        <v/>
      </c>
      <c r="W164" s="523">
        <f>IFERROR((T164-U164)/ABS(U164),"N/A")</f>
        <v/>
      </c>
      <c r="X164" s="537" t="n"/>
      <c r="Y164" s="512">
        <f>IF(ISNUMBER(SEARCH("SUMPRODUCT",_xlfn.FORMULATEXT(L164),1))=FALSE,IF(ISNUMBER(SEARCH("INDIRECT",_xlfn.FORMULATEXT(L164),1))=TRUE,1,0),2)</f>
        <v/>
      </c>
      <c r="Z164" s="525">
        <f>IFERROR(SUMPRODUCT(--(_xlfn.ISFORMULA(L164)=FALSE),--(C164&lt;&gt;"Other Projects"),--(AC164&lt;&gt;TRUE),L164),0)</f>
        <v/>
      </c>
      <c r="AA164" s="512">
        <f>IFERROR(SUMPRODUCT(--(_xlfn.ISFORMULA(L164)=FALSE),--(C164&lt;&gt;"Other Projects"),--(G164="Yes"),--(AC164&lt;&gt;TRUE),L164),0)</f>
        <v/>
      </c>
      <c r="AB164" s="512">
        <f>IF(_xlfn.ISFORMULA(L164)=TRUE,0,AB163-1)</f>
        <v/>
      </c>
      <c r="AC164" s="512" t="n"/>
    </row>
    <row r="165" outlineLevel="1" ht="63.75" customFormat="1" customHeight="1" s="266">
      <c r="A165" s="515" t="n"/>
      <c r="B165" s="526" t="inlineStr">
        <is>
          <t>Downstream</t>
        </is>
      </c>
      <c r="C165" s="530" t="inlineStr">
        <is>
          <t>[Input of the project name]</t>
        </is>
      </c>
      <c r="D165" s="531" t="inlineStr">
        <is>
          <t>[input: brief description of the project, including:</t>
        </is>
      </c>
      <c r="E165" s="518">
        <f>IF(ISBLANK(C165)=FALSE,"thsd</f>
        <v/>
      </c>
      <c r="F165" s="518">
        <f>IF(ISBLANK(C165)=FALSE,"+","")</f>
        <v/>
      </c>
      <c r="G165" s="532" t="n"/>
      <c r="H165" s="533" t="n"/>
      <c r="I165" s="533" t="n"/>
      <c r="J165" s="536" t="n"/>
      <c r="K165" s="537" t="n"/>
      <c r="L165" s="534" t="n"/>
      <c r="M165" s="534" t="n"/>
      <c r="N165" s="534" t="n"/>
      <c r="O165" s="534" t="n"/>
      <c r="P165" s="534" t="n"/>
      <c r="Q165" s="522">
        <f>IFERROR((O165-P165),"N/A")</f>
        <v/>
      </c>
      <c r="R165" s="523">
        <f>IFERROR((O165-P165)/ABS(P165),"N/A")</f>
        <v/>
      </c>
      <c r="S165" s="537" t="n"/>
      <c r="T165" s="546" t="n"/>
      <c r="U165" s="546" t="n"/>
      <c r="V165" s="522">
        <f>IFERROR((T165-U165),"N/A")</f>
        <v/>
      </c>
      <c r="W165" s="523">
        <f>IFERROR((T165-U165)/ABS(U165),"N/A")</f>
        <v/>
      </c>
      <c r="X165" s="537" t="n"/>
      <c r="Y165" s="512">
        <f>IF(ISNUMBER(SEARCH("SUMPRODUCT",_xlfn.FORMULATEXT(L165),1))=FALSE,IF(ISNUMBER(SEARCH("INDIRECT",_xlfn.FORMULATEXT(L165),1))=TRUE,1,0),2)</f>
        <v/>
      </c>
      <c r="Z165" s="525">
        <f>IFERROR(SUMPRODUCT(--(_xlfn.ISFORMULA(L165)=FALSE),--(C165&lt;&gt;"Other Projects"),--(AC165&lt;&gt;TRUE),L165),0)</f>
        <v/>
      </c>
      <c r="AA165" s="512">
        <f>IFERROR(SUMPRODUCT(--(_xlfn.ISFORMULA(L165)=FALSE),--(C165&lt;&gt;"Other Projects"),--(G165="Yes"),--(AC165&lt;&gt;TRUE),L165),0)</f>
        <v/>
      </c>
      <c r="AB165" s="512">
        <f>IF(_xlfn.ISFORMULA(L165)=TRUE,0,AB164-1)</f>
        <v/>
      </c>
      <c r="AC165" s="512" t="n"/>
    </row>
    <row r="166" outlineLevel="1" ht="63.75" customFormat="1" customHeight="1" s="266">
      <c r="A166" s="515" t="n"/>
      <c r="B166" s="526" t="inlineStr">
        <is>
          <t>Downstream</t>
        </is>
      </c>
      <c r="C166" s="530" t="inlineStr">
        <is>
          <t>[Input of the project name]</t>
        </is>
      </c>
      <c r="D166" s="531" t="inlineStr">
        <is>
          <t>[input: brief description of the project, including:</t>
        </is>
      </c>
      <c r="E166" s="518">
        <f>IF(ISBLANK(C166)=FALSE,"thsd</f>
        <v/>
      </c>
      <c r="F166" s="518">
        <f>IF(ISBLANK(C166)=FALSE,"+","")</f>
        <v/>
      </c>
      <c r="G166" s="532" t="n"/>
      <c r="H166" s="533" t="n"/>
      <c r="I166" s="533" t="n"/>
      <c r="J166" s="536" t="n"/>
      <c r="K166" s="537" t="n"/>
      <c r="L166" s="534" t="n"/>
      <c r="M166" s="534" t="n"/>
      <c r="N166" s="534" t="n"/>
      <c r="O166" s="534" t="n"/>
      <c r="P166" s="534" t="n"/>
      <c r="Q166" s="522">
        <f>IFERROR((O166-P166),"N/A")</f>
        <v/>
      </c>
      <c r="R166" s="523">
        <f>IFERROR((O166-P166)/ABS(P166),"N/A")</f>
        <v/>
      </c>
      <c r="S166" s="537" t="n"/>
      <c r="T166" s="546" t="n"/>
      <c r="U166" s="546" t="n"/>
      <c r="V166" s="522">
        <f>IFERROR((T166-U166),"N/A")</f>
        <v/>
      </c>
      <c r="W166" s="523">
        <f>IFERROR((T166-U166)/ABS(U166),"N/A")</f>
        <v/>
      </c>
      <c r="X166" s="537" t="n"/>
      <c r="Y166" s="512">
        <f>IF(ISNUMBER(SEARCH("SUMPRODUCT",_xlfn.FORMULATEXT(L166),1))=FALSE,IF(ISNUMBER(SEARCH("INDIRECT",_xlfn.FORMULATEXT(L166),1))=TRUE,1,0),2)</f>
        <v/>
      </c>
      <c r="Z166" s="525">
        <f>IFERROR(SUMPRODUCT(--(_xlfn.ISFORMULA(L166)=FALSE),--(C166&lt;&gt;"Other Projects"),--(AC166&lt;&gt;TRUE),L166),0)</f>
        <v/>
      </c>
      <c r="AA166" s="512">
        <f>IFERROR(SUMPRODUCT(--(_xlfn.ISFORMULA(L166)=FALSE),--(C166&lt;&gt;"Other Projects"),--(G166="Yes"),--(AC166&lt;&gt;TRUE),L166),0)</f>
        <v/>
      </c>
      <c r="AB166" s="512">
        <f>IF(_xlfn.ISFORMULA(L166)=TRUE,0,AB165-1)</f>
        <v/>
      </c>
      <c r="AC166" s="512" t="n"/>
    </row>
    <row r="167" outlineLevel="1" ht="63.75" customFormat="1" customHeight="1" s="266">
      <c r="A167" s="515" t="n"/>
      <c r="B167" s="526" t="inlineStr">
        <is>
          <t>Downstream</t>
        </is>
      </c>
      <c r="C167" s="530" t="inlineStr">
        <is>
          <t>[Input of the project name]</t>
        </is>
      </c>
      <c r="D167" s="531" t="inlineStr">
        <is>
          <t>[input: brief description of the project, including:</t>
        </is>
      </c>
      <c r="E167" s="518">
        <f>IF(ISBLANK(C167)=FALSE,"thsd</f>
        <v/>
      </c>
      <c r="F167" s="518">
        <f>IF(ISBLANK(C167)=FALSE,"+","")</f>
        <v/>
      </c>
      <c r="G167" s="532" t="n"/>
      <c r="H167" s="533" t="n"/>
      <c r="I167" s="533" t="n"/>
      <c r="J167" s="536" t="n"/>
      <c r="K167" s="537" t="n"/>
      <c r="L167" s="534" t="n"/>
      <c r="M167" s="534" t="n"/>
      <c r="N167" s="534" t="n"/>
      <c r="O167" s="534" t="n"/>
      <c r="P167" s="534" t="n"/>
      <c r="Q167" s="522">
        <f>IFERROR((O167-P167),"N/A")</f>
        <v/>
      </c>
      <c r="R167" s="523">
        <f>IFERROR((O167-P167)/ABS(P167),"N/A")</f>
        <v/>
      </c>
      <c r="S167" s="537" t="n"/>
      <c r="T167" s="546" t="n"/>
      <c r="U167" s="546" t="n"/>
      <c r="V167" s="522">
        <f>IFERROR((T167-U167),"N/A")</f>
        <v/>
      </c>
      <c r="W167" s="523">
        <f>IFERROR((T167-U167)/ABS(U167),"N/A")</f>
        <v/>
      </c>
      <c r="X167" s="537" t="n"/>
      <c r="Y167" s="512">
        <f>IF(ISNUMBER(SEARCH("SUMPRODUCT",_xlfn.FORMULATEXT(L167),1))=FALSE,IF(ISNUMBER(SEARCH("INDIRECT",_xlfn.FORMULATEXT(L167),1))=TRUE,1,0),2)</f>
        <v/>
      </c>
      <c r="Z167" s="525">
        <f>IFERROR(SUMPRODUCT(--(_xlfn.ISFORMULA(L167)=FALSE),--(C167&lt;&gt;"Other Projects"),--(AC167&lt;&gt;TRUE),L167),0)</f>
        <v/>
      </c>
      <c r="AA167" s="512">
        <f>IFERROR(SUMPRODUCT(--(_xlfn.ISFORMULA(L167)=FALSE),--(C167&lt;&gt;"Other Projects"),--(G167="Yes"),--(AC167&lt;&gt;TRUE),L167),0)</f>
        <v/>
      </c>
      <c r="AB167" s="512">
        <f>IF(_xlfn.ISFORMULA(L167)=TRUE,0,AB166-1)</f>
        <v/>
      </c>
      <c r="AC167" s="512" t="n"/>
    </row>
    <row r="168" outlineLevel="1" ht="63.75" customFormat="1" customHeight="1" s="266">
      <c r="A168" s="515" t="n"/>
      <c r="B168" s="526" t="inlineStr">
        <is>
          <t>Downstream</t>
        </is>
      </c>
      <c r="C168" s="530" t="inlineStr">
        <is>
          <t>[Input of the project name]</t>
        </is>
      </c>
      <c r="D168" s="531" t="inlineStr">
        <is>
          <t>[input: brief description of the project, including:</t>
        </is>
      </c>
      <c r="E168" s="518">
        <f>IF(ISBLANK(C168)=FALSE,"thsd</f>
        <v/>
      </c>
      <c r="F168" s="518">
        <f>IF(ISBLANK(C168)=FALSE,"+","")</f>
        <v/>
      </c>
      <c r="G168" s="532" t="n"/>
      <c r="H168" s="533" t="n"/>
      <c r="I168" s="533" t="n"/>
      <c r="J168" s="536" t="n"/>
      <c r="K168" s="537" t="n"/>
      <c r="L168" s="534" t="n"/>
      <c r="M168" s="534" t="n"/>
      <c r="N168" s="534" t="n"/>
      <c r="O168" s="534" t="n"/>
      <c r="P168" s="534" t="n"/>
      <c r="Q168" s="522">
        <f>IFERROR((O168-P168),"N/A")</f>
        <v/>
      </c>
      <c r="R168" s="523">
        <f>IFERROR((O168-P168)/ABS(P168),"N/A")</f>
        <v/>
      </c>
      <c r="S168" s="537" t="n"/>
      <c r="T168" s="546" t="n"/>
      <c r="U168" s="546" t="n"/>
      <c r="V168" s="522">
        <f>IFERROR((T168-U168),"N/A")</f>
        <v/>
      </c>
      <c r="W168" s="523">
        <f>IFERROR((T168-U168)/ABS(U168),"N/A")</f>
        <v/>
      </c>
      <c r="X168" s="537" t="n"/>
      <c r="Y168" s="512">
        <f>IF(ISNUMBER(SEARCH("SUMPRODUCT",_xlfn.FORMULATEXT(L168),1))=FALSE,IF(ISNUMBER(SEARCH("INDIRECT",_xlfn.FORMULATEXT(L168),1))=TRUE,1,0),2)</f>
        <v/>
      </c>
      <c r="Z168" s="525">
        <f>IFERROR(SUMPRODUCT(--(_xlfn.ISFORMULA(L168)=FALSE),--(C168&lt;&gt;"Other Projects"),--(AC168&lt;&gt;TRUE),L168),0)</f>
        <v/>
      </c>
      <c r="AA168" s="512">
        <f>IFERROR(SUMPRODUCT(--(_xlfn.ISFORMULA(L168)=FALSE),--(C168&lt;&gt;"Other Projects"),--(G168="Yes"),--(AC168&lt;&gt;TRUE),L168),0)</f>
        <v/>
      </c>
      <c r="AB168" s="512">
        <f>IF(_xlfn.ISFORMULA(L168)=TRUE,0,AB167-1)</f>
        <v/>
      </c>
      <c r="AC168" s="512" t="n"/>
    </row>
    <row r="169" outlineLevel="1" ht="63.75" customFormat="1" customHeight="1" s="266">
      <c r="A169" s="515" t="n"/>
      <c r="B169" s="526" t="inlineStr">
        <is>
          <t>Downstream</t>
        </is>
      </c>
      <c r="C169" s="530" t="inlineStr">
        <is>
          <t>[Input of the project name]</t>
        </is>
      </c>
      <c r="D169" s="531" t="inlineStr">
        <is>
          <t>[input: brief description of the project, including:</t>
        </is>
      </c>
      <c r="E169" s="518">
        <f>IF(ISBLANK(C169)=FALSE,"thsd</f>
        <v/>
      </c>
      <c r="F169" s="518">
        <f>IF(ISBLANK(C169)=FALSE,"+","")</f>
        <v/>
      </c>
      <c r="G169" s="532" t="n"/>
      <c r="H169" s="533" t="n"/>
      <c r="I169" s="533" t="n"/>
      <c r="J169" s="536" t="n"/>
      <c r="K169" s="537" t="n"/>
      <c r="L169" s="534" t="n"/>
      <c r="M169" s="534" t="n"/>
      <c r="N169" s="534" t="n"/>
      <c r="O169" s="534" t="n"/>
      <c r="P169" s="534" t="n"/>
      <c r="Q169" s="522">
        <f>IFERROR((O169-P169),"N/A")</f>
        <v/>
      </c>
      <c r="R169" s="523">
        <f>IFERROR((O169-P169)/ABS(P169),"N/A")</f>
        <v/>
      </c>
      <c r="S169" s="537" t="n"/>
      <c r="T169" s="546" t="n"/>
      <c r="U169" s="546" t="n"/>
      <c r="V169" s="522">
        <f>IFERROR((T169-U169),"N/A")</f>
        <v/>
      </c>
      <c r="W169" s="523">
        <f>IFERROR((T169-U169)/ABS(U169),"N/A")</f>
        <v/>
      </c>
      <c r="X169" s="537" t="n"/>
      <c r="Y169" s="512">
        <f>IF(ISNUMBER(SEARCH("SUMPRODUCT",_xlfn.FORMULATEXT(L169),1))=FALSE,IF(ISNUMBER(SEARCH("INDIRECT",_xlfn.FORMULATEXT(L169),1))=TRUE,1,0),2)</f>
        <v/>
      </c>
      <c r="Z169" s="525">
        <f>IFERROR(SUMPRODUCT(--(_xlfn.ISFORMULA(L169)=FALSE),--(C169&lt;&gt;"Other Projects"),--(AC169&lt;&gt;TRUE),L169),0)</f>
        <v/>
      </c>
      <c r="AA169" s="512">
        <f>IFERROR(SUMPRODUCT(--(_xlfn.ISFORMULA(L169)=FALSE),--(C169&lt;&gt;"Other Projects"),--(G169="Yes"),--(AC169&lt;&gt;TRUE),L169),0)</f>
        <v/>
      </c>
      <c r="AB169" s="512">
        <f>IF(_xlfn.ISFORMULA(L169)=TRUE,0,AB168-1)</f>
        <v/>
      </c>
      <c r="AC169" s="512" t="n"/>
    </row>
    <row r="170" outlineLevel="1" ht="63.75" customFormat="1" customHeight="1" s="266">
      <c r="A170" s="515" t="n"/>
      <c r="B170" s="526" t="inlineStr">
        <is>
          <t>Downstream</t>
        </is>
      </c>
      <c r="C170" s="530" t="inlineStr">
        <is>
          <t>[Input of the project name]</t>
        </is>
      </c>
      <c r="D170" s="531" t="inlineStr">
        <is>
          <t>[input: brief description of the project, including:</t>
        </is>
      </c>
      <c r="E170" s="518">
        <f>IF(ISBLANK(C170)=FALSE,"thsd</f>
        <v/>
      </c>
      <c r="F170" s="518">
        <f>IF(ISBLANK(C170)=FALSE,"+","")</f>
        <v/>
      </c>
      <c r="G170" s="532" t="n"/>
      <c r="H170" s="533" t="n"/>
      <c r="I170" s="533" t="n"/>
      <c r="J170" s="536" t="n"/>
      <c r="K170" s="537" t="n"/>
      <c r="L170" s="534" t="n"/>
      <c r="M170" s="534" t="n"/>
      <c r="N170" s="534" t="n"/>
      <c r="O170" s="534" t="n"/>
      <c r="P170" s="534" t="n"/>
      <c r="Q170" s="522">
        <f>IFERROR((O170-P170),"N/A")</f>
        <v/>
      </c>
      <c r="R170" s="523">
        <f>IFERROR((O170-P170)/ABS(P170),"N/A")</f>
        <v/>
      </c>
      <c r="S170" s="537" t="n"/>
      <c r="T170" s="546" t="n"/>
      <c r="U170" s="546" t="n"/>
      <c r="V170" s="522">
        <f>IFERROR((T170-U170),"N/A")</f>
        <v/>
      </c>
      <c r="W170" s="523">
        <f>IFERROR((T170-U170)/ABS(U170),"N/A")</f>
        <v/>
      </c>
      <c r="X170" s="537" t="n"/>
      <c r="Y170" s="512">
        <f>IF(ISNUMBER(SEARCH("SUMPRODUCT",_xlfn.FORMULATEXT(L170),1))=FALSE,IF(ISNUMBER(SEARCH("INDIRECT",_xlfn.FORMULATEXT(L170),1))=TRUE,1,0),2)</f>
        <v/>
      </c>
      <c r="Z170" s="525">
        <f>IFERROR(SUMPRODUCT(--(_xlfn.ISFORMULA(L170)=FALSE),--(C170&lt;&gt;"Other Projects"),--(AC170&lt;&gt;TRUE),L170),0)</f>
        <v/>
      </c>
      <c r="AA170" s="512">
        <f>IFERROR(SUMPRODUCT(--(_xlfn.ISFORMULA(L170)=FALSE),--(C170&lt;&gt;"Other Projects"),--(G170="Yes"),--(AC170&lt;&gt;TRUE),L170),0)</f>
        <v/>
      </c>
      <c r="AB170" s="512">
        <f>IF(_xlfn.ISFORMULA(L170)=TRUE,0,AB169-1)</f>
        <v/>
      </c>
      <c r="AC170" s="512" t="n"/>
    </row>
    <row r="171" outlineLevel="1" ht="63.75" customFormat="1" customHeight="1" s="266">
      <c r="A171" s="515" t="n"/>
      <c r="B171" s="526" t="inlineStr">
        <is>
          <t>Downstream</t>
        </is>
      </c>
      <c r="C171" s="530" t="inlineStr">
        <is>
          <t>[Input of the project name]</t>
        </is>
      </c>
      <c r="D171" s="531" t="inlineStr">
        <is>
          <t>[input: brief description of the project, including:</t>
        </is>
      </c>
      <c r="E171" s="518">
        <f>IF(ISBLANK(C171)=FALSE,"thsd</f>
        <v/>
      </c>
      <c r="F171" s="518">
        <f>IF(ISBLANK(C171)=FALSE,"+","")</f>
        <v/>
      </c>
      <c r="G171" s="532" t="n"/>
      <c r="H171" s="533" t="n"/>
      <c r="I171" s="533" t="n"/>
      <c r="J171" s="536" t="n"/>
      <c r="K171" s="537" t="n"/>
      <c r="L171" s="534" t="n"/>
      <c r="M171" s="534" t="n"/>
      <c r="N171" s="534" t="n"/>
      <c r="O171" s="534" t="n"/>
      <c r="P171" s="534" t="n"/>
      <c r="Q171" s="522">
        <f>IFERROR((O171-P171),"N/A")</f>
        <v/>
      </c>
      <c r="R171" s="523">
        <f>IFERROR((O171-P171)/ABS(P171),"N/A")</f>
        <v/>
      </c>
      <c r="S171" s="537" t="n"/>
      <c r="T171" s="546" t="n"/>
      <c r="U171" s="546" t="n"/>
      <c r="V171" s="522">
        <f>IFERROR((T171-U171),"N/A")</f>
        <v/>
      </c>
      <c r="W171" s="523">
        <f>IFERROR((T171-U171)/ABS(U171),"N/A")</f>
        <v/>
      </c>
      <c r="X171" s="537" t="n"/>
      <c r="Y171" s="512">
        <f>IF(ISNUMBER(SEARCH("SUMPRODUCT",_xlfn.FORMULATEXT(L171),1))=FALSE,IF(ISNUMBER(SEARCH("INDIRECT",_xlfn.FORMULATEXT(L171),1))=TRUE,1,0),2)</f>
        <v/>
      </c>
      <c r="Z171" s="525">
        <f>IFERROR(SUMPRODUCT(--(_xlfn.ISFORMULA(L171)=FALSE),--(C171&lt;&gt;"Other Projects"),--(AC171&lt;&gt;TRUE),L171),0)</f>
        <v/>
      </c>
      <c r="AA171" s="512">
        <f>IFERROR(SUMPRODUCT(--(_xlfn.ISFORMULA(L171)=FALSE),--(C171&lt;&gt;"Other Projects"),--(G171="Yes"),--(AC171&lt;&gt;TRUE),L171),0)</f>
        <v/>
      </c>
      <c r="AB171" s="512">
        <f>IF(_xlfn.ISFORMULA(L171)=TRUE,0,AB170-1)</f>
        <v/>
      </c>
      <c r="AC171" s="512" t="n"/>
    </row>
    <row r="172" outlineLevel="1" ht="63.75" customFormat="1" customHeight="1" s="266">
      <c r="A172" s="515" t="n"/>
      <c r="B172" s="526" t="inlineStr">
        <is>
          <t>Downstream</t>
        </is>
      </c>
      <c r="C172" s="530" t="inlineStr">
        <is>
          <t>[Input of the project name]</t>
        </is>
      </c>
      <c r="D172" s="531" t="inlineStr">
        <is>
          <t>[input: brief description of the project, including:</t>
        </is>
      </c>
      <c r="E172" s="518">
        <f>IF(ISBLANK(C172)=FALSE,"thsd</f>
        <v/>
      </c>
      <c r="F172" s="518">
        <f>IF(ISBLANK(C172)=FALSE,"+","")</f>
        <v/>
      </c>
      <c r="G172" s="532" t="n"/>
      <c r="H172" s="533" t="n"/>
      <c r="I172" s="533" t="n"/>
      <c r="J172" s="536" t="n"/>
      <c r="K172" s="537" t="n"/>
      <c r="L172" s="534" t="n"/>
      <c r="M172" s="534" t="n"/>
      <c r="N172" s="534" t="n"/>
      <c r="O172" s="534" t="n"/>
      <c r="P172" s="534" t="n"/>
      <c r="Q172" s="522">
        <f>IFERROR((O172-P172),"N/A")</f>
        <v/>
      </c>
      <c r="R172" s="523">
        <f>IFERROR((O172-P172)/ABS(P172),"N/A")</f>
        <v/>
      </c>
      <c r="S172" s="537" t="n"/>
      <c r="T172" s="546" t="n"/>
      <c r="U172" s="546" t="n"/>
      <c r="V172" s="522">
        <f>IFERROR((T172-U172),"N/A")</f>
        <v/>
      </c>
      <c r="W172" s="523">
        <f>IFERROR((T172-U172)/ABS(U172),"N/A")</f>
        <v/>
      </c>
      <c r="X172" s="537" t="n"/>
      <c r="Y172" s="512">
        <f>IF(ISNUMBER(SEARCH("SUMPRODUCT",_xlfn.FORMULATEXT(L172),1))=FALSE,IF(ISNUMBER(SEARCH("INDIRECT",_xlfn.FORMULATEXT(L172),1))=TRUE,1,0),2)</f>
        <v/>
      </c>
      <c r="Z172" s="525">
        <f>IFERROR(SUMPRODUCT(--(_xlfn.ISFORMULA(L172)=FALSE),--(C172&lt;&gt;"Other Projects"),--(AC172&lt;&gt;TRUE),L172),0)</f>
        <v/>
      </c>
      <c r="AA172" s="512">
        <f>IFERROR(SUMPRODUCT(--(_xlfn.ISFORMULA(L172)=FALSE),--(C172&lt;&gt;"Other Projects"),--(G172="Yes"),--(AC172&lt;&gt;TRUE),L172),0)</f>
        <v/>
      </c>
      <c r="AB172" s="512">
        <f>IF(_xlfn.ISFORMULA(L172)=TRUE,0,AB171-1)</f>
        <v/>
      </c>
      <c r="AC172" s="512" t="n"/>
    </row>
    <row r="173" outlineLevel="1" customFormat="1" s="266">
      <c r="A173" s="515" t="n"/>
      <c r="B173" s="526" t="inlineStr">
        <is>
          <t>Downstream</t>
        </is>
      </c>
      <c r="C173" s="539" t="inlineStr">
        <is>
          <t>Other projects</t>
        </is>
      </c>
      <c r="D173" s="540" t="n"/>
      <c r="E173" s="518">
        <f>IF(ISBLANK(C173)=FALSE,"thsd</f>
        <v/>
      </c>
      <c r="F173" s="518">
        <f>IF(ISBLANK(C173)=FALSE,"+","")</f>
        <v/>
      </c>
      <c r="G173" s="532" t="n"/>
      <c r="H173" s="533" t="n"/>
      <c r="I173" s="533" t="n"/>
      <c r="J173" s="536" t="n"/>
      <c r="K173" s="537" t="n"/>
      <c r="L173" s="534" t="n"/>
      <c r="M173" s="534" t="n"/>
      <c r="N173" s="534" t="n"/>
      <c r="O173" s="534" t="n"/>
      <c r="P173" s="534" t="n"/>
      <c r="Q173" s="522">
        <f>IFERROR((O173-P173),"N/A")</f>
        <v/>
      </c>
      <c r="R173" s="523">
        <f>IFERROR((O173-P173)/ABS(P173),"N/A")</f>
        <v/>
      </c>
      <c r="S173" s="537" t="n"/>
      <c r="T173" s="546" t="n"/>
      <c r="U173" s="546" t="n"/>
      <c r="V173" s="522">
        <f>IFERROR((T173-U173),"N/A")</f>
        <v/>
      </c>
      <c r="W173" s="523">
        <f>IFERROR((T173-U173)/ABS(U173),"N/A")</f>
        <v/>
      </c>
      <c r="X173" s="537" t="n"/>
      <c r="Y173" s="512">
        <f>IF(ISNUMBER(SEARCH("SUMPRODUCT",_xlfn.FORMULATEXT(L173),1))=FALSE,IF(ISNUMBER(SEARCH("INDIRECT",_xlfn.FORMULATEXT(L173),1))=TRUE,1,0),2)</f>
        <v/>
      </c>
      <c r="Z173" s="525">
        <f>IFERROR(SUMPRODUCT(--(_xlfn.ISFORMULA(L173)=FALSE),--(C173&lt;&gt;"Other Projects"),--(AC173&lt;&gt;TRUE),L173),0)</f>
        <v/>
      </c>
      <c r="AA173" s="512">
        <f>IFERROR(SUMPRODUCT(--(_xlfn.ISFORMULA(L173)=FALSE),--(C173&lt;&gt;"Other Projects"),--(G173="Yes"),--(AC173&lt;&gt;TRUE),L173),0)</f>
        <v/>
      </c>
      <c r="AB173" s="512">
        <f>IF(_xlfn.ISFORMULA(L173)=TRUE,0,AB172-1)</f>
        <v/>
      </c>
      <c r="AC173" s="512" t="n"/>
    </row>
    <row r="174" ht="15" customFormat="1" customHeight="1" s="266">
      <c r="A174" s="515" t="n"/>
      <c r="B174" s="516" t="inlineStr">
        <is>
          <t>Midstream</t>
        </is>
      </c>
      <c r="C174" s="527" t="inlineStr">
        <is>
          <t>Total</t>
        </is>
      </c>
      <c r="D174" s="905" t="inlineStr">
        <is>
          <t>Cəmi</t>
        </is>
      </c>
      <c r="E174" s="518">
        <f>IF(ISBLANK(C174)=FALSE,"thsd</f>
        <v/>
      </c>
      <c r="F174" s="518">
        <f>IF(ISBLANK(C174)=FALSE,"+","")</f>
        <v/>
      </c>
      <c r="G174" s="519" t="n"/>
      <c r="H174" s="519" t="n"/>
      <c r="I174" s="519" t="n"/>
      <c r="J174" s="519" t="n"/>
      <c r="K174" s="545" t="n"/>
      <c r="L174" s="521">
        <f t="array" ref="L174">SUMPRODUCT(--(($B175:$B$261)=$B174),--(_xlfn.ISFORMULA(L175:L$261)=TRUE),L175:L$261)</f>
        <v/>
      </c>
      <c r="M174" s="521">
        <f t="array" ref="M174">SUMPRODUCT(--(($B175:$B$261)=$B174),--(_xlfn.ISFORMULA(M175:M$261)=TRUE),M175:M$261)</f>
        <v/>
      </c>
      <c r="N174" s="521">
        <f t="array" ref="N174">SUMPRODUCT(--(($B175:$B$261)=$B174),--(_xlfn.ISFORMULA(N175:N$261)=TRUE),N175:N$261)</f>
        <v/>
      </c>
      <c r="O174" s="521">
        <f t="array" ref="O174">SUMPRODUCT(--(($B175:$B$261)=$B174),--(_xlfn.ISFORMULA(O175:O$261)=TRUE),O175:O$261)</f>
        <v/>
      </c>
      <c r="P174" s="521">
        <f t="array" ref="P174">SUMPRODUCT(--(($B175:$B$261)=$B174),--(_xlfn.ISFORMULA(P175:P$261)=TRUE),P175:P$261)</f>
        <v/>
      </c>
      <c r="Q174" s="522">
        <f>IFERROR((O174-P174),"N/A")</f>
        <v/>
      </c>
      <c r="R174" s="523">
        <f>IFERROR((O174-P174)/ABS(P174),"N/A")</f>
        <v/>
      </c>
      <c r="S174" s="545" t="n"/>
      <c r="T174" s="521">
        <f t="array" ref="T174">SUMPRODUCT(--(($B175:$B$261)=$B174),--(_xlfn.ISFORMULA(T175:T$261)=TRUE),T175:T$261)</f>
        <v/>
      </c>
      <c r="U174" s="521">
        <f t="array" ref="U174">SUMPRODUCT(--(($B175:$B$261)=$B174),--(_xlfn.ISFORMULA(U175:U$261)=TRUE),U175:U$261)</f>
        <v/>
      </c>
      <c r="V174" s="522">
        <f>IFERROR((T174-U174),"N/A")</f>
        <v/>
      </c>
      <c r="W174" s="523">
        <f>IFERROR((T174-U174)/ABS(U174),"N/A")</f>
        <v/>
      </c>
      <c r="X174" s="545" t="n"/>
      <c r="Y174" s="512">
        <f>IF(ISNUMBER(SEARCH("SUMPRODUCT",_xlfn.FORMULATEXT(L174),1))=FALSE,IF(ISNUMBER(SEARCH("INDIRECT",_xlfn.FORMULATEXT(L174),1))=TRUE,1,0),2)</f>
        <v/>
      </c>
      <c r="Z174" s="525">
        <f>IFERROR(SUMPRODUCT(--(_xlfn.ISFORMULA(L174)=FALSE),--(C174&lt;&gt;"Other Projects"),--(AC174&lt;&gt;TRUE),L174),0)</f>
        <v/>
      </c>
      <c r="AA174" s="512">
        <f>IFERROR(SUMPRODUCT(--(_xlfn.ISFORMULA(L174)=FALSE),--(C174&lt;&gt;"Other Projects"),--(G174="Yes"),--(AC174&lt;&gt;TRUE),L174),0)</f>
        <v/>
      </c>
      <c r="AB174" s="512">
        <f>IF(_xlfn.ISFORMULA(L174)=TRUE,0,AB173-1)</f>
        <v/>
      </c>
      <c r="AC174" s="512" t="n"/>
    </row>
    <row r="175" outlineLevel="1" ht="15" customFormat="1" customHeight="1" s="266">
      <c r="A175" s="515" t="n"/>
      <c r="B175" s="526" t="inlineStr">
        <is>
          <t>Midstream</t>
        </is>
      </c>
      <c r="C175" s="527" t="inlineStr">
        <is>
          <t>Projects of replacement or new pipeline (for oil)</t>
        </is>
      </c>
      <c r="D175" s="905" t="n"/>
      <c r="E175" s="518">
        <f>IF(ISBLANK(C175)=FALSE,"thsd</f>
        <v/>
      </c>
      <c r="F175" s="518">
        <f>IF(ISBLANK(C175)=FALSE,"+","")</f>
        <v/>
      </c>
      <c r="G175" s="519" t="n"/>
      <c r="H175" s="519" t="n"/>
      <c r="I175" s="519" t="n"/>
      <c r="J175" s="519" t="n"/>
      <c r="K175" s="537" t="n"/>
      <c r="L175" s="588">
        <f>SUM(INDIRECT(CHAR(COLUMN()+64)&amp;ROW(L176)&amp;":"&amp;IF(_xlfn.ISFORMULA(INDIRECT((ADDRESS(ROW()-1+MATCH(1,$Y176:$Y$261,0),COLUMN(),1,1)))),(ADDRESS(ROW()-2+MATCH(1,$Y176:$Y$261,0),COLUMN(),1,1)),(ADDRESS(ROW()-1+MATCH(1,$Y176:$Y$261,0),COLUMN(),1,1)))))</f>
        <v/>
      </c>
      <c r="M175" s="588">
        <f>SUM(INDIRECT(CHAR(COLUMN()+64)&amp;ROW(M176)&amp;":"&amp;IF(_xlfn.ISFORMULA(INDIRECT((ADDRESS(ROW()-1+MATCH(1,$Y176:$Y$261,0),COLUMN(),1,1)))),(ADDRESS(ROW()-2+MATCH(1,$Y176:$Y$261,0),COLUMN(),1,1)),(ADDRESS(ROW()-1+MATCH(1,$Y176:$Y$261,0),COLUMN(),1,1)))))</f>
        <v/>
      </c>
      <c r="N175" s="588">
        <f>SUM(INDIRECT(CHAR(COLUMN()+64)&amp;ROW(N176)&amp;":"&amp;IF(_xlfn.ISFORMULA(INDIRECT((ADDRESS(ROW()-1+MATCH(1,$Y176:$Y$261,0),COLUMN(),1,1)))),(ADDRESS(ROW()-2+MATCH(1,$Y176:$Y$261,0),COLUMN(),1,1)),(ADDRESS(ROW()-1+MATCH(1,$Y176:$Y$261,0),COLUMN(),1,1)))))</f>
        <v/>
      </c>
      <c r="O175" s="588">
        <f>SUM(INDIRECT(CHAR(COLUMN()+64)&amp;ROW(O176)&amp;":"&amp;IF(_xlfn.ISFORMULA(INDIRECT((ADDRESS(ROW()-1+MATCH(1,$Y176:$Y$261,0),COLUMN(),1,1)))),(ADDRESS(ROW()-2+MATCH(1,$Y176:$Y$261,0),COLUMN(),1,1)),(ADDRESS(ROW()-1+MATCH(1,$Y176:$Y$261,0),COLUMN(),1,1)))))</f>
        <v/>
      </c>
      <c r="P175" s="588">
        <f>SUM(INDIRECT(CHAR(COLUMN()+64)&amp;ROW(P176)&amp;":"&amp;IF(_xlfn.ISFORMULA(INDIRECT((ADDRESS(ROW()-1+MATCH(1,$Y176:$Y$261,0),COLUMN(),1,1)))),(ADDRESS(ROW()-2+MATCH(1,$Y176:$Y$261,0),COLUMN(),1,1)),(ADDRESS(ROW()-1+MATCH(1,$Y176:$Y$261,0),COLUMN(),1,1)))))</f>
        <v/>
      </c>
      <c r="Q175" s="522">
        <f>IFERROR((O175-P175),"N/A")</f>
        <v/>
      </c>
      <c r="R175" s="523">
        <f>IFERROR((O175-P175)/ABS(P175),"N/A")</f>
        <v/>
      </c>
      <c r="S175" s="537" t="n"/>
      <c r="T175" s="588">
        <f>SUM(INDIRECT(CHAR(COLUMN()+64)&amp;ROW(T176)&amp;":"&amp;IF(_xlfn.ISFORMULA(INDIRECT((ADDRESS(ROW()-1+MATCH(1,$Y176:$Y$261,0),COLUMN(),1,1)))),(ADDRESS(ROW()-2+MATCH(1,$Y176:$Y$261,0),COLUMN(),1,1)),(ADDRESS(ROW()-1+MATCH(1,$Y176:$Y$261,0),COLUMN(),1,1)))))</f>
        <v/>
      </c>
      <c r="U175" s="588">
        <f>SUM(INDIRECT(CHAR(COLUMN()+64)&amp;ROW(U176)&amp;":"&amp;IF(_xlfn.ISFORMULA(INDIRECT((ADDRESS(ROW()-1+MATCH(1,$Y176:$Y$261,0),COLUMN(),1,1)))),(ADDRESS(ROW()-2+MATCH(1,$Y176:$Y$261,0),COLUMN(),1,1)),(ADDRESS(ROW()-1+MATCH(1,$Y176:$Y$261,0),COLUMN(),1,1)))))</f>
        <v/>
      </c>
      <c r="V175" s="522">
        <f>IFERROR((T175-U175),"N/A")</f>
        <v/>
      </c>
      <c r="W175" s="523">
        <f>IFERROR((T175-U175)/ABS(U175),"N/A")</f>
        <v/>
      </c>
      <c r="X175" s="537" t="n"/>
      <c r="Y175" s="512">
        <f>IF(ISNUMBER(SEARCH("SUMPRODUCT",_xlfn.FORMULATEXT(L175),1))=FALSE,IF(ISNUMBER(SEARCH("INDIRECT",_xlfn.FORMULATEXT(L175),1))=TRUE,1,0),2)</f>
        <v/>
      </c>
      <c r="Z175" s="525">
        <f>IFERROR(SUMPRODUCT(--(_xlfn.ISFORMULA(L175)=FALSE),--(C175&lt;&gt;"Other Projects"),--(AC175&lt;&gt;TRUE),L175),0)</f>
        <v/>
      </c>
      <c r="AA175" s="512">
        <f>IFERROR(SUMPRODUCT(--(_xlfn.ISFORMULA(L175)=FALSE),--(C175&lt;&gt;"Other Projects"),--(G175="Yes"),--(AC175&lt;&gt;TRUE),L175),0)</f>
        <v/>
      </c>
      <c r="AB175" s="512">
        <f>IF(_xlfn.ISFORMULA(L175)=TRUE,0,AB174-1)</f>
        <v/>
      </c>
      <c r="AC175" s="512" t="n"/>
    </row>
    <row r="176" outlineLevel="1" ht="63.75" customFormat="1" customHeight="1" s="266">
      <c r="A176" s="515" t="n"/>
      <c r="B176" s="526" t="inlineStr">
        <is>
          <t>Midstream</t>
        </is>
      </c>
      <c r="C176" s="530" t="inlineStr">
        <is>
          <t>[Input of the project name]</t>
        </is>
      </c>
      <c r="D176" s="531" t="inlineStr">
        <is>
          <t>[input: brief description of the project, including:</t>
        </is>
      </c>
      <c r="E176" s="518">
        <f>IF(ISBLANK(C176)=FALSE,"thsd</f>
        <v/>
      </c>
      <c r="F176" s="518">
        <f>IF(ISBLANK(C176)=FALSE,"+","")</f>
        <v/>
      </c>
      <c r="G176" s="532" t="n"/>
      <c r="H176" s="533" t="n"/>
      <c r="I176" s="533" t="n"/>
      <c r="J176" s="536" t="n"/>
      <c r="K176" s="537" t="n"/>
      <c r="L176" s="534" t="n"/>
      <c r="M176" s="534" t="n"/>
      <c r="N176" s="534" t="n"/>
      <c r="O176" s="534" t="n"/>
      <c r="P176" s="534" t="n"/>
      <c r="Q176" s="522">
        <f>IFERROR((O176-P176),"N/A")</f>
        <v/>
      </c>
      <c r="R176" s="523">
        <f>IFERROR((O176-P176)/ABS(P176),"N/A")</f>
        <v/>
      </c>
      <c r="S176" s="537" t="n"/>
      <c r="T176" s="538" t="n"/>
      <c r="U176" s="538" t="n"/>
      <c r="V176" s="522">
        <f>IFERROR((T176-U176),"N/A")</f>
        <v/>
      </c>
      <c r="W176" s="523">
        <f>IFERROR((T176-U176)/ABS(U176),"N/A")</f>
        <v/>
      </c>
      <c r="X176" s="537" t="n"/>
      <c r="Y176" s="512">
        <f>IF(ISNUMBER(SEARCH("SUMPRODUCT",_xlfn.FORMULATEXT(L176),1))=FALSE,IF(ISNUMBER(SEARCH("INDIRECT",_xlfn.FORMULATEXT(L176),1))=TRUE,1,0),2)</f>
        <v/>
      </c>
      <c r="Z176" s="525">
        <f>IFERROR(SUMPRODUCT(--(_xlfn.ISFORMULA(L176)=FALSE),--(C176&lt;&gt;"Other Projects"),--(AC176&lt;&gt;TRUE),L176),0)</f>
        <v/>
      </c>
      <c r="AA176" s="512">
        <f>IFERROR(SUMPRODUCT(--(_xlfn.ISFORMULA(L176)=FALSE),--(C176&lt;&gt;"Other Projects"),--(G176="Yes"),--(AC176&lt;&gt;TRUE),L176),0)</f>
        <v/>
      </c>
      <c r="AB176" s="512">
        <f>IF(_xlfn.ISFORMULA(L176)=TRUE,0,AB175-1)</f>
        <v/>
      </c>
      <c r="AC176" s="512" t="n"/>
    </row>
    <row r="177" outlineLevel="1" ht="63.75" customFormat="1" customHeight="1" s="266">
      <c r="A177" s="515" t="n"/>
      <c r="B177" s="526" t="inlineStr">
        <is>
          <t>Midstream</t>
        </is>
      </c>
      <c r="C177" s="530" t="inlineStr">
        <is>
          <t>[Input of the project name]</t>
        </is>
      </c>
      <c r="D177" s="531" t="inlineStr">
        <is>
          <t>[input: brief description of the project, including:</t>
        </is>
      </c>
      <c r="E177" s="518">
        <f>IF(ISBLANK(C177)=FALSE,"thsd</f>
        <v/>
      </c>
      <c r="F177" s="518">
        <f>IF(ISBLANK(C177)=FALSE,"+","")</f>
        <v/>
      </c>
      <c r="G177" s="532" t="n"/>
      <c r="H177" s="533" t="n"/>
      <c r="I177" s="533" t="n"/>
      <c r="J177" s="536" t="n"/>
      <c r="K177" s="537" t="n"/>
      <c r="L177" s="534" t="n"/>
      <c r="M177" s="534" t="n"/>
      <c r="N177" s="534" t="n"/>
      <c r="O177" s="534" t="n"/>
      <c r="P177" s="534" t="n"/>
      <c r="Q177" s="522">
        <f>IFERROR((O177-P177),"N/A")</f>
        <v/>
      </c>
      <c r="R177" s="523">
        <f>IFERROR((O177-P177)/ABS(P177),"N/A")</f>
        <v/>
      </c>
      <c r="S177" s="537" t="n"/>
      <c r="T177" s="538" t="n"/>
      <c r="U177" s="538" t="n"/>
      <c r="V177" s="522">
        <f>IFERROR((T177-U177),"N/A")</f>
        <v/>
      </c>
      <c r="W177" s="523">
        <f>IFERROR((T177-U177)/ABS(U177),"N/A")</f>
        <v/>
      </c>
      <c r="X177" s="537" t="n"/>
      <c r="Y177" s="512">
        <f>IF(ISNUMBER(SEARCH("SUMPRODUCT",_xlfn.FORMULATEXT(L177),1))=FALSE,IF(ISNUMBER(SEARCH("INDIRECT",_xlfn.FORMULATEXT(L177),1))=TRUE,1,0),2)</f>
        <v/>
      </c>
      <c r="Z177" s="525">
        <f>IFERROR(SUMPRODUCT(--(_xlfn.ISFORMULA(L177)=FALSE),--(C177&lt;&gt;"Other Projects"),--(AC177&lt;&gt;TRUE),L177),0)</f>
        <v/>
      </c>
      <c r="AA177" s="512">
        <f>IFERROR(SUMPRODUCT(--(_xlfn.ISFORMULA(L177)=FALSE),--(C177&lt;&gt;"Other Projects"),--(G177="Yes"),--(AC177&lt;&gt;TRUE),L177),0)</f>
        <v/>
      </c>
      <c r="AB177" s="512">
        <f>IF(_xlfn.ISFORMULA(L177)=TRUE,0,AB176-1)</f>
        <v/>
      </c>
      <c r="AC177" s="512" t="n"/>
    </row>
    <row r="178" outlineLevel="1" ht="63.75" customFormat="1" customHeight="1" s="266">
      <c r="A178" s="515" t="n"/>
      <c r="B178" s="526" t="inlineStr">
        <is>
          <t>Midstream</t>
        </is>
      </c>
      <c r="C178" s="530" t="inlineStr">
        <is>
          <t>[Input of the project name]</t>
        </is>
      </c>
      <c r="D178" s="531" t="inlineStr">
        <is>
          <t>[input: brief description of the project, including:</t>
        </is>
      </c>
      <c r="E178" s="518">
        <f>IF(ISBLANK(C178)=FALSE,"thsd</f>
        <v/>
      </c>
      <c r="F178" s="518">
        <f>IF(ISBLANK(C178)=FALSE,"+","")</f>
        <v/>
      </c>
      <c r="G178" s="532" t="n"/>
      <c r="H178" s="533" t="n"/>
      <c r="I178" s="533" t="n"/>
      <c r="J178" s="536" t="n"/>
      <c r="K178" s="537" t="n"/>
      <c r="L178" s="534" t="n"/>
      <c r="M178" s="534" t="n"/>
      <c r="N178" s="534" t="n"/>
      <c r="O178" s="534" t="n"/>
      <c r="P178" s="534" t="n"/>
      <c r="Q178" s="522">
        <f>IFERROR((O178-P178),"N/A")</f>
        <v/>
      </c>
      <c r="R178" s="523">
        <f>IFERROR((O178-P178)/ABS(P178),"N/A")</f>
        <v/>
      </c>
      <c r="S178" s="537" t="n"/>
      <c r="T178" s="538" t="n"/>
      <c r="U178" s="538" t="n"/>
      <c r="V178" s="522">
        <f>IFERROR((T178-U178),"N/A")</f>
        <v/>
      </c>
      <c r="W178" s="523">
        <f>IFERROR((T178-U178)/ABS(U178),"N/A")</f>
        <v/>
      </c>
      <c r="X178" s="537" t="n"/>
      <c r="Y178" s="512">
        <f>IF(ISNUMBER(SEARCH("SUMPRODUCT",_xlfn.FORMULATEXT(L178),1))=FALSE,IF(ISNUMBER(SEARCH("INDIRECT",_xlfn.FORMULATEXT(L178),1))=TRUE,1,0),2)</f>
        <v/>
      </c>
      <c r="Z178" s="525">
        <f>IFERROR(SUMPRODUCT(--(_xlfn.ISFORMULA(L178)=FALSE),--(C178&lt;&gt;"Other Projects"),--(AC178&lt;&gt;TRUE),L178),0)</f>
        <v/>
      </c>
      <c r="AA178" s="512">
        <f>IFERROR(SUMPRODUCT(--(_xlfn.ISFORMULA(L178)=FALSE),--(C178&lt;&gt;"Other Projects"),--(G178="Yes"),--(AC178&lt;&gt;TRUE),L178),0)</f>
        <v/>
      </c>
      <c r="AB178" s="512">
        <f>IF(_xlfn.ISFORMULA(L178)=TRUE,0,AB177-1)</f>
        <v/>
      </c>
      <c r="AC178" s="512" t="n"/>
    </row>
    <row r="179" outlineLevel="1" ht="63.75" customFormat="1" customHeight="1" s="266">
      <c r="A179" s="515" t="n"/>
      <c r="B179" s="526" t="inlineStr">
        <is>
          <t>Midstream</t>
        </is>
      </c>
      <c r="C179" s="530" t="inlineStr">
        <is>
          <t>[Input of the project name]</t>
        </is>
      </c>
      <c r="D179" s="531" t="inlineStr">
        <is>
          <t>[input: brief description of the project, including:</t>
        </is>
      </c>
      <c r="E179" s="518">
        <f>IF(ISBLANK(C179)=FALSE,"thsd</f>
        <v/>
      </c>
      <c r="F179" s="518">
        <f>IF(ISBLANK(C179)=FALSE,"+","")</f>
        <v/>
      </c>
      <c r="G179" s="532" t="n"/>
      <c r="H179" s="533" t="n"/>
      <c r="I179" s="533" t="n"/>
      <c r="J179" s="536" t="n"/>
      <c r="K179" s="537" t="n"/>
      <c r="L179" s="534" t="n"/>
      <c r="M179" s="534" t="n"/>
      <c r="N179" s="534" t="n"/>
      <c r="O179" s="534" t="n"/>
      <c r="P179" s="534" t="n"/>
      <c r="Q179" s="522">
        <f>IFERROR((O179-P179),"N/A")</f>
        <v/>
      </c>
      <c r="R179" s="523">
        <f>IFERROR((O179-P179)/ABS(P179),"N/A")</f>
        <v/>
      </c>
      <c r="S179" s="537" t="n"/>
      <c r="T179" s="538" t="n"/>
      <c r="U179" s="538" t="n"/>
      <c r="V179" s="522">
        <f>IFERROR((T179-U179),"N/A")</f>
        <v/>
      </c>
      <c r="W179" s="523">
        <f>IFERROR((T179-U179)/ABS(U179),"N/A")</f>
        <v/>
      </c>
      <c r="X179" s="537" t="n"/>
      <c r="Y179" s="512">
        <f>IF(ISNUMBER(SEARCH("SUMPRODUCT",_xlfn.FORMULATEXT(L179),1))=FALSE,IF(ISNUMBER(SEARCH("INDIRECT",_xlfn.FORMULATEXT(L179),1))=TRUE,1,0),2)</f>
        <v/>
      </c>
      <c r="Z179" s="525">
        <f>IFERROR(SUMPRODUCT(--(_xlfn.ISFORMULA(L179)=FALSE),--(C179&lt;&gt;"Other Projects"),--(AC179&lt;&gt;TRUE),L179),0)</f>
        <v/>
      </c>
      <c r="AA179" s="512">
        <f>IFERROR(SUMPRODUCT(--(_xlfn.ISFORMULA(L179)=FALSE),--(C179&lt;&gt;"Other Projects"),--(G179="Yes"),--(AC179&lt;&gt;TRUE),L179),0)</f>
        <v/>
      </c>
      <c r="AB179" s="512">
        <f>IF(_xlfn.ISFORMULA(L179)=TRUE,0,AB178-1)</f>
        <v/>
      </c>
      <c r="AC179" s="512" t="n"/>
    </row>
    <row r="180" outlineLevel="1" ht="63.75" customFormat="1" customHeight="1" s="266">
      <c r="A180" s="515" t="n"/>
      <c r="B180" s="526" t="inlineStr">
        <is>
          <t>Midstream</t>
        </is>
      </c>
      <c r="C180" s="530" t="inlineStr">
        <is>
          <t>[Input of the project name]</t>
        </is>
      </c>
      <c r="D180" s="531" t="inlineStr">
        <is>
          <t>[input: brief description of the project, including:</t>
        </is>
      </c>
      <c r="E180" s="518">
        <f>IF(ISBLANK(C180)=FALSE,"thsd</f>
        <v/>
      </c>
      <c r="F180" s="518">
        <f>IF(ISBLANK(C180)=FALSE,"+","")</f>
        <v/>
      </c>
      <c r="G180" s="532" t="n"/>
      <c r="H180" s="533" t="n"/>
      <c r="I180" s="533" t="n"/>
      <c r="J180" s="536" t="n"/>
      <c r="K180" s="537" t="n"/>
      <c r="L180" s="534" t="n"/>
      <c r="M180" s="534" t="n"/>
      <c r="N180" s="534" t="n"/>
      <c r="O180" s="534" t="n"/>
      <c r="P180" s="534" t="n"/>
      <c r="Q180" s="522">
        <f>IFERROR((O180-P180),"N/A")</f>
        <v/>
      </c>
      <c r="R180" s="523">
        <f>IFERROR((O180-P180)/ABS(P180),"N/A")</f>
        <v/>
      </c>
      <c r="S180" s="537" t="n"/>
      <c r="T180" s="538" t="n"/>
      <c r="U180" s="538" t="n"/>
      <c r="V180" s="522">
        <f>IFERROR((T180-U180),"N/A")</f>
        <v/>
      </c>
      <c r="W180" s="523">
        <f>IFERROR((T180-U180)/ABS(U180),"N/A")</f>
        <v/>
      </c>
      <c r="X180" s="537" t="n"/>
      <c r="Y180" s="512">
        <f>IF(ISNUMBER(SEARCH("SUMPRODUCT",_xlfn.FORMULATEXT(L180),1))=FALSE,IF(ISNUMBER(SEARCH("INDIRECT",_xlfn.FORMULATEXT(L180),1))=TRUE,1,0),2)</f>
        <v/>
      </c>
      <c r="Z180" s="525">
        <f>IFERROR(SUMPRODUCT(--(_xlfn.ISFORMULA(L180)=FALSE),--(C180&lt;&gt;"Other Projects"),--(AC180&lt;&gt;TRUE),L180),0)</f>
        <v/>
      </c>
      <c r="AA180" s="512">
        <f>IFERROR(SUMPRODUCT(--(_xlfn.ISFORMULA(L180)=FALSE),--(C180&lt;&gt;"Other Projects"),--(G180="Yes"),--(AC180&lt;&gt;TRUE),L180),0)</f>
        <v/>
      </c>
      <c r="AB180" s="512">
        <f>IF(_xlfn.ISFORMULA(L180)=TRUE,0,AB179-1)</f>
        <v/>
      </c>
      <c r="AC180" s="512" t="n"/>
    </row>
    <row r="181" outlineLevel="1" ht="63.75" customFormat="1" customHeight="1" s="266">
      <c r="A181" s="515" t="n"/>
      <c r="B181" s="526" t="inlineStr">
        <is>
          <t>Midstream</t>
        </is>
      </c>
      <c r="C181" s="530" t="inlineStr">
        <is>
          <t>[Input of the project name]</t>
        </is>
      </c>
      <c r="D181" s="531" t="inlineStr">
        <is>
          <t>[input: brief description of the project, including:</t>
        </is>
      </c>
      <c r="E181" s="518">
        <f>IF(ISBLANK(C181)=FALSE,"thsd</f>
        <v/>
      </c>
      <c r="F181" s="518">
        <f>IF(ISBLANK(C181)=FALSE,"+","")</f>
        <v/>
      </c>
      <c r="G181" s="532" t="n"/>
      <c r="H181" s="533" t="n"/>
      <c r="I181" s="533" t="n"/>
      <c r="J181" s="536" t="n"/>
      <c r="K181" s="537" t="n"/>
      <c r="L181" s="534" t="n"/>
      <c r="M181" s="534" t="n"/>
      <c r="N181" s="534" t="n"/>
      <c r="O181" s="534" t="n"/>
      <c r="P181" s="534" t="n"/>
      <c r="Q181" s="522">
        <f>IFERROR((O181-P181),"N/A")</f>
        <v/>
      </c>
      <c r="R181" s="523">
        <f>IFERROR((O181-P181)/ABS(P181),"N/A")</f>
        <v/>
      </c>
      <c r="S181" s="537" t="n"/>
      <c r="T181" s="538" t="n"/>
      <c r="U181" s="538" t="n"/>
      <c r="V181" s="522">
        <f>IFERROR((T181-U181),"N/A")</f>
        <v/>
      </c>
      <c r="W181" s="523">
        <f>IFERROR((T181-U181)/ABS(U181),"N/A")</f>
        <v/>
      </c>
      <c r="X181" s="537" t="n"/>
      <c r="Y181" s="512">
        <f>IF(ISNUMBER(SEARCH("SUMPRODUCT",_xlfn.FORMULATEXT(L181),1))=FALSE,IF(ISNUMBER(SEARCH("INDIRECT",_xlfn.FORMULATEXT(L181),1))=TRUE,1,0),2)</f>
        <v/>
      </c>
      <c r="Z181" s="525">
        <f>IFERROR(SUMPRODUCT(--(_xlfn.ISFORMULA(L181)=FALSE),--(C181&lt;&gt;"Other Projects"),--(AC181&lt;&gt;TRUE),L181),0)</f>
        <v/>
      </c>
      <c r="AA181" s="512">
        <f>IFERROR(SUMPRODUCT(--(_xlfn.ISFORMULA(L181)=FALSE),--(C181&lt;&gt;"Other Projects"),--(G181="Yes"),--(AC181&lt;&gt;TRUE),L181),0)</f>
        <v/>
      </c>
      <c r="AB181" s="512">
        <f>IF(_xlfn.ISFORMULA(L181)=TRUE,0,AB180-1)</f>
        <v/>
      </c>
      <c r="AC181" s="512" t="n"/>
    </row>
    <row r="182" outlineLevel="1" ht="63.75" customFormat="1" customHeight="1" s="266">
      <c r="A182" s="515" t="n"/>
      <c r="B182" s="526" t="inlineStr">
        <is>
          <t>Midstream</t>
        </is>
      </c>
      <c r="C182" s="530" t="inlineStr">
        <is>
          <t>[Input of the project name]</t>
        </is>
      </c>
      <c r="D182" s="531" t="inlineStr">
        <is>
          <t>[input: brief description of the project, including:</t>
        </is>
      </c>
      <c r="E182" s="518">
        <f>IF(ISBLANK(C182)=FALSE,"thsd</f>
        <v/>
      </c>
      <c r="F182" s="518">
        <f>IF(ISBLANK(C182)=FALSE,"+","")</f>
        <v/>
      </c>
      <c r="G182" s="532" t="n"/>
      <c r="H182" s="533" t="n"/>
      <c r="I182" s="533" t="n"/>
      <c r="J182" s="536" t="n"/>
      <c r="K182" s="537" t="n"/>
      <c r="L182" s="534" t="n"/>
      <c r="M182" s="534" t="n"/>
      <c r="N182" s="534" t="n"/>
      <c r="O182" s="534" t="n"/>
      <c r="P182" s="534" t="n"/>
      <c r="Q182" s="522">
        <f>IFERROR((O182-P182),"N/A")</f>
        <v/>
      </c>
      <c r="R182" s="523">
        <f>IFERROR((O182-P182)/ABS(P182),"N/A")</f>
        <v/>
      </c>
      <c r="S182" s="537" t="n"/>
      <c r="T182" s="538" t="n"/>
      <c r="U182" s="538" t="n"/>
      <c r="V182" s="522">
        <f>IFERROR((T182-U182),"N/A")</f>
        <v/>
      </c>
      <c r="W182" s="523">
        <f>IFERROR((T182-U182)/ABS(U182),"N/A")</f>
        <v/>
      </c>
      <c r="X182" s="537" t="n"/>
      <c r="Y182" s="512">
        <f>IF(ISNUMBER(SEARCH("SUMPRODUCT",_xlfn.FORMULATEXT(L182),1))=FALSE,IF(ISNUMBER(SEARCH("INDIRECT",_xlfn.FORMULATEXT(L182),1))=TRUE,1,0),2)</f>
        <v/>
      </c>
      <c r="Z182" s="525">
        <f>IFERROR(SUMPRODUCT(--(_xlfn.ISFORMULA(L182)=FALSE),--(C182&lt;&gt;"Other Projects"),--(AC182&lt;&gt;TRUE),L182),0)</f>
        <v/>
      </c>
      <c r="AA182" s="512">
        <f>IFERROR(SUMPRODUCT(--(_xlfn.ISFORMULA(L182)=FALSE),--(C182&lt;&gt;"Other Projects"),--(G182="Yes"),--(AC182&lt;&gt;TRUE),L182),0)</f>
        <v/>
      </c>
      <c r="AB182" s="512">
        <f>IF(_xlfn.ISFORMULA(L182)=TRUE,0,AB181-1)</f>
        <v/>
      </c>
      <c r="AC182" s="512" t="n"/>
    </row>
    <row r="183" outlineLevel="1" ht="63.75" customFormat="1" customHeight="1" s="266">
      <c r="A183" s="515" t="n"/>
      <c r="B183" s="526" t="inlineStr">
        <is>
          <t>Midstream</t>
        </is>
      </c>
      <c r="C183" s="530" t="inlineStr">
        <is>
          <t>[Input of the project name]</t>
        </is>
      </c>
      <c r="D183" s="531" t="inlineStr">
        <is>
          <t>[input: brief description of the project, including:</t>
        </is>
      </c>
      <c r="E183" s="518">
        <f>IF(ISBLANK(C183)=FALSE,"thsd</f>
        <v/>
      </c>
      <c r="F183" s="518">
        <f>IF(ISBLANK(C183)=FALSE,"+","")</f>
        <v/>
      </c>
      <c r="G183" s="532" t="n"/>
      <c r="H183" s="533" t="n"/>
      <c r="I183" s="533" t="n"/>
      <c r="J183" s="536" t="n"/>
      <c r="K183" s="537" t="n"/>
      <c r="L183" s="534" t="n"/>
      <c r="M183" s="534" t="n"/>
      <c r="N183" s="534" t="n"/>
      <c r="O183" s="534" t="n"/>
      <c r="P183" s="534" t="n"/>
      <c r="Q183" s="522">
        <f>IFERROR((O183-P183),"N/A")</f>
        <v/>
      </c>
      <c r="R183" s="523">
        <f>IFERROR((O183-P183)/ABS(P183),"N/A")</f>
        <v/>
      </c>
      <c r="S183" s="537" t="n"/>
      <c r="T183" s="538" t="n"/>
      <c r="U183" s="538" t="n"/>
      <c r="V183" s="522">
        <f>IFERROR((T183-U183),"N/A")</f>
        <v/>
      </c>
      <c r="W183" s="523">
        <f>IFERROR((T183-U183)/ABS(U183),"N/A")</f>
        <v/>
      </c>
      <c r="X183" s="537" t="n"/>
      <c r="Y183" s="512">
        <f>IF(ISNUMBER(SEARCH("SUMPRODUCT",_xlfn.FORMULATEXT(L183),1))=FALSE,IF(ISNUMBER(SEARCH("INDIRECT",_xlfn.FORMULATEXT(L183),1))=TRUE,1,0),2)</f>
        <v/>
      </c>
      <c r="Z183" s="525">
        <f>IFERROR(SUMPRODUCT(--(_xlfn.ISFORMULA(L183)=FALSE),--(C183&lt;&gt;"Other Projects"),--(AC183&lt;&gt;TRUE),L183),0)</f>
        <v/>
      </c>
      <c r="AA183" s="512">
        <f>IFERROR(SUMPRODUCT(--(_xlfn.ISFORMULA(L183)=FALSE),--(C183&lt;&gt;"Other Projects"),--(G183="Yes"),--(AC183&lt;&gt;TRUE),L183),0)</f>
        <v/>
      </c>
      <c r="AB183" s="512">
        <f>IF(_xlfn.ISFORMULA(L183)=TRUE,0,AB182-1)</f>
        <v/>
      </c>
      <c r="AC183" s="512" t="n"/>
    </row>
    <row r="184" outlineLevel="1" ht="63.75" customFormat="1" customHeight="1" s="266">
      <c r="A184" s="515" t="n"/>
      <c r="B184" s="526" t="inlineStr">
        <is>
          <t>Midstream</t>
        </is>
      </c>
      <c r="C184" s="530" t="inlineStr">
        <is>
          <t>[Input of the project name]</t>
        </is>
      </c>
      <c r="D184" s="531" t="inlineStr">
        <is>
          <t>[input: brief description of the project, including:</t>
        </is>
      </c>
      <c r="E184" s="518">
        <f>IF(ISBLANK(C184)=FALSE,"thsd</f>
        <v/>
      </c>
      <c r="F184" s="518">
        <f>IF(ISBLANK(C184)=FALSE,"+","")</f>
        <v/>
      </c>
      <c r="G184" s="532" t="n"/>
      <c r="H184" s="533" t="n"/>
      <c r="I184" s="533" t="n"/>
      <c r="J184" s="536" t="n"/>
      <c r="K184" s="537" t="n"/>
      <c r="L184" s="534" t="n"/>
      <c r="M184" s="534" t="n"/>
      <c r="N184" s="534" t="n"/>
      <c r="O184" s="534" t="n"/>
      <c r="P184" s="534" t="n"/>
      <c r="Q184" s="522">
        <f>IFERROR((O184-P184),"N/A")</f>
        <v/>
      </c>
      <c r="R184" s="523">
        <f>IFERROR((O184-P184)/ABS(P184),"N/A")</f>
        <v/>
      </c>
      <c r="S184" s="537" t="n"/>
      <c r="T184" s="538" t="n"/>
      <c r="U184" s="538" t="n"/>
      <c r="V184" s="522">
        <f>IFERROR((T184-U184),"N/A")</f>
        <v/>
      </c>
      <c r="W184" s="523">
        <f>IFERROR((T184-U184)/ABS(U184),"N/A")</f>
        <v/>
      </c>
      <c r="X184" s="537" t="n"/>
      <c r="Y184" s="512">
        <f>IF(ISNUMBER(SEARCH("SUMPRODUCT",_xlfn.FORMULATEXT(L184),1))=FALSE,IF(ISNUMBER(SEARCH("INDIRECT",_xlfn.FORMULATEXT(L184),1))=TRUE,1,0),2)</f>
        <v/>
      </c>
      <c r="Z184" s="525">
        <f>IFERROR(SUMPRODUCT(--(_xlfn.ISFORMULA(L184)=FALSE),--(C184&lt;&gt;"Other Projects"),--(AC184&lt;&gt;TRUE),L184),0)</f>
        <v/>
      </c>
      <c r="AA184" s="512">
        <f>IFERROR(SUMPRODUCT(--(_xlfn.ISFORMULA(L184)=FALSE),--(C184&lt;&gt;"Other Projects"),--(G184="Yes"),--(AC184&lt;&gt;TRUE),L184),0)</f>
        <v/>
      </c>
      <c r="AB184" s="512">
        <f>IF(_xlfn.ISFORMULA(L184)=TRUE,0,AB183-1)</f>
        <v/>
      </c>
      <c r="AC184" s="512" t="n"/>
    </row>
    <row r="185" outlineLevel="1" ht="63.75" customFormat="1" customHeight="1" s="266">
      <c r="A185" s="515" t="n"/>
      <c r="B185" s="526" t="inlineStr">
        <is>
          <t>Midstream</t>
        </is>
      </c>
      <c r="C185" s="530" t="inlineStr">
        <is>
          <t>[Input of the project name]</t>
        </is>
      </c>
      <c r="D185" s="531" t="inlineStr">
        <is>
          <t>[input: brief description of the project, including:</t>
        </is>
      </c>
      <c r="E185" s="518">
        <f>IF(ISBLANK(C185)=FALSE,"thsd</f>
        <v/>
      </c>
      <c r="F185" s="518">
        <f>IF(ISBLANK(C185)=FALSE,"+","")</f>
        <v/>
      </c>
      <c r="G185" s="532" t="n"/>
      <c r="H185" s="533" t="n"/>
      <c r="I185" s="533" t="n"/>
      <c r="J185" s="536" t="n"/>
      <c r="K185" s="537" t="n"/>
      <c r="L185" s="534" t="n"/>
      <c r="M185" s="534" t="n"/>
      <c r="N185" s="534" t="n"/>
      <c r="O185" s="534" t="n"/>
      <c r="P185" s="534" t="n"/>
      <c r="Q185" s="522">
        <f>IFERROR((O185-P185),"N/A")</f>
        <v/>
      </c>
      <c r="R185" s="523">
        <f>IFERROR((O185-P185)/ABS(P185),"N/A")</f>
        <v/>
      </c>
      <c r="S185" s="537" t="n"/>
      <c r="T185" s="538" t="n"/>
      <c r="U185" s="538" t="n"/>
      <c r="V185" s="522">
        <f>IFERROR((T185-U185),"N/A")</f>
        <v/>
      </c>
      <c r="W185" s="523">
        <f>IFERROR((T185-U185)/ABS(U185),"N/A")</f>
        <v/>
      </c>
      <c r="X185" s="537" t="n"/>
      <c r="Y185" s="512">
        <f>IF(ISNUMBER(SEARCH("SUMPRODUCT",_xlfn.FORMULATEXT(L185),1))=FALSE,IF(ISNUMBER(SEARCH("INDIRECT",_xlfn.FORMULATEXT(L185),1))=TRUE,1,0),2)</f>
        <v/>
      </c>
      <c r="Z185" s="525">
        <f>IFERROR(SUMPRODUCT(--(_xlfn.ISFORMULA(L185)=FALSE),--(C185&lt;&gt;"Other Projects"),--(AC185&lt;&gt;TRUE),L185),0)</f>
        <v/>
      </c>
      <c r="AA185" s="512">
        <f>IFERROR(SUMPRODUCT(--(_xlfn.ISFORMULA(L185)=FALSE),--(C185&lt;&gt;"Other Projects"),--(G185="Yes"),--(AC185&lt;&gt;TRUE),L185),0)</f>
        <v/>
      </c>
      <c r="AB185" s="512">
        <f>IF(_xlfn.ISFORMULA(L185)=TRUE,0,AB184-1)</f>
        <v/>
      </c>
      <c r="AC185" s="512" t="n"/>
    </row>
    <row r="186" outlineLevel="1" customFormat="1" s="266">
      <c r="A186" s="515" t="n"/>
      <c r="B186" s="526" t="inlineStr">
        <is>
          <t>Midstream</t>
        </is>
      </c>
      <c r="C186" s="539" t="inlineStr">
        <is>
          <t>Other projects</t>
        </is>
      </c>
      <c r="D186" s="540" t="n"/>
      <c r="E186" s="518">
        <f>IF(ISBLANK(C186)=FALSE,"thsd</f>
        <v/>
      </c>
      <c r="F186" s="518">
        <f>IF(ISBLANK(C186)=FALSE,"+","")</f>
        <v/>
      </c>
      <c r="G186" s="532" t="n"/>
      <c r="H186" s="533" t="n"/>
      <c r="I186" s="533" t="n"/>
      <c r="J186" s="536" t="n"/>
      <c r="K186" s="537" t="n"/>
      <c r="L186" s="534" t="n"/>
      <c r="M186" s="534" t="n"/>
      <c r="N186" s="534" t="n"/>
      <c r="O186" s="534" t="n"/>
      <c r="P186" s="534" t="n"/>
      <c r="Q186" s="522">
        <f>IFERROR((O186-P186),"N/A")</f>
        <v/>
      </c>
      <c r="R186" s="523">
        <f>IFERROR((O186-P186)/ABS(P186),"N/A")</f>
        <v/>
      </c>
      <c r="S186" s="537" t="n"/>
      <c r="T186" s="538" t="n"/>
      <c r="U186" s="538" t="n"/>
      <c r="V186" s="522">
        <f>IFERROR((T186-U186),"N/A")</f>
        <v/>
      </c>
      <c r="W186" s="523">
        <f>IFERROR((T186-U186)/ABS(U186),"N/A")</f>
        <v/>
      </c>
      <c r="X186" s="537" t="n"/>
      <c r="Y186" s="512">
        <f>IF(ISNUMBER(SEARCH("SUMPRODUCT",_xlfn.FORMULATEXT(L186),1))=FALSE,IF(ISNUMBER(SEARCH("INDIRECT",_xlfn.FORMULATEXT(L186),1))=TRUE,1,0),2)</f>
        <v/>
      </c>
      <c r="Z186" s="525">
        <f>IFERROR(SUMPRODUCT(--(_xlfn.ISFORMULA(L186)=FALSE),--(C186&lt;&gt;"Other Projects"),--(AC186&lt;&gt;TRUE),L186),0)</f>
        <v/>
      </c>
      <c r="AA186" s="512">
        <f>IFERROR(SUMPRODUCT(--(_xlfn.ISFORMULA(L186)=FALSE),--(C186&lt;&gt;"Other Projects"),--(G186="Yes"),--(AC186&lt;&gt;TRUE),L186),0)</f>
        <v/>
      </c>
      <c r="AB186" s="512">
        <f>IF(_xlfn.ISFORMULA(L186)=TRUE,0,AB185-1)</f>
        <v/>
      </c>
      <c r="AC186" s="512" t="n"/>
    </row>
    <row r="187" outlineLevel="1" ht="15" customFormat="1" customHeight="1" s="266">
      <c r="A187" s="515" t="n"/>
      <c r="B187" s="526" t="inlineStr">
        <is>
          <t>Midstream</t>
        </is>
      </c>
      <c r="C187" s="527" t="inlineStr">
        <is>
          <t>Projects of replacement or new pipeline (for gas)</t>
        </is>
      </c>
      <c r="D187" s="905" t="n"/>
      <c r="E187" s="518">
        <f>IF(ISBLANK(C187)=FALSE,"thsd</f>
        <v/>
      </c>
      <c r="F187" s="518">
        <f>IF(ISBLANK(C187)=FALSE,"+","")</f>
        <v/>
      </c>
      <c r="G187" s="519" t="n"/>
      <c r="H187" s="519" t="n"/>
      <c r="I187" s="519" t="n"/>
      <c r="J187" s="519" t="n"/>
      <c r="K187" s="537" t="n"/>
      <c r="L187" s="588">
        <f>SUM(INDIRECT(CHAR(COLUMN()+64)&amp;ROW(L188)&amp;":"&amp;IF(_xlfn.ISFORMULA(INDIRECT((ADDRESS(ROW()-1+MATCH(1,$Y188:$Y$261,0),COLUMN(),1,1)))),(ADDRESS(ROW()-2+MATCH(1,$Y188:$Y$261,0),COLUMN(),1,1)),(ADDRESS(ROW()-1+MATCH(1,$Y188:$Y$261,0),COLUMN(),1,1)))))</f>
        <v/>
      </c>
      <c r="M187" s="588">
        <f>SUM(INDIRECT(CHAR(COLUMN()+64)&amp;ROW(M188)&amp;":"&amp;IF(_xlfn.ISFORMULA(INDIRECT((ADDRESS(ROW()-1+MATCH(1,$Y188:$Y$261,0),COLUMN(),1,1)))),(ADDRESS(ROW()-2+MATCH(1,$Y188:$Y$261,0),COLUMN(),1,1)),(ADDRESS(ROW()-1+MATCH(1,$Y188:$Y$261,0),COLUMN(),1,1)))))</f>
        <v/>
      </c>
      <c r="N187" s="588">
        <f>SUM(INDIRECT(CHAR(COLUMN()+64)&amp;ROW(N188)&amp;":"&amp;IF(_xlfn.ISFORMULA(INDIRECT((ADDRESS(ROW()-1+MATCH(1,$Y188:$Y$261,0),COLUMN(),1,1)))),(ADDRESS(ROW()-2+MATCH(1,$Y188:$Y$261,0),COLUMN(),1,1)),(ADDRESS(ROW()-1+MATCH(1,$Y188:$Y$261,0),COLUMN(),1,1)))))</f>
        <v/>
      </c>
      <c r="O187" s="588">
        <f>SUM(INDIRECT(CHAR(COLUMN()+64)&amp;ROW(O188)&amp;":"&amp;IF(_xlfn.ISFORMULA(INDIRECT((ADDRESS(ROW()-1+MATCH(1,$Y188:$Y$261,0),COLUMN(),1,1)))),(ADDRESS(ROW()-2+MATCH(1,$Y188:$Y$261,0),COLUMN(),1,1)),(ADDRESS(ROW()-1+MATCH(1,$Y188:$Y$261,0),COLUMN(),1,1)))))</f>
        <v/>
      </c>
      <c r="P187" s="588">
        <f>SUM(INDIRECT(CHAR(COLUMN()+64)&amp;ROW(P188)&amp;":"&amp;IF(_xlfn.ISFORMULA(INDIRECT((ADDRESS(ROW()-1+MATCH(1,$Y188:$Y$261,0),COLUMN(),1,1)))),(ADDRESS(ROW()-2+MATCH(1,$Y188:$Y$261,0),COLUMN(),1,1)),(ADDRESS(ROW()-1+MATCH(1,$Y188:$Y$261,0),COLUMN(),1,1)))))</f>
        <v/>
      </c>
      <c r="Q187" s="522">
        <f>IFERROR((O187-P187),"N/A")</f>
        <v/>
      </c>
      <c r="R187" s="523">
        <f>IFERROR((O187-P187)/ABS(P187),"N/A")</f>
        <v/>
      </c>
      <c r="S187" s="537" t="n"/>
      <c r="T187" s="588">
        <f>SUM(INDIRECT(CHAR(COLUMN()+64)&amp;ROW(T188)&amp;":"&amp;IF(_xlfn.ISFORMULA(INDIRECT((ADDRESS(ROW()-1+MATCH(1,$Y188:$Y$261,0),COLUMN(),1,1)))),(ADDRESS(ROW()-2+MATCH(1,$Y188:$Y$261,0),COLUMN(),1,1)),(ADDRESS(ROW()-1+MATCH(1,$Y188:$Y$261,0),COLUMN(),1,1)))))</f>
        <v/>
      </c>
      <c r="U187" s="588">
        <f>SUM(INDIRECT(CHAR(COLUMN()+64)&amp;ROW(U188)&amp;":"&amp;IF(_xlfn.ISFORMULA(INDIRECT((ADDRESS(ROW()-1+MATCH(1,$Y188:$Y$261,0),COLUMN(),1,1)))),(ADDRESS(ROW()-2+MATCH(1,$Y188:$Y$261,0),COLUMN(),1,1)),(ADDRESS(ROW()-1+MATCH(1,$Y188:$Y$261,0),COLUMN(),1,1)))))</f>
        <v/>
      </c>
      <c r="V187" s="522">
        <f>IFERROR((T187-U187),"N/A")</f>
        <v/>
      </c>
      <c r="W187" s="523">
        <f>IFERROR((T187-U187)/ABS(U187),"N/A")</f>
        <v/>
      </c>
      <c r="X187" s="537" t="n"/>
      <c r="Y187" s="512">
        <f>IF(ISNUMBER(SEARCH("SUMPRODUCT",_xlfn.FORMULATEXT(L187),1))=FALSE,IF(ISNUMBER(SEARCH("INDIRECT",_xlfn.FORMULATEXT(L187),1))=TRUE,1,0),2)</f>
        <v/>
      </c>
      <c r="Z187" s="525">
        <f>IFERROR(SUMPRODUCT(--(_xlfn.ISFORMULA(L187)=FALSE),--(C187&lt;&gt;"Other Projects"),--(AC187&lt;&gt;TRUE),L187),0)</f>
        <v/>
      </c>
      <c r="AA187" s="512">
        <f>IFERROR(SUMPRODUCT(--(_xlfn.ISFORMULA(L187)=FALSE),--(C187&lt;&gt;"Other Projects"),--(G187="Yes"),--(AC187&lt;&gt;TRUE),L187),0)</f>
        <v/>
      </c>
      <c r="AB187" s="512">
        <f>IF(_xlfn.ISFORMULA(L187)=TRUE,0,AB186-1)</f>
        <v/>
      </c>
      <c r="AC187" s="512" t="n"/>
    </row>
    <row r="188" outlineLevel="1" ht="63.75" customFormat="1" customHeight="1" s="266">
      <c r="A188" s="515" t="n"/>
      <c r="B188" s="526" t="inlineStr">
        <is>
          <t>Midstream</t>
        </is>
      </c>
      <c r="C188" s="530" t="inlineStr">
        <is>
          <t>[Input of the project name]</t>
        </is>
      </c>
      <c r="D188" s="531" t="inlineStr">
        <is>
          <t>[input: brief description of the project, including:</t>
        </is>
      </c>
      <c r="E188" s="518">
        <f>IF(ISBLANK(C188)=FALSE,"thsd</f>
        <v/>
      </c>
      <c r="F188" s="518">
        <f>IF(ISBLANK(C188)=FALSE,"+","")</f>
        <v/>
      </c>
      <c r="G188" s="532" t="n"/>
      <c r="H188" s="533" t="n"/>
      <c r="I188" s="533" t="n"/>
      <c r="J188" s="536" t="n"/>
      <c r="K188" s="537" t="n"/>
      <c r="L188" s="534" t="n"/>
      <c r="M188" s="534" t="n"/>
      <c r="N188" s="534" t="n"/>
      <c r="O188" s="534" t="n"/>
      <c r="P188" s="534" t="n"/>
      <c r="Q188" s="522">
        <f>IFERROR((O188-P188),"N/A")</f>
        <v/>
      </c>
      <c r="R188" s="523">
        <f>IFERROR((O188-P188)/ABS(P188),"N/A")</f>
        <v/>
      </c>
      <c r="S188" s="537" t="n"/>
      <c r="T188" s="538" t="n"/>
      <c r="U188" s="538" t="n"/>
      <c r="V188" s="522">
        <f>IFERROR((T188-U188),"N/A")</f>
        <v/>
      </c>
      <c r="W188" s="523">
        <f>IFERROR((T188-U188)/ABS(U188),"N/A")</f>
        <v/>
      </c>
      <c r="X188" s="537" t="n"/>
      <c r="Y188" s="512">
        <f>IF(ISNUMBER(SEARCH("SUMPRODUCT",_xlfn.FORMULATEXT(L188),1))=FALSE,IF(ISNUMBER(SEARCH("INDIRECT",_xlfn.FORMULATEXT(L188),1))=TRUE,1,0),2)</f>
        <v/>
      </c>
      <c r="Z188" s="525">
        <f>IFERROR(SUMPRODUCT(--(_xlfn.ISFORMULA(L188)=FALSE),--(C188&lt;&gt;"Other Projects"),--(AC188&lt;&gt;TRUE),L188),0)</f>
        <v/>
      </c>
      <c r="AA188" s="512">
        <f>IFERROR(SUMPRODUCT(--(_xlfn.ISFORMULA(L188)=FALSE),--(C188&lt;&gt;"Other Projects"),--(G188="Yes"),--(AC188&lt;&gt;TRUE),L188),0)</f>
        <v/>
      </c>
      <c r="AB188" s="512">
        <f>IF(_xlfn.ISFORMULA(L188)=TRUE,0,AB187-1)</f>
        <v/>
      </c>
      <c r="AC188" s="512" t="n"/>
    </row>
    <row r="189" outlineLevel="1" ht="63.75" customFormat="1" customHeight="1" s="266">
      <c r="A189" s="515" t="n"/>
      <c r="B189" s="526" t="inlineStr">
        <is>
          <t>Midstream</t>
        </is>
      </c>
      <c r="C189" s="530" t="inlineStr">
        <is>
          <t>[Input of the project name]</t>
        </is>
      </c>
      <c r="D189" s="531" t="inlineStr">
        <is>
          <t>[input: brief description of the project, including:</t>
        </is>
      </c>
      <c r="E189" s="518">
        <f>IF(ISBLANK(C189)=FALSE,"thsd</f>
        <v/>
      </c>
      <c r="F189" s="518">
        <f>IF(ISBLANK(C189)=FALSE,"+","")</f>
        <v/>
      </c>
      <c r="G189" s="532" t="n"/>
      <c r="H189" s="533" t="n"/>
      <c r="I189" s="533" t="n"/>
      <c r="J189" s="536" t="n"/>
      <c r="K189" s="537" t="n"/>
      <c r="L189" s="534" t="n"/>
      <c r="M189" s="534" t="n"/>
      <c r="N189" s="534" t="n"/>
      <c r="O189" s="534" t="n"/>
      <c r="P189" s="534" t="n"/>
      <c r="Q189" s="522">
        <f>IFERROR((O189-P189),"N/A")</f>
        <v/>
      </c>
      <c r="R189" s="523">
        <f>IFERROR((O189-P189)/ABS(P189),"N/A")</f>
        <v/>
      </c>
      <c r="S189" s="537" t="n"/>
      <c r="T189" s="538" t="n"/>
      <c r="U189" s="538" t="n"/>
      <c r="V189" s="522">
        <f>IFERROR((T189-U189),"N/A")</f>
        <v/>
      </c>
      <c r="W189" s="523">
        <f>IFERROR((T189-U189)/ABS(U189),"N/A")</f>
        <v/>
      </c>
      <c r="X189" s="537" t="n"/>
      <c r="Y189" s="512">
        <f>IF(ISNUMBER(SEARCH("SUMPRODUCT",_xlfn.FORMULATEXT(L189),1))=FALSE,IF(ISNUMBER(SEARCH("INDIRECT",_xlfn.FORMULATEXT(L189),1))=TRUE,1,0),2)</f>
        <v/>
      </c>
      <c r="Z189" s="525">
        <f>IFERROR(SUMPRODUCT(--(_xlfn.ISFORMULA(L189)=FALSE),--(C189&lt;&gt;"Other Projects"),--(AC189&lt;&gt;TRUE),L189),0)</f>
        <v/>
      </c>
      <c r="AA189" s="512">
        <f>IFERROR(SUMPRODUCT(--(_xlfn.ISFORMULA(L189)=FALSE),--(C189&lt;&gt;"Other Projects"),--(G189="Yes"),--(AC189&lt;&gt;TRUE),L189),0)</f>
        <v/>
      </c>
      <c r="AB189" s="512">
        <f>IF(_xlfn.ISFORMULA(L189)=TRUE,0,AB188-1)</f>
        <v/>
      </c>
      <c r="AC189" s="512" t="n"/>
    </row>
    <row r="190" outlineLevel="1" ht="63.75" customFormat="1" customHeight="1" s="266">
      <c r="A190" s="515" t="n"/>
      <c r="B190" s="526" t="inlineStr">
        <is>
          <t>Midstream</t>
        </is>
      </c>
      <c r="C190" s="530" t="inlineStr">
        <is>
          <t>[Input of the project name]</t>
        </is>
      </c>
      <c r="D190" s="531" t="inlineStr">
        <is>
          <t>[input: brief description of the project, including:</t>
        </is>
      </c>
      <c r="E190" s="518">
        <f>IF(ISBLANK(C190)=FALSE,"thsd</f>
        <v/>
      </c>
      <c r="F190" s="518">
        <f>IF(ISBLANK(C190)=FALSE,"+","")</f>
        <v/>
      </c>
      <c r="G190" s="532" t="n"/>
      <c r="H190" s="533" t="n"/>
      <c r="I190" s="533" t="n"/>
      <c r="J190" s="536" t="n"/>
      <c r="K190" s="537" t="n"/>
      <c r="L190" s="534" t="n"/>
      <c r="M190" s="534" t="n"/>
      <c r="N190" s="534" t="n"/>
      <c r="O190" s="534" t="n"/>
      <c r="P190" s="534" t="n"/>
      <c r="Q190" s="522">
        <f>IFERROR((O190-P190),"N/A")</f>
        <v/>
      </c>
      <c r="R190" s="523">
        <f>IFERROR((O190-P190)/ABS(P190),"N/A")</f>
        <v/>
      </c>
      <c r="S190" s="537" t="n"/>
      <c r="T190" s="538" t="n"/>
      <c r="U190" s="538" t="n"/>
      <c r="V190" s="522">
        <f>IFERROR((T190-U190),"N/A")</f>
        <v/>
      </c>
      <c r="W190" s="523">
        <f>IFERROR((T190-U190)/ABS(U190),"N/A")</f>
        <v/>
      </c>
      <c r="X190" s="537" t="n"/>
      <c r="Y190" s="512">
        <f>IF(ISNUMBER(SEARCH("SUMPRODUCT",_xlfn.FORMULATEXT(L190),1))=FALSE,IF(ISNUMBER(SEARCH("INDIRECT",_xlfn.FORMULATEXT(L190),1))=TRUE,1,0),2)</f>
        <v/>
      </c>
      <c r="Z190" s="525">
        <f>IFERROR(SUMPRODUCT(--(_xlfn.ISFORMULA(L190)=FALSE),--(C190&lt;&gt;"Other Projects"),--(AC190&lt;&gt;TRUE),L190),0)</f>
        <v/>
      </c>
      <c r="AA190" s="512">
        <f>IFERROR(SUMPRODUCT(--(_xlfn.ISFORMULA(L190)=FALSE),--(C190&lt;&gt;"Other Projects"),--(G190="Yes"),--(AC190&lt;&gt;TRUE),L190),0)</f>
        <v/>
      </c>
      <c r="AB190" s="512">
        <f>IF(_xlfn.ISFORMULA(L190)=TRUE,0,AB189-1)</f>
        <v/>
      </c>
      <c r="AC190" s="512" t="n"/>
    </row>
    <row r="191" outlineLevel="1" ht="63.75" customFormat="1" customHeight="1" s="266">
      <c r="A191" s="515" t="n"/>
      <c r="B191" s="526" t="inlineStr">
        <is>
          <t>Midstream</t>
        </is>
      </c>
      <c r="C191" s="530" t="inlineStr">
        <is>
          <t>[Input of the project name]</t>
        </is>
      </c>
      <c r="D191" s="531" t="inlineStr">
        <is>
          <t>[input: brief description of the project, including:</t>
        </is>
      </c>
      <c r="E191" s="518">
        <f>IF(ISBLANK(C191)=FALSE,"thsd</f>
        <v/>
      </c>
      <c r="F191" s="518">
        <f>IF(ISBLANK(C191)=FALSE,"+","")</f>
        <v/>
      </c>
      <c r="G191" s="532" t="n"/>
      <c r="H191" s="533" t="n"/>
      <c r="I191" s="533" t="n"/>
      <c r="J191" s="536" t="n"/>
      <c r="K191" s="537" t="n"/>
      <c r="L191" s="534" t="n"/>
      <c r="M191" s="534" t="n"/>
      <c r="N191" s="534" t="n"/>
      <c r="O191" s="534" t="n"/>
      <c r="P191" s="534" t="n"/>
      <c r="Q191" s="522">
        <f>IFERROR((O191-P191),"N/A")</f>
        <v/>
      </c>
      <c r="R191" s="523">
        <f>IFERROR((O191-P191)/ABS(P191),"N/A")</f>
        <v/>
      </c>
      <c r="S191" s="537" t="n"/>
      <c r="T191" s="538" t="n"/>
      <c r="U191" s="538" t="n"/>
      <c r="V191" s="522">
        <f>IFERROR((T191-U191),"N/A")</f>
        <v/>
      </c>
      <c r="W191" s="523">
        <f>IFERROR((T191-U191)/ABS(U191),"N/A")</f>
        <v/>
      </c>
      <c r="X191" s="537" t="n"/>
      <c r="Y191" s="512">
        <f>IF(ISNUMBER(SEARCH("SUMPRODUCT",_xlfn.FORMULATEXT(L191),1))=FALSE,IF(ISNUMBER(SEARCH("INDIRECT",_xlfn.FORMULATEXT(L191),1))=TRUE,1,0),2)</f>
        <v/>
      </c>
      <c r="Z191" s="525">
        <f>IFERROR(SUMPRODUCT(--(_xlfn.ISFORMULA(L191)=FALSE),--(C191&lt;&gt;"Other Projects"),--(AC191&lt;&gt;TRUE),L191),0)</f>
        <v/>
      </c>
      <c r="AA191" s="512">
        <f>IFERROR(SUMPRODUCT(--(_xlfn.ISFORMULA(L191)=FALSE),--(C191&lt;&gt;"Other Projects"),--(G191="Yes"),--(AC191&lt;&gt;TRUE),L191),0)</f>
        <v/>
      </c>
      <c r="AB191" s="512">
        <f>IF(_xlfn.ISFORMULA(L191)=TRUE,0,AB190-1)</f>
        <v/>
      </c>
      <c r="AC191" s="512" t="n"/>
    </row>
    <row r="192" outlineLevel="1" ht="63.75" customFormat="1" customHeight="1" s="266">
      <c r="A192" s="515" t="n"/>
      <c r="B192" s="526" t="inlineStr">
        <is>
          <t>Midstream</t>
        </is>
      </c>
      <c r="C192" s="530" t="inlineStr">
        <is>
          <t>[Input of the project name]</t>
        </is>
      </c>
      <c r="D192" s="531" t="inlineStr">
        <is>
          <t>[input: brief description of the project, including:</t>
        </is>
      </c>
      <c r="E192" s="518">
        <f>IF(ISBLANK(C192)=FALSE,"thsd</f>
        <v/>
      </c>
      <c r="F192" s="518">
        <f>IF(ISBLANK(C192)=FALSE,"+","")</f>
        <v/>
      </c>
      <c r="G192" s="532" t="n"/>
      <c r="H192" s="533" t="n"/>
      <c r="I192" s="533" t="n"/>
      <c r="J192" s="536" t="n"/>
      <c r="K192" s="537" t="n"/>
      <c r="L192" s="534" t="n"/>
      <c r="M192" s="534" t="n"/>
      <c r="N192" s="534" t="n"/>
      <c r="O192" s="534" t="n"/>
      <c r="P192" s="534" t="n"/>
      <c r="Q192" s="522">
        <f>IFERROR((O192-P192),"N/A")</f>
        <v/>
      </c>
      <c r="R192" s="523">
        <f>IFERROR((O192-P192)/ABS(P192),"N/A")</f>
        <v/>
      </c>
      <c r="S192" s="537" t="n"/>
      <c r="T192" s="538" t="n"/>
      <c r="U192" s="538" t="n"/>
      <c r="V192" s="522">
        <f>IFERROR((T192-U192),"N/A")</f>
        <v/>
      </c>
      <c r="W192" s="523">
        <f>IFERROR((T192-U192)/ABS(U192),"N/A")</f>
        <v/>
      </c>
      <c r="X192" s="537" t="n"/>
      <c r="Y192" s="512">
        <f>IF(ISNUMBER(SEARCH("SUMPRODUCT",_xlfn.FORMULATEXT(L192),1))=FALSE,IF(ISNUMBER(SEARCH("INDIRECT",_xlfn.FORMULATEXT(L192),1))=TRUE,1,0),2)</f>
        <v/>
      </c>
      <c r="Z192" s="525">
        <f>IFERROR(SUMPRODUCT(--(_xlfn.ISFORMULA(L192)=FALSE),--(C192&lt;&gt;"Other Projects"),--(AC192&lt;&gt;TRUE),L192),0)</f>
        <v/>
      </c>
      <c r="AA192" s="512">
        <f>IFERROR(SUMPRODUCT(--(_xlfn.ISFORMULA(L192)=FALSE),--(C192&lt;&gt;"Other Projects"),--(G192="Yes"),--(AC192&lt;&gt;TRUE),L192),0)</f>
        <v/>
      </c>
      <c r="AB192" s="512">
        <f>IF(_xlfn.ISFORMULA(L192)=TRUE,0,AB191-1)</f>
        <v/>
      </c>
      <c r="AC192" s="512" t="n"/>
    </row>
    <row r="193" outlineLevel="1" ht="63.75" customFormat="1" customHeight="1" s="266">
      <c r="A193" s="515" t="n"/>
      <c r="B193" s="526" t="inlineStr">
        <is>
          <t>Midstream</t>
        </is>
      </c>
      <c r="C193" s="530" t="inlineStr">
        <is>
          <t>[Input of the project name]</t>
        </is>
      </c>
      <c r="D193" s="531" t="inlineStr">
        <is>
          <t>[input: brief description of the project, including:</t>
        </is>
      </c>
      <c r="E193" s="518">
        <f>IF(ISBLANK(C193)=FALSE,"thsd</f>
        <v/>
      </c>
      <c r="F193" s="518">
        <f>IF(ISBLANK(C193)=FALSE,"+","")</f>
        <v/>
      </c>
      <c r="G193" s="532" t="n"/>
      <c r="H193" s="533" t="n"/>
      <c r="I193" s="533" t="n"/>
      <c r="J193" s="536" t="n"/>
      <c r="K193" s="537" t="n"/>
      <c r="L193" s="534" t="n"/>
      <c r="M193" s="534" t="n"/>
      <c r="N193" s="534" t="n"/>
      <c r="O193" s="534" t="n"/>
      <c r="P193" s="534" t="n"/>
      <c r="Q193" s="522">
        <f>IFERROR((O193-P193),"N/A")</f>
        <v/>
      </c>
      <c r="R193" s="523">
        <f>IFERROR((O193-P193)/ABS(P193),"N/A")</f>
        <v/>
      </c>
      <c r="S193" s="537" t="n"/>
      <c r="T193" s="538" t="n"/>
      <c r="U193" s="538" t="n"/>
      <c r="V193" s="522">
        <f>IFERROR((T193-U193),"N/A")</f>
        <v/>
      </c>
      <c r="W193" s="523">
        <f>IFERROR((T193-U193)/ABS(U193),"N/A")</f>
        <v/>
      </c>
      <c r="X193" s="537" t="n"/>
      <c r="Y193" s="512">
        <f>IF(ISNUMBER(SEARCH("SUMPRODUCT",_xlfn.FORMULATEXT(L193),1))=FALSE,IF(ISNUMBER(SEARCH("INDIRECT",_xlfn.FORMULATEXT(L193),1))=TRUE,1,0),2)</f>
        <v/>
      </c>
      <c r="Z193" s="525">
        <f>IFERROR(SUMPRODUCT(--(_xlfn.ISFORMULA(L193)=FALSE),--(C193&lt;&gt;"Other Projects"),--(AC193&lt;&gt;TRUE),L193),0)</f>
        <v/>
      </c>
      <c r="AA193" s="512">
        <f>IFERROR(SUMPRODUCT(--(_xlfn.ISFORMULA(L193)=FALSE),--(C193&lt;&gt;"Other Projects"),--(G193="Yes"),--(AC193&lt;&gt;TRUE),L193),0)</f>
        <v/>
      </c>
      <c r="AB193" s="512">
        <f>IF(_xlfn.ISFORMULA(L193)=TRUE,0,AB192-1)</f>
        <v/>
      </c>
      <c r="AC193" s="512" t="n"/>
    </row>
    <row r="194" outlineLevel="1" ht="63.75" customFormat="1" customHeight="1" s="266">
      <c r="A194" s="515" t="n"/>
      <c r="B194" s="526" t="inlineStr">
        <is>
          <t>Midstream</t>
        </is>
      </c>
      <c r="C194" s="530" t="inlineStr">
        <is>
          <t>[Input of the project name]</t>
        </is>
      </c>
      <c r="D194" s="531" t="inlineStr">
        <is>
          <t>[input: brief description of the project, including:</t>
        </is>
      </c>
      <c r="E194" s="518">
        <f>IF(ISBLANK(C194)=FALSE,"thsd</f>
        <v/>
      </c>
      <c r="F194" s="518">
        <f>IF(ISBLANK(C194)=FALSE,"+","")</f>
        <v/>
      </c>
      <c r="G194" s="532" t="n"/>
      <c r="H194" s="533" t="n"/>
      <c r="I194" s="533" t="n"/>
      <c r="J194" s="536" t="n"/>
      <c r="K194" s="537" t="n"/>
      <c r="L194" s="534" t="n"/>
      <c r="M194" s="534" t="n"/>
      <c r="N194" s="534" t="n"/>
      <c r="O194" s="534" t="n"/>
      <c r="P194" s="534" t="n"/>
      <c r="Q194" s="522">
        <f>IFERROR((O194-P194),"N/A")</f>
        <v/>
      </c>
      <c r="R194" s="523">
        <f>IFERROR((O194-P194)/ABS(P194),"N/A")</f>
        <v/>
      </c>
      <c r="S194" s="537" t="n"/>
      <c r="T194" s="538" t="n"/>
      <c r="U194" s="538" t="n"/>
      <c r="V194" s="522">
        <f>IFERROR((T194-U194),"N/A")</f>
        <v/>
      </c>
      <c r="W194" s="523">
        <f>IFERROR((T194-U194)/ABS(U194),"N/A")</f>
        <v/>
      </c>
      <c r="X194" s="537" t="n"/>
      <c r="Y194" s="512">
        <f>IF(ISNUMBER(SEARCH("SUMPRODUCT",_xlfn.FORMULATEXT(L194),1))=FALSE,IF(ISNUMBER(SEARCH("INDIRECT",_xlfn.FORMULATEXT(L194),1))=TRUE,1,0),2)</f>
        <v/>
      </c>
      <c r="Z194" s="525">
        <f>IFERROR(SUMPRODUCT(--(_xlfn.ISFORMULA(L194)=FALSE),--(C194&lt;&gt;"Other Projects"),--(AC194&lt;&gt;TRUE),L194),0)</f>
        <v/>
      </c>
      <c r="AA194" s="512">
        <f>IFERROR(SUMPRODUCT(--(_xlfn.ISFORMULA(L194)=FALSE),--(C194&lt;&gt;"Other Projects"),--(G194="Yes"),--(AC194&lt;&gt;TRUE),L194),0)</f>
        <v/>
      </c>
      <c r="AB194" s="512">
        <f>IF(_xlfn.ISFORMULA(L194)=TRUE,0,AB193-1)</f>
        <v/>
      </c>
      <c r="AC194" s="512" t="n"/>
    </row>
    <row r="195" outlineLevel="1" ht="63.75" customFormat="1" customHeight="1" s="266">
      <c r="A195" s="515" t="n"/>
      <c r="B195" s="526" t="inlineStr">
        <is>
          <t>Midstream</t>
        </is>
      </c>
      <c r="C195" s="530" t="inlineStr">
        <is>
          <t>[Input of the project name]</t>
        </is>
      </c>
      <c r="D195" s="531" t="inlineStr">
        <is>
          <t>[input: brief description of the project, including:</t>
        </is>
      </c>
      <c r="E195" s="518">
        <f>IF(ISBLANK(C195)=FALSE,"thsd</f>
        <v/>
      </c>
      <c r="F195" s="518">
        <f>IF(ISBLANK(C195)=FALSE,"+","")</f>
        <v/>
      </c>
      <c r="G195" s="532" t="n"/>
      <c r="H195" s="533" t="n"/>
      <c r="I195" s="533" t="n"/>
      <c r="J195" s="536" t="n"/>
      <c r="K195" s="537" t="n"/>
      <c r="L195" s="534" t="n"/>
      <c r="M195" s="534" t="n"/>
      <c r="N195" s="534" t="n"/>
      <c r="O195" s="534" t="n"/>
      <c r="P195" s="534" t="n"/>
      <c r="Q195" s="522">
        <f>IFERROR((O195-P195),"N/A")</f>
        <v/>
      </c>
      <c r="R195" s="523">
        <f>IFERROR((O195-P195)/ABS(P195),"N/A")</f>
        <v/>
      </c>
      <c r="S195" s="537" t="n"/>
      <c r="T195" s="538" t="n"/>
      <c r="U195" s="538" t="n"/>
      <c r="V195" s="522">
        <f>IFERROR((T195-U195),"N/A")</f>
        <v/>
      </c>
      <c r="W195" s="523">
        <f>IFERROR((T195-U195)/ABS(U195),"N/A")</f>
        <v/>
      </c>
      <c r="X195" s="537" t="n"/>
      <c r="Y195" s="512">
        <f>IF(ISNUMBER(SEARCH("SUMPRODUCT",_xlfn.FORMULATEXT(L195),1))=FALSE,IF(ISNUMBER(SEARCH("INDIRECT",_xlfn.FORMULATEXT(L195),1))=TRUE,1,0),2)</f>
        <v/>
      </c>
      <c r="Z195" s="525">
        <f>IFERROR(SUMPRODUCT(--(_xlfn.ISFORMULA(L195)=FALSE),--(C195&lt;&gt;"Other Projects"),--(AC195&lt;&gt;TRUE),L195),0)</f>
        <v/>
      </c>
      <c r="AA195" s="512">
        <f>IFERROR(SUMPRODUCT(--(_xlfn.ISFORMULA(L195)=FALSE),--(C195&lt;&gt;"Other Projects"),--(G195="Yes"),--(AC195&lt;&gt;TRUE),L195),0)</f>
        <v/>
      </c>
      <c r="AB195" s="512">
        <f>IF(_xlfn.ISFORMULA(L195)=TRUE,0,AB194-1)</f>
        <v/>
      </c>
      <c r="AC195" s="512" t="n"/>
    </row>
    <row r="196" outlineLevel="1" ht="63.75" customFormat="1" customHeight="1" s="266">
      <c r="A196" s="515" t="n"/>
      <c r="B196" s="526" t="inlineStr">
        <is>
          <t>Midstream</t>
        </is>
      </c>
      <c r="C196" s="530" t="inlineStr">
        <is>
          <t>[Input of the project name]</t>
        </is>
      </c>
      <c r="D196" s="531" t="inlineStr">
        <is>
          <t>[input: brief description of the project, including:</t>
        </is>
      </c>
      <c r="E196" s="518">
        <f>IF(ISBLANK(C196)=FALSE,"thsd</f>
        <v/>
      </c>
      <c r="F196" s="518">
        <f>IF(ISBLANK(C196)=FALSE,"+","")</f>
        <v/>
      </c>
      <c r="G196" s="532" t="n"/>
      <c r="H196" s="533" t="n"/>
      <c r="I196" s="533" t="n"/>
      <c r="J196" s="536" t="n"/>
      <c r="K196" s="537" t="n"/>
      <c r="L196" s="534" t="n"/>
      <c r="M196" s="534" t="n"/>
      <c r="N196" s="534" t="n"/>
      <c r="O196" s="534" t="n"/>
      <c r="P196" s="534" t="n"/>
      <c r="Q196" s="522">
        <f>IFERROR((O196-P196),"N/A")</f>
        <v/>
      </c>
      <c r="R196" s="523">
        <f>IFERROR((O196-P196)/ABS(P196),"N/A")</f>
        <v/>
      </c>
      <c r="S196" s="537" t="n"/>
      <c r="T196" s="538" t="n"/>
      <c r="U196" s="538" t="n"/>
      <c r="V196" s="522">
        <f>IFERROR((T196-U196),"N/A")</f>
        <v/>
      </c>
      <c r="W196" s="523">
        <f>IFERROR((T196-U196)/ABS(U196),"N/A")</f>
        <v/>
      </c>
      <c r="X196" s="537" t="n"/>
      <c r="Y196" s="512">
        <f>IF(ISNUMBER(SEARCH("SUMPRODUCT",_xlfn.FORMULATEXT(L196),1))=FALSE,IF(ISNUMBER(SEARCH("INDIRECT",_xlfn.FORMULATEXT(L196),1))=TRUE,1,0),2)</f>
        <v/>
      </c>
      <c r="Z196" s="525">
        <f>IFERROR(SUMPRODUCT(--(_xlfn.ISFORMULA(L196)=FALSE),--(C196&lt;&gt;"Other Projects"),--(AC196&lt;&gt;TRUE),L196),0)</f>
        <v/>
      </c>
      <c r="AA196" s="512">
        <f>IFERROR(SUMPRODUCT(--(_xlfn.ISFORMULA(L196)=FALSE),--(C196&lt;&gt;"Other Projects"),--(G196="Yes"),--(AC196&lt;&gt;TRUE),L196),0)</f>
        <v/>
      </c>
      <c r="AB196" s="512">
        <f>IF(_xlfn.ISFORMULA(L196)=TRUE,0,AB195-1)</f>
        <v/>
      </c>
      <c r="AC196" s="512" t="n"/>
    </row>
    <row r="197" outlineLevel="1" ht="63.75" customFormat="1" customHeight="1" s="266">
      <c r="A197" s="515" t="n"/>
      <c r="B197" s="526" t="inlineStr">
        <is>
          <t>Midstream</t>
        </is>
      </c>
      <c r="C197" s="530" t="inlineStr">
        <is>
          <t>[Input of the project name]</t>
        </is>
      </c>
      <c r="D197" s="531" t="inlineStr">
        <is>
          <t>[input: brief description of the project, including:</t>
        </is>
      </c>
      <c r="E197" s="518">
        <f>IF(ISBLANK(C197)=FALSE,"thsd</f>
        <v/>
      </c>
      <c r="F197" s="518">
        <f>IF(ISBLANK(C197)=FALSE,"+","")</f>
        <v/>
      </c>
      <c r="G197" s="532" t="n"/>
      <c r="H197" s="533" t="n"/>
      <c r="I197" s="533" t="n"/>
      <c r="J197" s="536" t="n"/>
      <c r="K197" s="537" t="n"/>
      <c r="L197" s="534" t="n"/>
      <c r="M197" s="534" t="n"/>
      <c r="N197" s="534" t="n"/>
      <c r="O197" s="534" t="n"/>
      <c r="P197" s="534" t="n"/>
      <c r="Q197" s="522">
        <f>IFERROR((O197-P197),"N/A")</f>
        <v/>
      </c>
      <c r="R197" s="523">
        <f>IFERROR((O197-P197)/ABS(P197),"N/A")</f>
        <v/>
      </c>
      <c r="S197" s="537" t="n"/>
      <c r="T197" s="538" t="n"/>
      <c r="U197" s="538" t="n"/>
      <c r="V197" s="522">
        <f>IFERROR((T197-U197),"N/A")</f>
        <v/>
      </c>
      <c r="W197" s="523">
        <f>IFERROR((T197-U197)/ABS(U197),"N/A")</f>
        <v/>
      </c>
      <c r="X197" s="537" t="n"/>
      <c r="Y197" s="512">
        <f>IF(ISNUMBER(SEARCH("SUMPRODUCT",_xlfn.FORMULATEXT(L197),1))=FALSE,IF(ISNUMBER(SEARCH("INDIRECT",_xlfn.FORMULATEXT(L197),1))=TRUE,1,0),2)</f>
        <v/>
      </c>
      <c r="Z197" s="525">
        <f>IFERROR(SUMPRODUCT(--(_xlfn.ISFORMULA(L197)=FALSE),--(C197&lt;&gt;"Other Projects"),--(AC197&lt;&gt;TRUE),L197),0)</f>
        <v/>
      </c>
      <c r="AA197" s="512">
        <f>IFERROR(SUMPRODUCT(--(_xlfn.ISFORMULA(L197)=FALSE),--(C197&lt;&gt;"Other Projects"),--(G197="Yes"),--(AC197&lt;&gt;TRUE),L197),0)</f>
        <v/>
      </c>
      <c r="AB197" s="512">
        <f>IF(_xlfn.ISFORMULA(L197)=TRUE,0,AB196-1)</f>
        <v/>
      </c>
      <c r="AC197" s="512" t="n"/>
    </row>
    <row r="198" outlineLevel="1" customFormat="1" s="266">
      <c r="A198" s="515" t="n"/>
      <c r="B198" s="526" t="inlineStr">
        <is>
          <t>Midstream</t>
        </is>
      </c>
      <c r="C198" s="539" t="inlineStr">
        <is>
          <t>Other projects</t>
        </is>
      </c>
      <c r="D198" s="540" t="n"/>
      <c r="E198" s="518">
        <f>IF(ISBLANK(C198)=FALSE,"thsd</f>
        <v/>
      </c>
      <c r="F198" s="518">
        <f>IF(ISBLANK(C198)=FALSE,"+","")</f>
        <v/>
      </c>
      <c r="G198" s="532" t="n"/>
      <c r="H198" s="533" t="n"/>
      <c r="I198" s="533" t="n"/>
      <c r="J198" s="536" t="n"/>
      <c r="K198" s="537" t="n"/>
      <c r="L198" s="534" t="n"/>
      <c r="M198" s="534" t="n"/>
      <c r="N198" s="534" t="n"/>
      <c r="O198" s="534" t="n"/>
      <c r="P198" s="534" t="n"/>
      <c r="Q198" s="522">
        <f>IFERROR((O198-P198),"N/A")</f>
        <v/>
      </c>
      <c r="R198" s="523">
        <f>IFERROR((O198-P198)/ABS(P198),"N/A")</f>
        <v/>
      </c>
      <c r="S198" s="537" t="n"/>
      <c r="T198" s="538" t="n"/>
      <c r="U198" s="538" t="n"/>
      <c r="V198" s="522">
        <f>IFERROR((T198-U198),"N/A")</f>
        <v/>
      </c>
      <c r="W198" s="523">
        <f>IFERROR((T198-U198)/ABS(U198),"N/A")</f>
        <v/>
      </c>
      <c r="X198" s="537" t="n"/>
      <c r="Y198" s="512">
        <f>IF(ISNUMBER(SEARCH("SUMPRODUCT",_xlfn.FORMULATEXT(L198),1))=FALSE,IF(ISNUMBER(SEARCH("INDIRECT",_xlfn.FORMULATEXT(L198),1))=TRUE,1,0),2)</f>
        <v/>
      </c>
      <c r="Z198" s="525">
        <f>IFERROR(SUMPRODUCT(--(_xlfn.ISFORMULA(L198)=FALSE),--(C198&lt;&gt;"Other Projects"),--(AC198&lt;&gt;TRUE),L198),0)</f>
        <v/>
      </c>
      <c r="AA198" s="512">
        <f>IFERROR(SUMPRODUCT(--(_xlfn.ISFORMULA(L198)=FALSE),--(C198&lt;&gt;"Other Projects"),--(G198="Yes"),--(AC198&lt;&gt;TRUE),L198),0)</f>
        <v/>
      </c>
      <c r="AB198" s="512">
        <f>IF(_xlfn.ISFORMULA(L198)=TRUE,0,AB197-1)</f>
        <v/>
      </c>
      <c r="AC198" s="512" t="n"/>
    </row>
    <row r="199" outlineLevel="1" ht="15" customFormat="1" customHeight="1" s="266">
      <c r="A199" s="515" t="n"/>
      <c r="B199" s="526" t="inlineStr">
        <is>
          <t>Midstream</t>
        </is>
      </c>
      <c r="C199" s="527" t="inlineStr">
        <is>
          <t>Other type of projects</t>
        </is>
      </c>
      <c r="D199" s="516" t="n"/>
      <c r="E199" s="518">
        <f>IF(ISBLANK(C199)=FALSE,"thsd</f>
        <v/>
      </c>
      <c r="F199" s="518">
        <f>IF(ISBLANK(C199)=FALSE,"+","")</f>
        <v/>
      </c>
      <c r="G199" s="519" t="n"/>
      <c r="H199" s="519" t="n"/>
      <c r="I199" s="519" t="n"/>
      <c r="J199" s="519" t="n"/>
      <c r="K199" s="537" t="n"/>
      <c r="L199" s="588">
        <f>SUM(INDIRECT(CHAR(COLUMN()+64)&amp;ROW(L200)&amp;":"&amp;IF(_xlfn.ISFORMULA(INDIRECT((ADDRESS(ROW()-1+MATCH(1,$Y200:$Y$261,0),COLUMN(),1,1)))),(ADDRESS(ROW()-2+MATCH(1,$Y200:$Y$261,0),COLUMN(),1,1)),(ADDRESS(ROW()-1+MATCH(1,$Y200:$Y$261,0),COLUMN(),1,1)))))</f>
        <v/>
      </c>
      <c r="M199" s="588">
        <f>SUM(INDIRECT(CHAR(COLUMN()+64)&amp;ROW(M200)&amp;":"&amp;IF(_xlfn.ISFORMULA(INDIRECT((ADDRESS(ROW()-1+MATCH(1,$Y200:$Y$261,0),COLUMN(),1,1)))),(ADDRESS(ROW()-2+MATCH(1,$Y200:$Y$261,0),COLUMN(),1,1)),(ADDRESS(ROW()-1+MATCH(1,$Y200:$Y$261,0),COLUMN(),1,1)))))</f>
        <v/>
      </c>
      <c r="N199" s="588">
        <f>SUM(INDIRECT(CHAR(COLUMN()+64)&amp;ROW(N200)&amp;":"&amp;IF(_xlfn.ISFORMULA(INDIRECT((ADDRESS(ROW()-1+MATCH(1,$Y200:$Y$261,0),COLUMN(),1,1)))),(ADDRESS(ROW()-2+MATCH(1,$Y200:$Y$261,0),COLUMN(),1,1)),(ADDRESS(ROW()-1+MATCH(1,$Y200:$Y$261,0),COLUMN(),1,1)))))</f>
        <v/>
      </c>
      <c r="O199" s="588">
        <f>SUM(INDIRECT(CHAR(COLUMN()+64)&amp;ROW(O200)&amp;":"&amp;IF(_xlfn.ISFORMULA(INDIRECT((ADDRESS(ROW()-1+MATCH(1,$Y200:$Y$261,0),COLUMN(),1,1)))),(ADDRESS(ROW()-2+MATCH(1,$Y200:$Y$261,0),COLUMN(),1,1)),(ADDRESS(ROW()-1+MATCH(1,$Y200:$Y$261,0),COLUMN(),1,1)))))</f>
        <v/>
      </c>
      <c r="P199" s="588">
        <f>SUM(INDIRECT(CHAR(COLUMN()+64)&amp;ROW(P200)&amp;":"&amp;IF(_xlfn.ISFORMULA(INDIRECT((ADDRESS(ROW()-1+MATCH(1,$Y200:$Y$261,0),COLUMN(),1,1)))),(ADDRESS(ROW()-2+MATCH(1,$Y200:$Y$261,0),COLUMN(),1,1)),(ADDRESS(ROW()-1+MATCH(1,$Y200:$Y$261,0),COLUMN(),1,1)))))</f>
        <v/>
      </c>
      <c r="Q199" s="522">
        <f>IFERROR((O199-P199),"N/A")</f>
        <v/>
      </c>
      <c r="R199" s="523">
        <f>IFERROR((O199-P199)/ABS(P199),"N/A")</f>
        <v/>
      </c>
      <c r="S199" s="537" t="n"/>
      <c r="T199" s="588">
        <f>SUM(INDIRECT(CHAR(COLUMN()+64)&amp;ROW(T200)&amp;":"&amp;IF(_xlfn.ISFORMULA(INDIRECT((ADDRESS(ROW()-1+MATCH(1,$Y200:$Y$261,0),COLUMN(),1,1)))),(ADDRESS(ROW()-2+MATCH(1,$Y200:$Y$261,0),COLUMN(),1,1)),(ADDRESS(ROW()-1+MATCH(1,$Y200:$Y$261,0),COLUMN(),1,1)))))</f>
        <v/>
      </c>
      <c r="U199" s="588">
        <f>SUM(INDIRECT(CHAR(COLUMN()+64)&amp;ROW(U200)&amp;":"&amp;IF(_xlfn.ISFORMULA(INDIRECT((ADDRESS(ROW()-1+MATCH(1,$Y200:$Y$261,0),COLUMN(),1,1)))),(ADDRESS(ROW()-2+MATCH(1,$Y200:$Y$261,0),COLUMN(),1,1)),(ADDRESS(ROW()-1+MATCH(1,$Y200:$Y$261,0),COLUMN(),1,1)))))</f>
        <v/>
      </c>
      <c r="V199" s="522">
        <f>IFERROR((T199-U199),"N/A")</f>
        <v/>
      </c>
      <c r="W199" s="523">
        <f>IFERROR((T199-U199)/ABS(U199),"N/A")</f>
        <v/>
      </c>
      <c r="X199" s="537" t="n"/>
      <c r="Y199" s="512">
        <f>IF(ISNUMBER(SEARCH("SUMPRODUCT",_xlfn.FORMULATEXT(L199),1))=FALSE,IF(ISNUMBER(SEARCH("INDIRECT",_xlfn.FORMULATEXT(L199),1))=TRUE,1,0),2)</f>
        <v/>
      </c>
      <c r="Z199" s="525">
        <f>IFERROR(SUMPRODUCT(--(_xlfn.ISFORMULA(L199)=FALSE),--(C199&lt;&gt;"Other Projects"),--(AC199&lt;&gt;TRUE),L199),0)</f>
        <v/>
      </c>
      <c r="AA199" s="512">
        <f>IFERROR(SUMPRODUCT(--(_xlfn.ISFORMULA(L199)=FALSE),--(C199&lt;&gt;"Other Projects"),--(G199="Yes"),--(AC199&lt;&gt;TRUE),L199),0)</f>
        <v/>
      </c>
      <c r="AB199" s="512">
        <f>IF(_xlfn.ISFORMULA(L199)=TRUE,0,AB198-1)</f>
        <v/>
      </c>
      <c r="AC199" s="512" t="n"/>
    </row>
    <row r="200" outlineLevel="1" ht="63.75" customFormat="1" customHeight="1" s="266">
      <c r="A200" s="515" t="n"/>
      <c r="B200" s="526" t="inlineStr">
        <is>
          <t>Midstream</t>
        </is>
      </c>
      <c r="C200" s="530" t="inlineStr">
        <is>
          <t>[Input of the project name]</t>
        </is>
      </c>
      <c r="D200" s="531" t="inlineStr">
        <is>
          <t>[input: brief description of the project, including:</t>
        </is>
      </c>
      <c r="E200" s="518">
        <f>IF(ISBLANK(C200)=FALSE,"thsd</f>
        <v/>
      </c>
      <c r="F200" s="518">
        <f>IF(ISBLANK(C200)=FALSE,"+","")</f>
        <v/>
      </c>
      <c r="G200" s="532" t="n"/>
      <c r="H200" s="533" t="n"/>
      <c r="I200" s="533" t="n"/>
      <c r="J200" s="536" t="n"/>
      <c r="K200" s="537" t="n"/>
      <c r="L200" s="534" t="n"/>
      <c r="M200" s="534" t="n"/>
      <c r="N200" s="534" t="n"/>
      <c r="O200" s="534" t="n"/>
      <c r="P200" s="534" t="n"/>
      <c r="Q200" s="522">
        <f>IFERROR((O200-P200),"N/A")</f>
        <v/>
      </c>
      <c r="R200" s="523">
        <f>IFERROR((O200-P200)/ABS(P200),"N/A")</f>
        <v/>
      </c>
      <c r="S200" s="537" t="n"/>
      <c r="T200" s="538" t="n"/>
      <c r="U200" s="538" t="n"/>
      <c r="V200" s="522">
        <f>IFERROR((T200-U200),"N/A")</f>
        <v/>
      </c>
      <c r="W200" s="523">
        <f>IFERROR((T200-U200)/ABS(U200),"N/A")</f>
        <v/>
      </c>
      <c r="X200" s="537" t="n"/>
      <c r="Y200" s="512">
        <f>IF(ISNUMBER(SEARCH("SUMPRODUCT",_xlfn.FORMULATEXT(L200),1))=FALSE,IF(ISNUMBER(SEARCH("INDIRECT",_xlfn.FORMULATEXT(L200),1))=TRUE,1,0),2)</f>
        <v/>
      </c>
      <c r="Z200" s="525">
        <f>IFERROR(SUMPRODUCT(--(_xlfn.ISFORMULA(L200)=FALSE),--(C200&lt;&gt;"Other Projects"),--(AC200&lt;&gt;TRUE),L200),0)</f>
        <v/>
      </c>
      <c r="AA200" s="512">
        <f>IFERROR(SUMPRODUCT(--(_xlfn.ISFORMULA(L200)=FALSE),--(C200&lt;&gt;"Other Projects"),--(G200="Yes"),--(AC200&lt;&gt;TRUE),L200),0)</f>
        <v/>
      </c>
      <c r="AB200" s="512">
        <f>IF(_xlfn.ISFORMULA(L200)=TRUE,0,AB199-1)</f>
        <v/>
      </c>
      <c r="AC200" s="512" t="n"/>
    </row>
    <row r="201" outlineLevel="1" ht="63.75" customFormat="1" customHeight="1" s="266">
      <c r="A201" s="515" t="n"/>
      <c r="B201" s="526" t="inlineStr">
        <is>
          <t>Midstream</t>
        </is>
      </c>
      <c r="C201" s="530" t="inlineStr">
        <is>
          <t>[Input of the project name]</t>
        </is>
      </c>
      <c r="D201" s="531" t="inlineStr">
        <is>
          <t>[input: brief description of the project, including:</t>
        </is>
      </c>
      <c r="E201" s="518">
        <f>IF(ISBLANK(C201)=FALSE,"thsd</f>
        <v/>
      </c>
      <c r="F201" s="518">
        <f>IF(ISBLANK(C201)=FALSE,"+","")</f>
        <v/>
      </c>
      <c r="G201" s="532" t="n"/>
      <c r="H201" s="533" t="n"/>
      <c r="I201" s="533" t="n"/>
      <c r="J201" s="536" t="n"/>
      <c r="K201" s="537" t="n"/>
      <c r="L201" s="534" t="n"/>
      <c r="M201" s="534" t="n"/>
      <c r="N201" s="534" t="n"/>
      <c r="O201" s="534" t="n"/>
      <c r="P201" s="534" t="n"/>
      <c r="Q201" s="522">
        <f>IFERROR((O201-P201),"N/A")</f>
        <v/>
      </c>
      <c r="R201" s="523">
        <f>IFERROR((O201-P201)/ABS(P201),"N/A")</f>
        <v/>
      </c>
      <c r="S201" s="537" t="n"/>
      <c r="T201" s="538" t="n"/>
      <c r="U201" s="538" t="n"/>
      <c r="V201" s="522">
        <f>IFERROR((T201-U201),"N/A")</f>
        <v/>
      </c>
      <c r="W201" s="523">
        <f>IFERROR((T201-U201)/ABS(U201),"N/A")</f>
        <v/>
      </c>
      <c r="X201" s="537" t="n"/>
      <c r="Y201" s="512">
        <f>IF(ISNUMBER(SEARCH("SUMPRODUCT",_xlfn.FORMULATEXT(L201),1))=FALSE,IF(ISNUMBER(SEARCH("INDIRECT",_xlfn.FORMULATEXT(L201),1))=TRUE,1,0),2)</f>
        <v/>
      </c>
      <c r="Z201" s="525">
        <f>IFERROR(SUMPRODUCT(--(_xlfn.ISFORMULA(L201)=FALSE),--(C201&lt;&gt;"Other Projects"),--(AC201&lt;&gt;TRUE),L201),0)</f>
        <v/>
      </c>
      <c r="AA201" s="512">
        <f>IFERROR(SUMPRODUCT(--(_xlfn.ISFORMULA(L201)=FALSE),--(C201&lt;&gt;"Other Projects"),--(G201="Yes"),--(AC201&lt;&gt;TRUE),L201),0)</f>
        <v/>
      </c>
      <c r="AB201" s="512">
        <f>IF(_xlfn.ISFORMULA(L201)=TRUE,0,AB200-1)</f>
        <v/>
      </c>
      <c r="AC201" s="512" t="n"/>
    </row>
    <row r="202" outlineLevel="1" ht="63.75" customFormat="1" customHeight="1" s="266">
      <c r="A202" s="515" t="n"/>
      <c r="B202" s="526" t="inlineStr">
        <is>
          <t>Midstream</t>
        </is>
      </c>
      <c r="C202" s="530" t="inlineStr">
        <is>
          <t>[Input of the project name]</t>
        </is>
      </c>
      <c r="D202" s="531" t="inlineStr">
        <is>
          <t>[input: brief description of the project, including:</t>
        </is>
      </c>
      <c r="E202" s="518">
        <f>IF(ISBLANK(C202)=FALSE,"thsd</f>
        <v/>
      </c>
      <c r="F202" s="518">
        <f>IF(ISBLANK(C202)=FALSE,"+","")</f>
        <v/>
      </c>
      <c r="G202" s="532" t="n"/>
      <c r="H202" s="533" t="n"/>
      <c r="I202" s="533" t="n"/>
      <c r="J202" s="536" t="n"/>
      <c r="K202" s="537" t="n"/>
      <c r="L202" s="534" t="n"/>
      <c r="M202" s="534" t="n"/>
      <c r="N202" s="534" t="n"/>
      <c r="O202" s="534" t="n"/>
      <c r="P202" s="534" t="n"/>
      <c r="Q202" s="522">
        <f>IFERROR((O202-P202),"N/A")</f>
        <v/>
      </c>
      <c r="R202" s="523">
        <f>IFERROR((O202-P202)/ABS(P202),"N/A")</f>
        <v/>
      </c>
      <c r="S202" s="537" t="n"/>
      <c r="T202" s="538" t="n"/>
      <c r="U202" s="538" t="n"/>
      <c r="V202" s="522">
        <f>IFERROR((T202-U202),"N/A")</f>
        <v/>
      </c>
      <c r="W202" s="523">
        <f>IFERROR((T202-U202)/ABS(U202),"N/A")</f>
        <v/>
      </c>
      <c r="X202" s="537" t="n"/>
      <c r="Y202" s="512">
        <f>IF(ISNUMBER(SEARCH("SUMPRODUCT",_xlfn.FORMULATEXT(L202),1))=FALSE,IF(ISNUMBER(SEARCH("INDIRECT",_xlfn.FORMULATEXT(L202),1))=TRUE,1,0),2)</f>
        <v/>
      </c>
      <c r="Z202" s="525">
        <f>IFERROR(SUMPRODUCT(--(_xlfn.ISFORMULA(L202)=FALSE),--(C202&lt;&gt;"Other Projects"),--(AC202&lt;&gt;TRUE),L202),0)</f>
        <v/>
      </c>
      <c r="AA202" s="512">
        <f>IFERROR(SUMPRODUCT(--(_xlfn.ISFORMULA(L202)=FALSE),--(C202&lt;&gt;"Other Projects"),--(G202="Yes"),--(AC202&lt;&gt;TRUE),L202),0)</f>
        <v/>
      </c>
      <c r="AB202" s="512">
        <f>IF(_xlfn.ISFORMULA(L202)=TRUE,0,AB201-1)</f>
        <v/>
      </c>
      <c r="AC202" s="512" t="n"/>
    </row>
    <row r="203" outlineLevel="1" ht="63.75" customFormat="1" customHeight="1" s="266">
      <c r="A203" s="515" t="n"/>
      <c r="B203" s="526" t="inlineStr">
        <is>
          <t>Midstream</t>
        </is>
      </c>
      <c r="C203" s="530" t="inlineStr">
        <is>
          <t>[Input of the project name]</t>
        </is>
      </c>
      <c r="D203" s="531" t="inlineStr">
        <is>
          <t>[input: brief description of the project, including:</t>
        </is>
      </c>
      <c r="E203" s="518">
        <f>IF(ISBLANK(C203)=FALSE,"thsd</f>
        <v/>
      </c>
      <c r="F203" s="518">
        <f>IF(ISBLANK(C203)=FALSE,"+","")</f>
        <v/>
      </c>
      <c r="G203" s="532" t="n"/>
      <c r="H203" s="533" t="n"/>
      <c r="I203" s="533" t="n"/>
      <c r="J203" s="536" t="n"/>
      <c r="K203" s="537" t="n"/>
      <c r="L203" s="534" t="n"/>
      <c r="M203" s="534" t="n"/>
      <c r="N203" s="534" t="n"/>
      <c r="O203" s="534" t="n"/>
      <c r="P203" s="534" t="n"/>
      <c r="Q203" s="522">
        <f>IFERROR((O203-P203),"N/A")</f>
        <v/>
      </c>
      <c r="R203" s="523">
        <f>IFERROR((O203-P203)/ABS(P203),"N/A")</f>
        <v/>
      </c>
      <c r="S203" s="537" t="n"/>
      <c r="T203" s="538" t="n"/>
      <c r="U203" s="538" t="n"/>
      <c r="V203" s="522">
        <f>IFERROR((T203-U203),"N/A")</f>
        <v/>
      </c>
      <c r="W203" s="523">
        <f>IFERROR((T203-U203)/ABS(U203),"N/A")</f>
        <v/>
      </c>
      <c r="X203" s="537" t="n"/>
      <c r="Y203" s="512">
        <f>IF(ISNUMBER(SEARCH("SUMPRODUCT",_xlfn.FORMULATEXT(L203),1))=FALSE,IF(ISNUMBER(SEARCH("INDIRECT",_xlfn.FORMULATEXT(L203),1))=TRUE,1,0),2)</f>
        <v/>
      </c>
      <c r="Z203" s="525">
        <f>IFERROR(SUMPRODUCT(--(_xlfn.ISFORMULA(L203)=FALSE),--(C203&lt;&gt;"Other Projects"),--(AC203&lt;&gt;TRUE),L203),0)</f>
        <v/>
      </c>
      <c r="AA203" s="512">
        <f>IFERROR(SUMPRODUCT(--(_xlfn.ISFORMULA(L203)=FALSE),--(C203&lt;&gt;"Other Projects"),--(G203="Yes"),--(AC203&lt;&gt;TRUE),L203),0)</f>
        <v/>
      </c>
      <c r="AB203" s="512">
        <f>IF(_xlfn.ISFORMULA(L203)=TRUE,0,AB202-1)</f>
        <v/>
      </c>
      <c r="AC203" s="512" t="n"/>
    </row>
    <row r="204" outlineLevel="1" ht="63.75" customFormat="1" customHeight="1" s="266">
      <c r="A204" s="515" t="n"/>
      <c r="B204" s="526" t="inlineStr">
        <is>
          <t>Midstream</t>
        </is>
      </c>
      <c r="C204" s="530" t="inlineStr">
        <is>
          <t>[Input of the project name]</t>
        </is>
      </c>
      <c r="D204" s="531" t="inlineStr">
        <is>
          <t>[input: brief description of the project, including:</t>
        </is>
      </c>
      <c r="E204" s="518">
        <f>IF(ISBLANK(C204)=FALSE,"thsd</f>
        <v/>
      </c>
      <c r="F204" s="518">
        <f>IF(ISBLANK(C204)=FALSE,"+","")</f>
        <v/>
      </c>
      <c r="G204" s="532" t="n"/>
      <c r="H204" s="533" t="n"/>
      <c r="I204" s="533" t="n"/>
      <c r="J204" s="536" t="n"/>
      <c r="K204" s="537" t="n"/>
      <c r="L204" s="534" t="n"/>
      <c r="M204" s="534" t="n"/>
      <c r="N204" s="534" t="n"/>
      <c r="O204" s="534" t="n"/>
      <c r="P204" s="534" t="n"/>
      <c r="Q204" s="522">
        <f>IFERROR((O204-P204),"N/A")</f>
        <v/>
      </c>
      <c r="R204" s="523">
        <f>IFERROR((O204-P204)/ABS(P204),"N/A")</f>
        <v/>
      </c>
      <c r="S204" s="537" t="n"/>
      <c r="T204" s="538" t="n"/>
      <c r="U204" s="538" t="n"/>
      <c r="V204" s="522">
        <f>IFERROR((T204-U204),"N/A")</f>
        <v/>
      </c>
      <c r="W204" s="523">
        <f>IFERROR((T204-U204)/ABS(U204),"N/A")</f>
        <v/>
      </c>
      <c r="X204" s="537" t="n"/>
      <c r="Y204" s="512">
        <f>IF(ISNUMBER(SEARCH("SUMPRODUCT",_xlfn.FORMULATEXT(L204),1))=FALSE,IF(ISNUMBER(SEARCH("INDIRECT",_xlfn.FORMULATEXT(L204),1))=TRUE,1,0),2)</f>
        <v/>
      </c>
      <c r="Z204" s="525">
        <f>IFERROR(SUMPRODUCT(--(_xlfn.ISFORMULA(L204)=FALSE),--(C204&lt;&gt;"Other Projects"),--(AC204&lt;&gt;TRUE),L204),0)</f>
        <v/>
      </c>
      <c r="AA204" s="512">
        <f>IFERROR(SUMPRODUCT(--(_xlfn.ISFORMULA(L204)=FALSE),--(C204&lt;&gt;"Other Projects"),--(G204="Yes"),--(AC204&lt;&gt;TRUE),L204),0)</f>
        <v/>
      </c>
      <c r="AB204" s="512">
        <f>IF(_xlfn.ISFORMULA(L204)=TRUE,0,AB203-1)</f>
        <v/>
      </c>
      <c r="AC204" s="512" t="n"/>
    </row>
    <row r="205" outlineLevel="1" ht="63.75" customFormat="1" customHeight="1" s="266">
      <c r="A205" s="515" t="n"/>
      <c r="B205" s="526" t="inlineStr">
        <is>
          <t>Midstream</t>
        </is>
      </c>
      <c r="C205" s="530" t="inlineStr">
        <is>
          <t>[Input of the project name]</t>
        </is>
      </c>
      <c r="D205" s="531" t="inlineStr">
        <is>
          <t>[input: brief description of the project, including:</t>
        </is>
      </c>
      <c r="E205" s="518">
        <f>IF(ISBLANK(C205)=FALSE,"thsd</f>
        <v/>
      </c>
      <c r="F205" s="518">
        <f>IF(ISBLANK(C205)=FALSE,"+","")</f>
        <v/>
      </c>
      <c r="G205" s="532" t="n"/>
      <c r="H205" s="533" t="n"/>
      <c r="I205" s="533" t="n"/>
      <c r="J205" s="536" t="n"/>
      <c r="K205" s="537" t="n"/>
      <c r="L205" s="534" t="n"/>
      <c r="M205" s="534" t="n"/>
      <c r="N205" s="534" t="n"/>
      <c r="O205" s="534" t="n"/>
      <c r="P205" s="534" t="n"/>
      <c r="Q205" s="522">
        <f>IFERROR((O205-P205),"N/A")</f>
        <v/>
      </c>
      <c r="R205" s="523">
        <f>IFERROR((O205-P205)/ABS(P205),"N/A")</f>
        <v/>
      </c>
      <c r="S205" s="537" t="n"/>
      <c r="T205" s="538" t="n"/>
      <c r="U205" s="538" t="n"/>
      <c r="V205" s="522">
        <f>IFERROR((T205-U205),"N/A")</f>
        <v/>
      </c>
      <c r="W205" s="523">
        <f>IFERROR((T205-U205)/ABS(U205),"N/A")</f>
        <v/>
      </c>
      <c r="X205" s="537" t="n"/>
      <c r="Y205" s="512">
        <f>IF(ISNUMBER(SEARCH("SUMPRODUCT",_xlfn.FORMULATEXT(L205),1))=FALSE,IF(ISNUMBER(SEARCH("INDIRECT",_xlfn.FORMULATEXT(L205),1))=TRUE,1,0),2)</f>
        <v/>
      </c>
      <c r="Z205" s="525">
        <f>IFERROR(SUMPRODUCT(--(_xlfn.ISFORMULA(L205)=FALSE),--(C205&lt;&gt;"Other Projects"),--(AC205&lt;&gt;TRUE),L205),0)</f>
        <v/>
      </c>
      <c r="AA205" s="512">
        <f>IFERROR(SUMPRODUCT(--(_xlfn.ISFORMULA(L205)=FALSE),--(C205&lt;&gt;"Other Projects"),--(G205="Yes"),--(AC205&lt;&gt;TRUE),L205),0)</f>
        <v/>
      </c>
      <c r="AB205" s="512">
        <f>IF(_xlfn.ISFORMULA(L205)=TRUE,0,AB204-1)</f>
        <v/>
      </c>
      <c r="AC205" s="512" t="n"/>
    </row>
    <row r="206" outlineLevel="1" ht="63.75" customFormat="1" customHeight="1" s="266">
      <c r="A206" s="515" t="n"/>
      <c r="B206" s="526" t="inlineStr">
        <is>
          <t>Midstream</t>
        </is>
      </c>
      <c r="C206" s="530" t="inlineStr">
        <is>
          <t>[Input of the project name]</t>
        </is>
      </c>
      <c r="D206" s="531" t="inlineStr">
        <is>
          <t>[input: brief description of the project, including:</t>
        </is>
      </c>
      <c r="E206" s="518">
        <f>IF(ISBLANK(C206)=FALSE,"thsd</f>
        <v/>
      </c>
      <c r="F206" s="518">
        <f>IF(ISBLANK(C206)=FALSE,"+","")</f>
        <v/>
      </c>
      <c r="G206" s="532" t="n"/>
      <c r="H206" s="533" t="n"/>
      <c r="I206" s="533" t="n"/>
      <c r="J206" s="536" t="n"/>
      <c r="K206" s="537" t="n"/>
      <c r="L206" s="534" t="n"/>
      <c r="M206" s="534" t="n"/>
      <c r="N206" s="534" t="n"/>
      <c r="O206" s="534" t="n"/>
      <c r="P206" s="534" t="n"/>
      <c r="Q206" s="522">
        <f>IFERROR((O206-P206),"N/A")</f>
        <v/>
      </c>
      <c r="R206" s="523">
        <f>IFERROR((O206-P206)/ABS(P206),"N/A")</f>
        <v/>
      </c>
      <c r="S206" s="537" t="n"/>
      <c r="T206" s="538" t="n"/>
      <c r="U206" s="538" t="n"/>
      <c r="V206" s="522">
        <f>IFERROR((T206-U206),"N/A")</f>
        <v/>
      </c>
      <c r="W206" s="523">
        <f>IFERROR((T206-U206)/ABS(U206),"N/A")</f>
        <v/>
      </c>
      <c r="X206" s="537" t="n"/>
      <c r="Y206" s="512">
        <f>IF(ISNUMBER(SEARCH("SUMPRODUCT",_xlfn.FORMULATEXT(L206),1))=FALSE,IF(ISNUMBER(SEARCH("INDIRECT",_xlfn.FORMULATEXT(L206),1))=TRUE,1,0),2)</f>
        <v/>
      </c>
      <c r="Z206" s="525">
        <f>IFERROR(SUMPRODUCT(--(_xlfn.ISFORMULA(L206)=FALSE),--(C206&lt;&gt;"Other Projects"),--(AC206&lt;&gt;TRUE),L206),0)</f>
        <v/>
      </c>
      <c r="AA206" s="512">
        <f>IFERROR(SUMPRODUCT(--(_xlfn.ISFORMULA(L206)=FALSE),--(C206&lt;&gt;"Other Projects"),--(G206="Yes"),--(AC206&lt;&gt;TRUE),L206),0)</f>
        <v/>
      </c>
      <c r="AB206" s="512">
        <f>IF(_xlfn.ISFORMULA(L206)=TRUE,0,AB205-1)</f>
        <v/>
      </c>
      <c r="AC206" s="512" t="n"/>
    </row>
    <row r="207" outlineLevel="1" ht="63.75" customFormat="1" customHeight="1" s="266">
      <c r="A207" s="515" t="n"/>
      <c r="B207" s="526" t="inlineStr">
        <is>
          <t>Midstream</t>
        </is>
      </c>
      <c r="C207" s="530" t="inlineStr">
        <is>
          <t>[Input of the project name]</t>
        </is>
      </c>
      <c r="D207" s="531" t="inlineStr">
        <is>
          <t>[input: brief description of the project, including:</t>
        </is>
      </c>
      <c r="E207" s="518">
        <f>IF(ISBLANK(C207)=FALSE,"thsd</f>
        <v/>
      </c>
      <c r="F207" s="518">
        <f>IF(ISBLANK(C207)=FALSE,"+","")</f>
        <v/>
      </c>
      <c r="G207" s="532" t="n"/>
      <c r="H207" s="533" t="n"/>
      <c r="I207" s="533" t="n"/>
      <c r="J207" s="536" t="n"/>
      <c r="K207" s="537" t="n"/>
      <c r="L207" s="534" t="n"/>
      <c r="M207" s="534" t="n"/>
      <c r="N207" s="534" t="n"/>
      <c r="O207" s="534" t="n"/>
      <c r="P207" s="534" t="n"/>
      <c r="Q207" s="522">
        <f>IFERROR((O207-P207),"N/A")</f>
        <v/>
      </c>
      <c r="R207" s="523">
        <f>IFERROR((O207-P207)/ABS(P207),"N/A")</f>
        <v/>
      </c>
      <c r="S207" s="537" t="n"/>
      <c r="T207" s="538" t="n"/>
      <c r="U207" s="538" t="n"/>
      <c r="V207" s="522">
        <f>IFERROR((T207-U207),"N/A")</f>
        <v/>
      </c>
      <c r="W207" s="523">
        <f>IFERROR((T207-U207)/ABS(U207),"N/A")</f>
        <v/>
      </c>
      <c r="X207" s="537" t="n"/>
      <c r="Y207" s="512">
        <f>IF(ISNUMBER(SEARCH("SUMPRODUCT",_xlfn.FORMULATEXT(L207),1))=FALSE,IF(ISNUMBER(SEARCH("INDIRECT",_xlfn.FORMULATEXT(L207),1))=TRUE,1,0),2)</f>
        <v/>
      </c>
      <c r="Z207" s="525">
        <f>IFERROR(SUMPRODUCT(--(_xlfn.ISFORMULA(L207)=FALSE),--(C207&lt;&gt;"Other Projects"),--(AC207&lt;&gt;TRUE),L207),0)</f>
        <v/>
      </c>
      <c r="AA207" s="512">
        <f>IFERROR(SUMPRODUCT(--(_xlfn.ISFORMULA(L207)=FALSE),--(C207&lt;&gt;"Other Projects"),--(G207="Yes"),--(AC207&lt;&gt;TRUE),L207),0)</f>
        <v/>
      </c>
      <c r="AB207" s="512">
        <f>IF(_xlfn.ISFORMULA(L207)=TRUE,0,AB206-1)</f>
        <v/>
      </c>
      <c r="AC207" s="512" t="n"/>
    </row>
    <row r="208" outlineLevel="1" ht="63.75" customFormat="1" customHeight="1" s="266">
      <c r="A208" s="515" t="n"/>
      <c r="B208" s="526" t="inlineStr">
        <is>
          <t>Midstream</t>
        </is>
      </c>
      <c r="C208" s="530" t="inlineStr">
        <is>
          <t>[Input of the project name]</t>
        </is>
      </c>
      <c r="D208" s="531" t="inlineStr">
        <is>
          <t>[input: brief description of the project, including:</t>
        </is>
      </c>
      <c r="E208" s="518">
        <f>IF(ISBLANK(C208)=FALSE,"thsd</f>
        <v/>
      </c>
      <c r="F208" s="518">
        <f>IF(ISBLANK(C208)=FALSE,"+","")</f>
        <v/>
      </c>
      <c r="G208" s="532" t="n"/>
      <c r="H208" s="533" t="n"/>
      <c r="I208" s="533" t="n"/>
      <c r="J208" s="536" t="n"/>
      <c r="K208" s="537" t="n"/>
      <c r="L208" s="534" t="n"/>
      <c r="M208" s="534" t="n"/>
      <c r="N208" s="534" t="n"/>
      <c r="O208" s="534" t="n"/>
      <c r="P208" s="534" t="n"/>
      <c r="Q208" s="522">
        <f>IFERROR((O208-P208),"N/A")</f>
        <v/>
      </c>
      <c r="R208" s="523">
        <f>IFERROR((O208-P208)/ABS(P208),"N/A")</f>
        <v/>
      </c>
      <c r="S208" s="537" t="n"/>
      <c r="T208" s="538" t="n"/>
      <c r="U208" s="538" t="n"/>
      <c r="V208" s="522">
        <f>IFERROR((T208-U208),"N/A")</f>
        <v/>
      </c>
      <c r="W208" s="523">
        <f>IFERROR((T208-U208)/ABS(U208),"N/A")</f>
        <v/>
      </c>
      <c r="X208" s="537" t="n"/>
      <c r="Y208" s="512">
        <f>IF(ISNUMBER(SEARCH("SUMPRODUCT",_xlfn.FORMULATEXT(L208),1))=FALSE,IF(ISNUMBER(SEARCH("INDIRECT",_xlfn.FORMULATEXT(L208),1))=TRUE,1,0),2)</f>
        <v/>
      </c>
      <c r="Z208" s="525">
        <f>IFERROR(SUMPRODUCT(--(_xlfn.ISFORMULA(L208)=FALSE),--(C208&lt;&gt;"Other Projects"),--(AC208&lt;&gt;TRUE),L208),0)</f>
        <v/>
      </c>
      <c r="AA208" s="512">
        <f>IFERROR(SUMPRODUCT(--(_xlfn.ISFORMULA(L208)=FALSE),--(C208&lt;&gt;"Other Projects"),--(G208="Yes"),--(AC208&lt;&gt;TRUE),L208),0)</f>
        <v/>
      </c>
      <c r="AB208" s="512">
        <f>IF(_xlfn.ISFORMULA(L208)=TRUE,0,AB207-1)</f>
        <v/>
      </c>
      <c r="AC208" s="512" t="n"/>
    </row>
    <row r="209" outlineLevel="1" ht="63.75" customFormat="1" customHeight="1" s="266">
      <c r="A209" s="515" t="n"/>
      <c r="B209" s="526" t="inlineStr">
        <is>
          <t>Midstream</t>
        </is>
      </c>
      <c r="C209" s="530" t="inlineStr">
        <is>
          <t>[Input of the project name]</t>
        </is>
      </c>
      <c r="D209" s="531" t="inlineStr">
        <is>
          <t>[input: brief description of the project, including:</t>
        </is>
      </c>
      <c r="E209" s="518">
        <f>IF(ISBLANK(C209)=FALSE,"thsd</f>
        <v/>
      </c>
      <c r="F209" s="518">
        <f>IF(ISBLANK(C209)=FALSE,"+","")</f>
        <v/>
      </c>
      <c r="G209" s="532" t="n"/>
      <c r="H209" s="533" t="n"/>
      <c r="I209" s="533" t="n"/>
      <c r="J209" s="536" t="n"/>
      <c r="K209" s="537" t="n"/>
      <c r="L209" s="534" t="n"/>
      <c r="M209" s="534" t="n"/>
      <c r="N209" s="534" t="n"/>
      <c r="O209" s="534" t="n"/>
      <c r="P209" s="534" t="n"/>
      <c r="Q209" s="522">
        <f>IFERROR((O209-P209),"N/A")</f>
        <v/>
      </c>
      <c r="R209" s="523">
        <f>IFERROR((O209-P209)/ABS(P209),"N/A")</f>
        <v/>
      </c>
      <c r="S209" s="537" t="n"/>
      <c r="T209" s="538" t="n"/>
      <c r="U209" s="538" t="n"/>
      <c r="V209" s="522">
        <f>IFERROR((T209-U209),"N/A")</f>
        <v/>
      </c>
      <c r="W209" s="523">
        <f>IFERROR((T209-U209)/ABS(U209),"N/A")</f>
        <v/>
      </c>
      <c r="X209" s="537" t="n"/>
      <c r="Y209" s="512">
        <f>IF(ISNUMBER(SEARCH("SUMPRODUCT",_xlfn.FORMULATEXT(L209),1))=FALSE,IF(ISNUMBER(SEARCH("INDIRECT",_xlfn.FORMULATEXT(L209),1))=TRUE,1,0),2)</f>
        <v/>
      </c>
      <c r="Z209" s="525">
        <f>IFERROR(SUMPRODUCT(--(_xlfn.ISFORMULA(L209)=FALSE),--(C209&lt;&gt;"Other Projects"),--(AC209&lt;&gt;TRUE),L209),0)</f>
        <v/>
      </c>
      <c r="AA209" s="512">
        <f>IFERROR(SUMPRODUCT(--(_xlfn.ISFORMULA(L209)=FALSE),--(C209&lt;&gt;"Other Projects"),--(G209="Yes"),--(AC209&lt;&gt;TRUE),L209),0)</f>
        <v/>
      </c>
      <c r="AB209" s="512">
        <f>IF(_xlfn.ISFORMULA(L209)=TRUE,0,AB208-1)</f>
        <v/>
      </c>
      <c r="AC209" s="512" t="n"/>
    </row>
    <row r="210" outlineLevel="1" customFormat="1" s="266">
      <c r="A210" s="515" t="n"/>
      <c r="B210" s="526" t="inlineStr">
        <is>
          <t>Midstream</t>
        </is>
      </c>
      <c r="C210" s="539" t="inlineStr">
        <is>
          <t>Other projects</t>
        </is>
      </c>
      <c r="D210" s="540" t="n"/>
      <c r="E210" s="518">
        <f>IF(ISBLANK(C210)=FALSE,"thsd</f>
        <v/>
      </c>
      <c r="F210" s="518">
        <f>IF(ISBLANK(C210)=FALSE,"+","")</f>
        <v/>
      </c>
      <c r="G210" s="532" t="n"/>
      <c r="H210" s="533" t="n"/>
      <c r="I210" s="533" t="n"/>
      <c r="J210" s="536" t="n"/>
      <c r="K210" s="537" t="n"/>
      <c r="L210" s="534" t="n"/>
      <c r="M210" s="534" t="n"/>
      <c r="N210" s="534" t="n"/>
      <c r="O210" s="534" t="n"/>
      <c r="P210" s="534" t="n"/>
      <c r="Q210" s="522">
        <f>IFERROR((O210-P210),"N/A")</f>
        <v/>
      </c>
      <c r="R210" s="523">
        <f>IFERROR((O210-P210)/ABS(P210),"N/A")</f>
        <v/>
      </c>
      <c r="S210" s="537" t="n"/>
      <c r="T210" s="538" t="n"/>
      <c r="U210" s="538" t="n"/>
      <c r="V210" s="522">
        <f>IFERROR((T210-U210),"N/A")</f>
        <v/>
      </c>
      <c r="W210" s="523">
        <f>IFERROR((T210-U210)/ABS(U210),"N/A")</f>
        <v/>
      </c>
      <c r="X210" s="537" t="n"/>
      <c r="Y210" s="512">
        <f>IF(ISNUMBER(SEARCH("SUMPRODUCT",_xlfn.FORMULATEXT(L210),1))=FALSE,IF(ISNUMBER(SEARCH("INDIRECT",_xlfn.FORMULATEXT(L210),1))=TRUE,1,0),2)</f>
        <v/>
      </c>
      <c r="Z210" s="525">
        <f>IFERROR(SUMPRODUCT(--(_xlfn.ISFORMULA(L210)=FALSE),--(C210&lt;&gt;"Other Projects"),--(AC210&lt;&gt;TRUE),L210),0)</f>
        <v/>
      </c>
      <c r="AA210" s="512">
        <f>IFERROR(SUMPRODUCT(--(_xlfn.ISFORMULA(L210)=FALSE),--(C210&lt;&gt;"Other Projects"),--(G210="Yes"),--(AC210&lt;&gt;TRUE),L210),0)</f>
        <v/>
      </c>
      <c r="AB210" s="512">
        <f>IF(_xlfn.ISFORMULA(L210)=TRUE,0,AB209-1)</f>
        <v/>
      </c>
      <c r="AC210" s="512" t="n"/>
    </row>
    <row r="211" ht="15" customFormat="1" customHeight="1" s="266">
      <c r="A211" s="515" t="n"/>
      <c r="B211" s="516" t="inlineStr">
        <is>
          <t>Gas distribution</t>
        </is>
      </c>
      <c r="C211" s="516" t="inlineStr">
        <is>
          <t>Total</t>
        </is>
      </c>
      <c r="D211" s="905" t="inlineStr">
        <is>
          <t>Cəmi</t>
        </is>
      </c>
      <c r="E211" s="518">
        <f>IF(ISBLANK(C211)=FALSE,"thsd</f>
        <v/>
      </c>
      <c r="F211" s="518">
        <f>IF(ISBLANK(C211)=FALSE,"+","")</f>
        <v/>
      </c>
      <c r="G211" s="519" t="n"/>
      <c r="H211" s="519" t="n"/>
      <c r="I211" s="519" t="n"/>
      <c r="J211" s="519" t="n"/>
      <c r="K211" s="545" t="n"/>
      <c r="L211" s="521">
        <f t="array" ref="L211">SUMPRODUCT(--(($B212:$B$261)=$B211),--(_xlfn.ISFORMULA(L212:L$261)=TRUE),L212:L$261)</f>
        <v/>
      </c>
      <c r="M211" s="521">
        <f t="array" ref="M211">SUMPRODUCT(--(($B212:$B$261)=$B211),--(_xlfn.ISFORMULA(M212:M$261)=TRUE),M212:M$261)</f>
        <v/>
      </c>
      <c r="N211" s="521">
        <f t="array" ref="N211">SUMPRODUCT(--(($B212:$B$261)=$B211),--(_xlfn.ISFORMULA(N212:N$261)=TRUE),N212:N$261)</f>
        <v/>
      </c>
      <c r="O211" s="521">
        <f t="array" ref="O211">SUMPRODUCT(--(($B212:$B$261)=$B211),--(_xlfn.ISFORMULA(O212:O$261)=TRUE),O212:O$261)</f>
        <v/>
      </c>
      <c r="P211" s="521">
        <f t="array" ref="P211">SUMPRODUCT(--(($B212:$B$261)=$B211),--(_xlfn.ISFORMULA(P212:P$261)=TRUE),P212:P$261)</f>
        <v/>
      </c>
      <c r="Q211" s="522">
        <f>IFERROR((O211-P211),"N/A")</f>
        <v/>
      </c>
      <c r="R211" s="523">
        <f>IFERROR((O211-P211)/ABS(P211),"N/A")</f>
        <v/>
      </c>
      <c r="S211" s="545" t="n"/>
      <c r="T211" s="521">
        <f t="array" ref="T211">SUMPRODUCT(--(($B212:$B$261)=$B211),--(_xlfn.ISFORMULA(T212:T$261)=TRUE),T212:T$261)</f>
        <v/>
      </c>
      <c r="U211" s="521">
        <f t="array" ref="U211">SUMPRODUCT(--(($B212:$B$261)=$B211),--(_xlfn.ISFORMULA(U212:U$261)=TRUE),U212:U$261)</f>
        <v/>
      </c>
      <c r="V211" s="522">
        <f>IFERROR((T211-U211),"N/A")</f>
        <v/>
      </c>
      <c r="W211" s="523">
        <f>IFERROR((T211-U211)/ABS(U211),"N/A")</f>
        <v/>
      </c>
      <c r="X211" s="545" t="n"/>
      <c r="Y211" s="512">
        <f>IF(ISNUMBER(SEARCH("SUMPRODUCT",_xlfn.FORMULATEXT(L211),1))=FALSE,IF(ISNUMBER(SEARCH("INDIRECT",_xlfn.FORMULATEXT(L211),1))=TRUE,1,0),2)</f>
        <v/>
      </c>
      <c r="Z211" s="525">
        <f>IFERROR(SUMPRODUCT(--(_xlfn.ISFORMULA(L211)=FALSE),--(C211&lt;&gt;"Other Projects"),--(AC211&lt;&gt;TRUE),L211),0)</f>
        <v/>
      </c>
      <c r="AA211" s="512">
        <f>IFERROR(SUMPRODUCT(--(_xlfn.ISFORMULA(L211)=FALSE),--(C211&lt;&gt;"Other Projects"),--(G211="Yes"),--(AC211&lt;&gt;TRUE),L211),0)</f>
        <v/>
      </c>
      <c r="AB211" s="512">
        <f>IF(_xlfn.ISFORMULA(L211)=TRUE,0,AB210-1)</f>
        <v/>
      </c>
      <c r="AC211" s="512" t="n"/>
    </row>
    <row r="212" outlineLevel="1" ht="15" customFormat="1" customHeight="1" s="266">
      <c r="A212" s="515" t="n"/>
      <c r="B212" s="547" t="inlineStr">
        <is>
          <t>Gas distribution</t>
        </is>
      </c>
      <c r="C212" s="407" t="inlineStr">
        <is>
          <t>Modernization/construction projects</t>
        </is>
      </c>
      <c r="D212" s="407" t="n"/>
      <c r="E212" s="518">
        <f>IF(ISBLANK(C212)=FALSE,"thsd</f>
        <v/>
      </c>
      <c r="F212" s="518">
        <f>IF(ISBLANK(C212)=FALSE,"+","")</f>
        <v/>
      </c>
      <c r="G212" s="519" t="n"/>
      <c r="H212" s="519" t="n"/>
      <c r="I212" s="519" t="n"/>
      <c r="J212" s="519" t="n"/>
      <c r="K212" s="545" t="n"/>
      <c r="L212" s="588">
        <f>SUM(INDIRECT(CHAR(COLUMN()+64)&amp;ROW(L213)&amp;":"&amp;IF(_xlfn.ISFORMULA(INDIRECT((ADDRESS(ROW()-1+MATCH(1,$Y213:$Y$261,0),COLUMN(),1,1)))),(ADDRESS(ROW()-2+MATCH(1,$Y213:$Y$261,0),COLUMN(),1,1)),(ADDRESS(ROW()-1+MATCH(1,$Y213:$Y$261,0),COLUMN(),1,1)))))</f>
        <v/>
      </c>
      <c r="M212" s="588">
        <f>SUM(INDIRECT(CHAR(COLUMN()+64)&amp;ROW(M213)&amp;":"&amp;IF(_xlfn.ISFORMULA(INDIRECT((ADDRESS(ROW()-1+MATCH(1,$Y213:$Y$261,0),COLUMN(),1,1)))),(ADDRESS(ROW()-2+MATCH(1,$Y213:$Y$261,0),COLUMN(),1,1)),(ADDRESS(ROW()-1+MATCH(1,$Y213:$Y$261,0),COLUMN(),1,1)))))</f>
        <v/>
      </c>
      <c r="N212" s="588">
        <f>SUM(INDIRECT(CHAR(COLUMN()+64)&amp;ROW(N213)&amp;":"&amp;IF(_xlfn.ISFORMULA(INDIRECT((ADDRESS(ROW()-1+MATCH(1,$Y213:$Y$261,0),COLUMN(),1,1)))),(ADDRESS(ROW()-2+MATCH(1,$Y213:$Y$261,0),COLUMN(),1,1)),(ADDRESS(ROW()-1+MATCH(1,$Y213:$Y$261,0),COLUMN(),1,1)))))</f>
        <v/>
      </c>
      <c r="O212" s="588">
        <f>SUM(INDIRECT(CHAR(COLUMN()+64)&amp;ROW(O213)&amp;":"&amp;IF(_xlfn.ISFORMULA(INDIRECT((ADDRESS(ROW()-1+MATCH(1,$Y213:$Y$261,0),COLUMN(),1,1)))),(ADDRESS(ROW()-2+MATCH(1,$Y213:$Y$261,0),COLUMN(),1,1)),(ADDRESS(ROW()-1+MATCH(1,$Y213:$Y$261,0),COLUMN(),1,1)))))</f>
        <v/>
      </c>
      <c r="P212" s="588">
        <f>SUM(INDIRECT(CHAR(COLUMN()+64)&amp;ROW(P213)&amp;":"&amp;IF(_xlfn.ISFORMULA(INDIRECT((ADDRESS(ROW()-1+MATCH(1,$Y213:$Y$261,0),COLUMN(),1,1)))),(ADDRESS(ROW()-2+MATCH(1,$Y213:$Y$261,0),COLUMN(),1,1)),(ADDRESS(ROW()-1+MATCH(1,$Y213:$Y$261,0),COLUMN(),1,1)))))</f>
        <v/>
      </c>
      <c r="Q212" s="522">
        <f>IFERROR((O212-P212),"N/A")</f>
        <v/>
      </c>
      <c r="R212" s="523">
        <f>IFERROR((O212-P212)/ABS(P212),"N/A")</f>
        <v/>
      </c>
      <c r="S212" s="545" t="n"/>
      <c r="T212" s="588">
        <f>SUM(INDIRECT(CHAR(COLUMN()+64)&amp;ROW(T213)&amp;":"&amp;IF(_xlfn.ISFORMULA(INDIRECT((ADDRESS(ROW()-1+MATCH(1,$Y213:$Y$261,0),COLUMN(),1,1)))),(ADDRESS(ROW()-2+MATCH(1,$Y213:$Y$261,0),COLUMN(),1,1)),(ADDRESS(ROW()-1+MATCH(1,$Y213:$Y$261,0),COLUMN(),1,1)))))</f>
        <v/>
      </c>
      <c r="U212" s="588">
        <f>SUM(INDIRECT(CHAR(COLUMN()+64)&amp;ROW(U213)&amp;":"&amp;IF(_xlfn.ISFORMULA(INDIRECT((ADDRESS(ROW()-1+MATCH(1,$Y213:$Y$261,0),COLUMN(),1,1)))),(ADDRESS(ROW()-2+MATCH(1,$Y213:$Y$261,0),COLUMN(),1,1)),(ADDRESS(ROW()-1+MATCH(1,$Y213:$Y$261,0),COLUMN(),1,1)))))</f>
        <v/>
      </c>
      <c r="V212" s="522">
        <f>IFERROR((T212-U212),"N/A")</f>
        <v/>
      </c>
      <c r="W212" s="523">
        <f>IFERROR((T212-U212)/ABS(U212),"N/A")</f>
        <v/>
      </c>
      <c r="X212" s="537" t="n"/>
      <c r="Y212" s="512">
        <f>IF(ISNUMBER(SEARCH("SUMPRODUCT",_xlfn.FORMULATEXT(L212),1))=FALSE,IF(ISNUMBER(SEARCH("INDIRECT",_xlfn.FORMULATEXT(L212),1))=TRUE,1,0),2)</f>
        <v/>
      </c>
      <c r="Z212" s="525">
        <f>IFERROR(SUMPRODUCT(--(_xlfn.ISFORMULA(L212)=FALSE),--(C212&lt;&gt;"Other Projects"),--(AC212&lt;&gt;TRUE),L212),0)</f>
        <v/>
      </c>
      <c r="AA212" s="512">
        <f>IFERROR(SUMPRODUCT(--(_xlfn.ISFORMULA(L212)=FALSE),--(C212&lt;&gt;"Other Projects"),--(G212="Yes"),--(AC212&lt;&gt;TRUE),L212),0)</f>
        <v/>
      </c>
      <c r="AB212" s="512">
        <f>IF(_xlfn.ISFORMULA(L212)=TRUE,0,AB211-1)</f>
        <v/>
      </c>
      <c r="AC212" s="512" t="n"/>
    </row>
    <row r="213" outlineLevel="1" ht="63.75" customFormat="1" customHeight="1" s="266">
      <c r="A213" s="515" t="n"/>
      <c r="B213" s="526" t="inlineStr">
        <is>
          <t>Gas distribution</t>
        </is>
      </c>
      <c r="C213" s="530" t="inlineStr">
        <is>
          <t>[Input of the project name]</t>
        </is>
      </c>
      <c r="D213" s="531" t="inlineStr">
        <is>
          <t>[input: brief description of the project, including:</t>
        </is>
      </c>
      <c r="E213" s="518">
        <f>IF(ISBLANK(C213)=FALSE,"thsd</f>
        <v/>
      </c>
      <c r="F213" s="518">
        <f>IF(ISBLANK(C213)=FALSE,"+","")</f>
        <v/>
      </c>
      <c r="G213" s="532" t="n"/>
      <c r="H213" s="533" t="n">
        <v>44927</v>
      </c>
      <c r="I213" s="533" t="inlineStr">
        <is>
          <t>31/12/2023</t>
        </is>
      </c>
      <c r="J213" s="532" t="inlineStr">
        <is>
          <t>No Major Risks</t>
        </is>
      </c>
      <c r="K213" s="532" t="n"/>
      <c r="L213" s="534" t="n">
        <v>22263.00857535996</v>
      </c>
      <c r="M213" s="534" t="n">
        <v>92504.88970896855</v>
      </c>
      <c r="N213" s="534" t="n">
        <v>22263.00857535997</v>
      </c>
      <c r="O213" s="534" t="n">
        <v>4694.110054659033</v>
      </c>
      <c r="P213" s="534" t="n">
        <v>7976.896329128085</v>
      </c>
      <c r="Q213" s="522">
        <f>IFERROR((O213-P213),"N/A")</f>
        <v/>
      </c>
      <c r="R213" s="523">
        <f>IFERROR((O213-P213)/ABS(P213),"N/A")</f>
        <v/>
      </c>
      <c r="S213" s="548" t="n"/>
      <c r="T213" s="534" t="n">
        <v>92504.88970896855</v>
      </c>
      <c r="U213" s="534" t="n">
        <v>22263.00857535997</v>
      </c>
      <c r="V213" s="522">
        <f>IFERROR((T213-U213),"N/A")</f>
        <v/>
      </c>
      <c r="W213" s="523">
        <f>IFERROR((T213-U213)/ABS(U213),"N/A")</f>
        <v/>
      </c>
      <c r="X213" s="532" t="inlineStr">
        <is>
          <t>The deviation is observed in CAPEX (Capital Expenditures). It is caused by intermediate projects, comprising both facilities planned and approved for 2023, as well as facilities carried over from 2022. These projects have influenced the CAPEX pattern and resulted in variations from the original projections.</t>
        </is>
      </c>
      <c r="Y213" s="512">
        <f>IF(ISNUMBER(SEARCH("SUMPRODUCT",_xlfn.FORMULATEXT(L213),1))=FALSE,IF(ISNUMBER(SEARCH("INDIRECT",_xlfn.FORMULATEXT(L213),1))=TRUE,1,0),2)</f>
        <v/>
      </c>
      <c r="Z213" s="525">
        <f>IFERROR(SUMPRODUCT(--(_xlfn.ISFORMULA(L213)=FALSE),--(C213&lt;&gt;"Other Projects"),--(AC213&lt;&gt;TRUE),L213),0)</f>
        <v/>
      </c>
      <c r="AA213" s="512">
        <f>IFERROR(SUMPRODUCT(--(_xlfn.ISFORMULA(L213)=FALSE),--(C213&lt;&gt;"Other Projects"),--(G213="Yes"),--(AC213&lt;&gt;TRUE),L213),0)</f>
        <v/>
      </c>
      <c r="AB213" s="512">
        <f>IF(_xlfn.ISFORMULA(L213)=TRUE,0,AB212-1)</f>
        <v/>
      </c>
      <c r="AC213" s="512" t="n"/>
    </row>
    <row r="214" outlineLevel="1" ht="63.75" customFormat="1" customHeight="1" s="266">
      <c r="A214" s="515" t="n"/>
      <c r="B214" s="526" t="inlineStr">
        <is>
          <t>Gas distribution</t>
        </is>
      </c>
      <c r="C214" s="530" t="inlineStr">
        <is>
          <t>[Input of the project name]</t>
        </is>
      </c>
      <c r="D214" s="531" t="inlineStr">
        <is>
          <t>[input: brief description of the project, including:</t>
        </is>
      </c>
      <c r="E214" s="518">
        <f>IF(ISBLANK(C214)=FALSE,"thsd</f>
        <v/>
      </c>
      <c r="F214" s="518">
        <f>IF(ISBLANK(C214)=FALSE,"+","")</f>
        <v/>
      </c>
      <c r="G214" s="532" t="n"/>
      <c r="H214" s="533" t="n"/>
      <c r="I214" s="533" t="n"/>
      <c r="J214" s="536" t="n"/>
      <c r="K214" s="548" t="n"/>
      <c r="L214" s="534" t="n"/>
      <c r="M214" s="534" t="n"/>
      <c r="N214" s="534" t="n"/>
      <c r="O214" s="534" t="n"/>
      <c r="P214" s="534" t="n"/>
      <c r="Q214" s="522">
        <f>IFERROR((O214-P214),"N/A")</f>
        <v/>
      </c>
      <c r="R214" s="523">
        <f>IFERROR((O214-P214)/ABS(P214),"N/A")</f>
        <v/>
      </c>
      <c r="S214" s="548" t="n"/>
      <c r="T214" s="538" t="n"/>
      <c r="U214" s="538" t="n"/>
      <c r="V214" s="522">
        <f>IFERROR((T214-U214),"N/A")</f>
        <v/>
      </c>
      <c r="W214" s="523">
        <f>IFERROR((T214-U214)/ABS(U214),"N/A")</f>
        <v/>
      </c>
      <c r="X214" s="548" t="n"/>
      <c r="Y214" s="512">
        <f>IF(ISNUMBER(SEARCH("SUMPRODUCT",_xlfn.FORMULATEXT(L214),1))=FALSE,IF(ISNUMBER(SEARCH("INDIRECT",_xlfn.FORMULATEXT(L214),1))=TRUE,1,0),2)</f>
        <v/>
      </c>
      <c r="Z214" s="525">
        <f>IFERROR(SUMPRODUCT(--(_xlfn.ISFORMULA(L214)=FALSE),--(C214&lt;&gt;"Other Projects"),--(AC214&lt;&gt;TRUE),L214),0)</f>
        <v/>
      </c>
      <c r="AA214" s="512">
        <f>IFERROR(SUMPRODUCT(--(_xlfn.ISFORMULA(L214)=FALSE),--(C214&lt;&gt;"Other Projects"),--(G214="Yes"),--(AC214&lt;&gt;TRUE),L214),0)</f>
        <v/>
      </c>
      <c r="AB214" s="512">
        <f>IF(_xlfn.ISFORMULA(L214)=TRUE,0,AB213-1)</f>
        <v/>
      </c>
      <c r="AC214" s="512" t="n"/>
    </row>
    <row r="215" outlineLevel="1" ht="63.75" customFormat="1" customHeight="1" s="266">
      <c r="A215" s="515" t="n"/>
      <c r="B215" s="526" t="inlineStr">
        <is>
          <t>Gas distribution</t>
        </is>
      </c>
      <c r="C215" s="530" t="inlineStr">
        <is>
          <t>[Input of the project name]</t>
        </is>
      </c>
      <c r="D215" s="531" t="inlineStr">
        <is>
          <t>[input: brief description of the project, including:</t>
        </is>
      </c>
      <c r="E215" s="518">
        <f>IF(ISBLANK(C215)=FALSE,"thsd</f>
        <v/>
      </c>
      <c r="F215" s="518">
        <f>IF(ISBLANK(C215)=FALSE,"+","")</f>
        <v/>
      </c>
      <c r="G215" s="532" t="n"/>
      <c r="H215" s="533" t="n"/>
      <c r="I215" s="533" t="n"/>
      <c r="J215" s="536" t="n"/>
      <c r="K215" s="548" t="n"/>
      <c r="L215" s="534" t="n"/>
      <c r="M215" s="534" t="n"/>
      <c r="N215" s="534" t="n"/>
      <c r="O215" s="534" t="n"/>
      <c r="P215" s="534" t="n"/>
      <c r="Q215" s="522">
        <f>IFERROR((O215-P215),"N/A")</f>
        <v/>
      </c>
      <c r="R215" s="523">
        <f>IFERROR((O215-P215)/ABS(P215),"N/A")</f>
        <v/>
      </c>
      <c r="S215" s="548" t="n"/>
      <c r="T215" s="538" t="n"/>
      <c r="U215" s="538" t="n"/>
      <c r="V215" s="522">
        <f>IFERROR((T215-U215),"N/A")</f>
        <v/>
      </c>
      <c r="W215" s="523">
        <f>IFERROR((T215-U215)/ABS(U215),"N/A")</f>
        <v/>
      </c>
      <c r="X215" s="548" t="n"/>
      <c r="Y215" s="512">
        <f>IF(ISNUMBER(SEARCH("SUMPRODUCT",_xlfn.FORMULATEXT(L215),1))=FALSE,IF(ISNUMBER(SEARCH("INDIRECT",_xlfn.FORMULATEXT(L215),1))=TRUE,1,0),2)</f>
        <v/>
      </c>
      <c r="Z215" s="525">
        <f>IFERROR(SUMPRODUCT(--(_xlfn.ISFORMULA(L215)=FALSE),--(C215&lt;&gt;"Other Projects"),--(AC215&lt;&gt;TRUE),L215),0)</f>
        <v/>
      </c>
      <c r="AA215" s="512">
        <f>IFERROR(SUMPRODUCT(--(_xlfn.ISFORMULA(L215)=FALSE),--(C215&lt;&gt;"Other Projects"),--(G215="Yes"),--(AC215&lt;&gt;TRUE),L215),0)</f>
        <v/>
      </c>
      <c r="AB215" s="512">
        <f>IF(_xlfn.ISFORMULA(L215)=TRUE,0,AB214-1)</f>
        <v/>
      </c>
      <c r="AC215" s="512" t="n"/>
    </row>
    <row r="216" outlineLevel="1" ht="63.75" customFormat="1" customHeight="1" s="266">
      <c r="A216" s="515" t="n"/>
      <c r="B216" s="526" t="inlineStr">
        <is>
          <t>Gas distribution</t>
        </is>
      </c>
      <c r="C216" s="530" t="inlineStr">
        <is>
          <t>[Input of the project name]</t>
        </is>
      </c>
      <c r="D216" s="531" t="inlineStr">
        <is>
          <t>[input: brief description of the project, including:</t>
        </is>
      </c>
      <c r="E216" s="518">
        <f>IF(ISBLANK(C216)=FALSE,"thsd</f>
        <v/>
      </c>
      <c r="F216" s="518">
        <f>IF(ISBLANK(C216)=FALSE,"+","")</f>
        <v/>
      </c>
      <c r="G216" s="532" t="n"/>
      <c r="H216" s="533" t="n"/>
      <c r="I216" s="533" t="n"/>
      <c r="J216" s="536" t="n"/>
      <c r="K216" s="548" t="n"/>
      <c r="L216" s="534" t="n"/>
      <c r="M216" s="534" t="n"/>
      <c r="N216" s="534" t="n"/>
      <c r="O216" s="534" t="n"/>
      <c r="P216" s="534" t="n"/>
      <c r="Q216" s="522">
        <f>IFERROR((O216-P216),"N/A")</f>
        <v/>
      </c>
      <c r="R216" s="523">
        <f>IFERROR((O216-P216)/ABS(P216),"N/A")</f>
        <v/>
      </c>
      <c r="S216" s="548" t="n"/>
      <c r="T216" s="538" t="n"/>
      <c r="U216" s="538" t="n"/>
      <c r="V216" s="522">
        <f>IFERROR((T216-U216),"N/A")</f>
        <v/>
      </c>
      <c r="W216" s="523">
        <f>IFERROR((T216-U216)/ABS(U216),"N/A")</f>
        <v/>
      </c>
      <c r="X216" s="548" t="n"/>
      <c r="Y216" s="512">
        <f>IF(ISNUMBER(SEARCH("SUMPRODUCT",_xlfn.FORMULATEXT(L216),1))=FALSE,IF(ISNUMBER(SEARCH("INDIRECT",_xlfn.FORMULATEXT(L216),1))=TRUE,1,0),2)</f>
        <v/>
      </c>
      <c r="Z216" s="525">
        <f>IFERROR(SUMPRODUCT(--(_xlfn.ISFORMULA(L216)=FALSE),--(C216&lt;&gt;"Other Projects"),--(AC216&lt;&gt;TRUE),L216),0)</f>
        <v/>
      </c>
      <c r="AA216" s="512">
        <f>IFERROR(SUMPRODUCT(--(_xlfn.ISFORMULA(L216)=FALSE),--(C216&lt;&gt;"Other Projects"),--(G216="Yes"),--(AC216&lt;&gt;TRUE),L216),0)</f>
        <v/>
      </c>
      <c r="AB216" s="512">
        <f>IF(_xlfn.ISFORMULA(L216)=TRUE,0,AB215-1)</f>
        <v/>
      </c>
      <c r="AC216" s="512" t="n"/>
    </row>
    <row r="217" outlineLevel="1" ht="63.75" customFormat="1" customHeight="1" s="266">
      <c r="A217" s="515" t="n"/>
      <c r="B217" s="526" t="inlineStr">
        <is>
          <t>Gas distribution</t>
        </is>
      </c>
      <c r="C217" s="530" t="inlineStr">
        <is>
          <t>[Input of the project name]</t>
        </is>
      </c>
      <c r="D217" s="531" t="inlineStr">
        <is>
          <t>[input: brief description of the project, including:</t>
        </is>
      </c>
      <c r="E217" s="518">
        <f>IF(ISBLANK(C217)=FALSE,"thsd</f>
        <v/>
      </c>
      <c r="F217" s="518">
        <f>IF(ISBLANK(C217)=FALSE,"+","")</f>
        <v/>
      </c>
      <c r="G217" s="532" t="n"/>
      <c r="H217" s="533" t="n"/>
      <c r="I217" s="533" t="n"/>
      <c r="J217" s="536" t="n"/>
      <c r="K217" s="548" t="n"/>
      <c r="L217" s="534" t="n"/>
      <c r="M217" s="534" t="n"/>
      <c r="N217" s="534" t="n"/>
      <c r="O217" s="534" t="n"/>
      <c r="P217" s="534" t="n"/>
      <c r="Q217" s="522">
        <f>IFERROR((O217-P217),"N/A")</f>
        <v/>
      </c>
      <c r="R217" s="523">
        <f>IFERROR((O217-P217)/ABS(P217),"N/A")</f>
        <v/>
      </c>
      <c r="S217" s="548" t="n"/>
      <c r="T217" s="538" t="n"/>
      <c r="U217" s="538" t="n"/>
      <c r="V217" s="522">
        <f>IFERROR((T217-U217),"N/A")</f>
        <v/>
      </c>
      <c r="W217" s="523">
        <f>IFERROR((T217-U217)/ABS(U217),"N/A")</f>
        <v/>
      </c>
      <c r="X217" s="548" t="n"/>
      <c r="Y217" s="512">
        <f>IF(ISNUMBER(SEARCH("SUMPRODUCT",_xlfn.FORMULATEXT(L217),1))=FALSE,IF(ISNUMBER(SEARCH("INDIRECT",_xlfn.FORMULATEXT(L217),1))=TRUE,1,0),2)</f>
        <v/>
      </c>
      <c r="Z217" s="525">
        <f>IFERROR(SUMPRODUCT(--(_xlfn.ISFORMULA(L217)=FALSE),--(C217&lt;&gt;"Other Projects"),--(AC217&lt;&gt;TRUE),L217),0)</f>
        <v/>
      </c>
      <c r="AA217" s="512">
        <f>IFERROR(SUMPRODUCT(--(_xlfn.ISFORMULA(L217)=FALSE),--(C217&lt;&gt;"Other Projects"),--(G217="Yes"),--(AC217&lt;&gt;TRUE),L217),0)</f>
        <v/>
      </c>
      <c r="AB217" s="512">
        <f>IF(_xlfn.ISFORMULA(L217)=TRUE,0,AB216-1)</f>
        <v/>
      </c>
      <c r="AC217" s="512" t="n"/>
    </row>
    <row r="218" outlineLevel="1" ht="63.75" customFormat="1" customHeight="1" s="266">
      <c r="A218" s="515" t="n"/>
      <c r="B218" s="526" t="inlineStr">
        <is>
          <t>Gas distribution</t>
        </is>
      </c>
      <c r="C218" s="530" t="inlineStr">
        <is>
          <t>[Input of the project name]</t>
        </is>
      </c>
      <c r="D218" s="531" t="inlineStr">
        <is>
          <t>[input: brief description of the project, including:</t>
        </is>
      </c>
      <c r="E218" s="518">
        <f>IF(ISBLANK(C218)=FALSE,"thsd</f>
        <v/>
      </c>
      <c r="F218" s="518">
        <f>IF(ISBLANK(C218)=FALSE,"+","")</f>
        <v/>
      </c>
      <c r="G218" s="532" t="n"/>
      <c r="H218" s="533" t="n"/>
      <c r="I218" s="533" t="n"/>
      <c r="J218" s="536" t="n"/>
      <c r="K218" s="548" t="n"/>
      <c r="L218" s="534" t="n"/>
      <c r="M218" s="534" t="n"/>
      <c r="N218" s="534" t="n"/>
      <c r="O218" s="534" t="n"/>
      <c r="P218" s="534" t="n"/>
      <c r="Q218" s="522">
        <f>IFERROR((O218-P218),"N/A")</f>
        <v/>
      </c>
      <c r="R218" s="523">
        <f>IFERROR((O218-P218)/ABS(P218),"N/A")</f>
        <v/>
      </c>
      <c r="S218" s="548" t="n"/>
      <c r="T218" s="538" t="n"/>
      <c r="U218" s="538" t="n"/>
      <c r="V218" s="522">
        <f>IFERROR((T218-U218),"N/A")</f>
        <v/>
      </c>
      <c r="W218" s="523">
        <f>IFERROR((T218-U218)/ABS(U218),"N/A")</f>
        <v/>
      </c>
      <c r="X218" s="548" t="n"/>
      <c r="Y218" s="512">
        <f>IF(ISNUMBER(SEARCH("SUMPRODUCT",_xlfn.FORMULATEXT(L218),1))=FALSE,IF(ISNUMBER(SEARCH("INDIRECT",_xlfn.FORMULATEXT(L218),1))=TRUE,1,0),2)</f>
        <v/>
      </c>
      <c r="Z218" s="525">
        <f>IFERROR(SUMPRODUCT(--(_xlfn.ISFORMULA(L218)=FALSE),--(C218&lt;&gt;"Other Projects"),--(AC218&lt;&gt;TRUE),L218),0)</f>
        <v/>
      </c>
      <c r="AA218" s="512">
        <f>IFERROR(SUMPRODUCT(--(_xlfn.ISFORMULA(L218)=FALSE),--(C218&lt;&gt;"Other Projects"),--(G218="Yes"),--(AC218&lt;&gt;TRUE),L218),0)</f>
        <v/>
      </c>
      <c r="AB218" s="512">
        <f>IF(_xlfn.ISFORMULA(L218)=TRUE,0,AB217-1)</f>
        <v/>
      </c>
      <c r="AC218" s="512" t="n"/>
    </row>
    <row r="219" outlineLevel="1" ht="63.75" customFormat="1" customHeight="1" s="266">
      <c r="A219" s="515" t="n"/>
      <c r="B219" s="526" t="inlineStr">
        <is>
          <t>Gas distribution</t>
        </is>
      </c>
      <c r="C219" s="530" t="inlineStr">
        <is>
          <t>[Input of the project name]</t>
        </is>
      </c>
      <c r="D219" s="531" t="inlineStr">
        <is>
          <t>[input: brief description of the project, including:</t>
        </is>
      </c>
      <c r="E219" s="518">
        <f>IF(ISBLANK(C219)=FALSE,"thsd</f>
        <v/>
      </c>
      <c r="F219" s="518">
        <f>IF(ISBLANK(C219)=FALSE,"+","")</f>
        <v/>
      </c>
      <c r="G219" s="532" t="n"/>
      <c r="H219" s="533" t="n"/>
      <c r="I219" s="533" t="n"/>
      <c r="J219" s="536" t="n"/>
      <c r="K219" s="548" t="n"/>
      <c r="L219" s="534" t="n"/>
      <c r="M219" s="534" t="n"/>
      <c r="N219" s="534" t="n"/>
      <c r="O219" s="534" t="n"/>
      <c r="P219" s="534" t="n"/>
      <c r="Q219" s="522">
        <f>IFERROR((O219-P219),"N/A")</f>
        <v/>
      </c>
      <c r="R219" s="523">
        <f>IFERROR((O219-P219)/ABS(P219),"N/A")</f>
        <v/>
      </c>
      <c r="S219" s="548" t="n"/>
      <c r="T219" s="538" t="n"/>
      <c r="U219" s="538" t="n"/>
      <c r="V219" s="522">
        <f>IFERROR((T219-U219),"N/A")</f>
        <v/>
      </c>
      <c r="W219" s="523">
        <f>IFERROR((T219-U219)/ABS(U219),"N/A")</f>
        <v/>
      </c>
      <c r="X219" s="548" t="n"/>
      <c r="Y219" s="512">
        <f>IF(ISNUMBER(SEARCH("SUMPRODUCT",_xlfn.FORMULATEXT(L219),1))=FALSE,IF(ISNUMBER(SEARCH("INDIRECT",_xlfn.FORMULATEXT(L219),1))=TRUE,1,0),2)</f>
        <v/>
      </c>
      <c r="Z219" s="525">
        <f>IFERROR(SUMPRODUCT(--(_xlfn.ISFORMULA(L219)=FALSE),--(C219&lt;&gt;"Other Projects"),--(AC219&lt;&gt;TRUE),L219),0)</f>
        <v/>
      </c>
      <c r="AA219" s="512">
        <f>IFERROR(SUMPRODUCT(--(_xlfn.ISFORMULA(L219)=FALSE),--(C219&lt;&gt;"Other Projects"),--(G219="Yes"),--(AC219&lt;&gt;TRUE),L219),0)</f>
        <v/>
      </c>
      <c r="AB219" s="512">
        <f>IF(_xlfn.ISFORMULA(L219)=TRUE,0,AB218-1)</f>
        <v/>
      </c>
      <c r="AC219" s="512" t="n"/>
    </row>
    <row r="220" outlineLevel="1" ht="63.75" customFormat="1" customHeight="1" s="266">
      <c r="A220" s="515" t="n"/>
      <c r="B220" s="526" t="inlineStr">
        <is>
          <t>Gas distribution</t>
        </is>
      </c>
      <c r="C220" s="530" t="inlineStr">
        <is>
          <t>[Input of the project name]</t>
        </is>
      </c>
      <c r="D220" s="531" t="inlineStr">
        <is>
          <t>[input: brief description of the project, including:</t>
        </is>
      </c>
      <c r="E220" s="518">
        <f>IF(ISBLANK(C220)=FALSE,"thsd</f>
        <v/>
      </c>
      <c r="F220" s="518">
        <f>IF(ISBLANK(C220)=FALSE,"+","")</f>
        <v/>
      </c>
      <c r="G220" s="532" t="n"/>
      <c r="H220" s="533" t="n"/>
      <c r="I220" s="533" t="n"/>
      <c r="J220" s="536" t="n"/>
      <c r="K220" s="548" t="n"/>
      <c r="L220" s="534" t="n"/>
      <c r="M220" s="534" t="n"/>
      <c r="N220" s="534" t="n"/>
      <c r="O220" s="534" t="n"/>
      <c r="P220" s="534" t="n"/>
      <c r="Q220" s="522">
        <f>IFERROR((O220-P220),"N/A")</f>
        <v/>
      </c>
      <c r="R220" s="523">
        <f>IFERROR((O220-P220)/ABS(P220),"N/A")</f>
        <v/>
      </c>
      <c r="S220" s="548" t="n"/>
      <c r="T220" s="538" t="n"/>
      <c r="U220" s="538" t="n"/>
      <c r="V220" s="522">
        <f>IFERROR((T220-U220),"N/A")</f>
        <v/>
      </c>
      <c r="W220" s="523">
        <f>IFERROR((T220-U220)/ABS(U220),"N/A")</f>
        <v/>
      </c>
      <c r="X220" s="548" t="n"/>
      <c r="Y220" s="512">
        <f>IF(ISNUMBER(SEARCH("SUMPRODUCT",_xlfn.FORMULATEXT(L220),1))=FALSE,IF(ISNUMBER(SEARCH("INDIRECT",_xlfn.FORMULATEXT(L220),1))=TRUE,1,0),2)</f>
        <v/>
      </c>
      <c r="Z220" s="525">
        <f>IFERROR(SUMPRODUCT(--(_xlfn.ISFORMULA(L220)=FALSE),--(C220&lt;&gt;"Other Projects"),--(AC220&lt;&gt;TRUE),L220),0)</f>
        <v/>
      </c>
      <c r="AA220" s="512">
        <f>IFERROR(SUMPRODUCT(--(_xlfn.ISFORMULA(L220)=FALSE),--(C220&lt;&gt;"Other Projects"),--(G220="Yes"),--(AC220&lt;&gt;TRUE),L220),0)</f>
        <v/>
      </c>
      <c r="AB220" s="512">
        <f>IF(_xlfn.ISFORMULA(L220)=TRUE,0,AB219-1)</f>
        <v/>
      </c>
      <c r="AC220" s="512" t="n"/>
    </row>
    <row r="221" outlineLevel="1" ht="63.75" customFormat="1" customHeight="1" s="266">
      <c r="A221" s="515" t="n"/>
      <c r="B221" s="526" t="inlineStr">
        <is>
          <t>Gas distribution</t>
        </is>
      </c>
      <c r="C221" s="530" t="inlineStr">
        <is>
          <t>[Input of the project name]</t>
        </is>
      </c>
      <c r="D221" s="531" t="inlineStr">
        <is>
          <t>[input: brief description of the project, including:</t>
        </is>
      </c>
      <c r="E221" s="518">
        <f>IF(ISBLANK(C221)=FALSE,"thsd</f>
        <v/>
      </c>
      <c r="F221" s="518">
        <f>IF(ISBLANK(C221)=FALSE,"+","")</f>
        <v/>
      </c>
      <c r="G221" s="532" t="n"/>
      <c r="H221" s="533" t="n"/>
      <c r="I221" s="533" t="n"/>
      <c r="J221" s="536" t="n"/>
      <c r="K221" s="548" t="n"/>
      <c r="L221" s="534" t="n"/>
      <c r="M221" s="534" t="n"/>
      <c r="N221" s="534" t="n"/>
      <c r="O221" s="534" t="n"/>
      <c r="P221" s="534" t="n"/>
      <c r="Q221" s="522">
        <f>IFERROR((O221-P221),"N/A")</f>
        <v/>
      </c>
      <c r="R221" s="523">
        <f>IFERROR((O221-P221)/ABS(P221),"N/A")</f>
        <v/>
      </c>
      <c r="S221" s="548" t="n"/>
      <c r="T221" s="538" t="n"/>
      <c r="U221" s="538" t="n"/>
      <c r="V221" s="522">
        <f>IFERROR((T221-U221),"N/A")</f>
        <v/>
      </c>
      <c r="W221" s="523">
        <f>IFERROR((T221-U221)/ABS(U221),"N/A")</f>
        <v/>
      </c>
      <c r="X221" s="548" t="n"/>
      <c r="Y221" s="512">
        <f>IF(ISNUMBER(SEARCH("SUMPRODUCT",_xlfn.FORMULATEXT(L221),1))=FALSE,IF(ISNUMBER(SEARCH("INDIRECT",_xlfn.FORMULATEXT(L221),1))=TRUE,1,0),2)</f>
        <v/>
      </c>
      <c r="Z221" s="525">
        <f>IFERROR(SUMPRODUCT(--(_xlfn.ISFORMULA(L221)=FALSE),--(C221&lt;&gt;"Other Projects"),--(AC221&lt;&gt;TRUE),L221),0)</f>
        <v/>
      </c>
      <c r="AA221" s="512">
        <f>IFERROR(SUMPRODUCT(--(_xlfn.ISFORMULA(L221)=FALSE),--(C221&lt;&gt;"Other Projects"),--(G221="Yes"),--(AC221&lt;&gt;TRUE),L221),0)</f>
        <v/>
      </c>
      <c r="AB221" s="512">
        <f>IF(_xlfn.ISFORMULA(L221)=TRUE,0,AB220-1)</f>
        <v/>
      </c>
      <c r="AC221" s="512" t="n"/>
    </row>
    <row r="222" outlineLevel="1" ht="63.75" customFormat="1" customHeight="1" s="266">
      <c r="A222" s="515" t="n"/>
      <c r="B222" s="526" t="inlineStr">
        <is>
          <t>Gas distribution</t>
        </is>
      </c>
      <c r="C222" s="530" t="inlineStr">
        <is>
          <t>[Input of the project name]</t>
        </is>
      </c>
      <c r="D222" s="531" t="inlineStr">
        <is>
          <t>[input: brief description of the project, including:</t>
        </is>
      </c>
      <c r="E222" s="518">
        <f>IF(ISBLANK(C222)=FALSE,"thsd</f>
        <v/>
      </c>
      <c r="F222" s="518">
        <f>IF(ISBLANK(C222)=FALSE,"+","")</f>
        <v/>
      </c>
      <c r="G222" s="532" t="n"/>
      <c r="H222" s="533" t="n"/>
      <c r="I222" s="533" t="n"/>
      <c r="J222" s="536" t="n"/>
      <c r="K222" s="548" t="n"/>
      <c r="L222" s="534" t="n"/>
      <c r="M222" s="534" t="n"/>
      <c r="N222" s="534" t="n"/>
      <c r="O222" s="534" t="n"/>
      <c r="P222" s="534" t="n"/>
      <c r="Q222" s="522">
        <f>IFERROR((O222-P222),"N/A")</f>
        <v/>
      </c>
      <c r="R222" s="523">
        <f>IFERROR((O222-P222)/ABS(P222),"N/A")</f>
        <v/>
      </c>
      <c r="S222" s="548" t="n"/>
      <c r="T222" s="538" t="n"/>
      <c r="U222" s="538" t="n"/>
      <c r="V222" s="522">
        <f>IFERROR((T222-U222),"N/A")</f>
        <v/>
      </c>
      <c r="W222" s="523">
        <f>IFERROR((T222-U222)/ABS(U222),"N/A")</f>
        <v/>
      </c>
      <c r="X222" s="548" t="n"/>
      <c r="Y222" s="512">
        <f>IF(ISNUMBER(SEARCH("SUMPRODUCT",_xlfn.FORMULATEXT(L222),1))=FALSE,IF(ISNUMBER(SEARCH("INDIRECT",_xlfn.FORMULATEXT(L222),1))=TRUE,1,0),2)</f>
        <v/>
      </c>
      <c r="Z222" s="525">
        <f>IFERROR(SUMPRODUCT(--(_xlfn.ISFORMULA(L222)=FALSE),--(C222&lt;&gt;"Other Projects"),--(AC222&lt;&gt;TRUE),L222),0)</f>
        <v/>
      </c>
      <c r="AA222" s="512">
        <f>IFERROR(SUMPRODUCT(--(_xlfn.ISFORMULA(L222)=FALSE),--(C222&lt;&gt;"Other Projects"),--(G222="Yes"),--(AC222&lt;&gt;TRUE),L222),0)</f>
        <v/>
      </c>
      <c r="AB222" s="512">
        <f>IF(_xlfn.ISFORMULA(L222)=TRUE,0,AB221-1)</f>
        <v/>
      </c>
      <c r="AC222" s="512" t="n"/>
    </row>
    <row r="223" outlineLevel="1" customFormat="1" s="266">
      <c r="A223" s="515" t="n"/>
      <c r="B223" s="526" t="inlineStr">
        <is>
          <t>Gas distribution</t>
        </is>
      </c>
      <c r="C223" s="539" t="inlineStr">
        <is>
          <t>Other projects</t>
        </is>
      </c>
      <c r="D223" s="540" t="n"/>
      <c r="E223" s="518">
        <f>IF(ISBLANK(C223)=FALSE,"thsd</f>
        <v/>
      </c>
      <c r="F223" s="518">
        <f>IF(ISBLANK(C223)=FALSE,"+","")</f>
        <v/>
      </c>
      <c r="G223" s="532" t="n"/>
      <c r="H223" s="533" t="n"/>
      <c r="I223" s="533" t="n"/>
      <c r="J223" s="536" t="n"/>
      <c r="K223" s="548" t="n"/>
      <c r="L223" s="534" t="n"/>
      <c r="M223" s="534" t="n"/>
      <c r="N223" s="534" t="n"/>
      <c r="O223" s="534" t="n"/>
      <c r="P223" s="534" t="n"/>
      <c r="Q223" s="522">
        <f>IFERROR((O223-P223),"N/A")</f>
        <v/>
      </c>
      <c r="R223" s="523">
        <f>IFERROR((O223-P223)/ABS(P223),"N/A")</f>
        <v/>
      </c>
      <c r="S223" s="548" t="n"/>
      <c r="T223" s="538" t="n"/>
      <c r="U223" s="538" t="n"/>
      <c r="V223" s="522">
        <f>IFERROR((T223-U223),"N/A")</f>
        <v/>
      </c>
      <c r="W223" s="523">
        <f>IFERROR((T223-U223)/ABS(U223),"N/A")</f>
        <v/>
      </c>
      <c r="X223" s="548" t="n"/>
      <c r="Y223" s="512">
        <f>IF(ISNUMBER(SEARCH("SUMPRODUCT",_xlfn.FORMULATEXT(L223),1))=FALSE,IF(ISNUMBER(SEARCH("INDIRECT",_xlfn.FORMULATEXT(L223),1))=TRUE,1,0),2)</f>
        <v/>
      </c>
      <c r="Z223" s="525">
        <f>IFERROR(SUMPRODUCT(--(_xlfn.ISFORMULA(L223)=FALSE),--(C223&lt;&gt;"Other Projects"),--(AC223&lt;&gt;TRUE),L223),0)</f>
        <v/>
      </c>
      <c r="AA223" s="512">
        <f>IFERROR(SUMPRODUCT(--(_xlfn.ISFORMULA(L223)=FALSE),--(C223&lt;&gt;"Other Projects"),--(G223="Yes"),--(AC223&lt;&gt;TRUE),L223),0)</f>
        <v/>
      </c>
      <c r="AB223" s="512">
        <f>IF(_xlfn.ISFORMULA(L223)=TRUE,0,AB222-1)</f>
        <v/>
      </c>
      <c r="AC223" s="512" t="n"/>
    </row>
    <row r="224" outlineLevel="1" ht="15" customFormat="1" customHeight="1" s="266">
      <c r="A224" s="515" t="n"/>
      <c r="B224" s="526" t="inlineStr">
        <is>
          <t>Gas distribution</t>
        </is>
      </c>
      <c r="C224" s="527" t="inlineStr">
        <is>
          <t>Other type of projects</t>
        </is>
      </c>
      <c r="D224" s="516" t="n"/>
      <c r="E224" s="518">
        <f>IF(ISBLANK(C224)=FALSE,"thsd</f>
        <v/>
      </c>
      <c r="F224" s="518">
        <f>IF(ISBLANK(C224)=FALSE,"+","")</f>
        <v/>
      </c>
      <c r="G224" s="519" t="n"/>
      <c r="H224" s="519" t="n"/>
      <c r="I224" s="519" t="n"/>
      <c r="J224" s="519" t="n"/>
      <c r="K224" s="537" t="n"/>
      <c r="L224" s="588">
        <f>SUM(INDIRECT(CHAR(COLUMN()+64)&amp;ROW(L225)&amp;":"&amp;IF(_xlfn.ISFORMULA(INDIRECT((ADDRESS(ROW()-1+MATCH(1,$Y225:$Y$261,0),COLUMN(),1,1)))),(ADDRESS(ROW()-2+MATCH(1,$Y225:$Y$261,0),COLUMN(),1,1)),(ADDRESS(ROW()-1+MATCH(1,$Y225:$Y$261,0),COLUMN(),1,1)))))</f>
        <v/>
      </c>
      <c r="M224" s="588">
        <f>SUM(INDIRECT(CHAR(COLUMN()+64)&amp;ROW(M225)&amp;":"&amp;IF(_xlfn.ISFORMULA(INDIRECT((ADDRESS(ROW()-1+MATCH(1,$Y225:$Y$261,0),COLUMN(),1,1)))),(ADDRESS(ROW()-2+MATCH(1,$Y225:$Y$261,0),COLUMN(),1,1)),(ADDRESS(ROW()-1+MATCH(1,$Y225:$Y$261,0),COLUMN(),1,1)))))</f>
        <v/>
      </c>
      <c r="N224" s="588">
        <f>SUM(INDIRECT(CHAR(COLUMN()+64)&amp;ROW(N225)&amp;":"&amp;IF(_xlfn.ISFORMULA(INDIRECT((ADDRESS(ROW()-1+MATCH(1,$Y225:$Y$261,0),COLUMN(),1,1)))),(ADDRESS(ROW()-2+MATCH(1,$Y225:$Y$261,0),COLUMN(),1,1)),(ADDRESS(ROW()-1+MATCH(1,$Y225:$Y$261,0),COLUMN(),1,1)))))</f>
        <v/>
      </c>
      <c r="O224" s="588">
        <f>SUM(INDIRECT(CHAR(COLUMN()+64)&amp;ROW(O225)&amp;":"&amp;IF(_xlfn.ISFORMULA(INDIRECT((ADDRESS(ROW()-1+MATCH(1,$Y225:$Y$261,0),COLUMN(),1,1)))),(ADDRESS(ROW()-2+MATCH(1,$Y225:$Y$261,0),COLUMN(),1,1)),(ADDRESS(ROW()-1+MATCH(1,$Y225:$Y$261,0),COLUMN(),1,1)))))</f>
        <v/>
      </c>
      <c r="P224" s="588">
        <f>SUM(INDIRECT(CHAR(COLUMN()+64)&amp;ROW(P225)&amp;":"&amp;IF(_xlfn.ISFORMULA(INDIRECT((ADDRESS(ROW()-1+MATCH(1,$Y225:$Y$261,0),COLUMN(),1,1)))),(ADDRESS(ROW()-2+MATCH(1,$Y225:$Y$261,0),COLUMN(),1,1)),(ADDRESS(ROW()-1+MATCH(1,$Y225:$Y$261,0),COLUMN(),1,1)))))</f>
        <v/>
      </c>
      <c r="Q224" s="522">
        <f>IFERROR((O224-P224),"N/A")</f>
        <v/>
      </c>
      <c r="R224" s="523">
        <f>IFERROR((O224-P224)/ABS(P224),"N/A")</f>
        <v/>
      </c>
      <c r="S224" s="537" t="n"/>
      <c r="T224" s="588">
        <f>SUM(INDIRECT(CHAR(COLUMN()+64)&amp;ROW(T225)&amp;":"&amp;IF(_xlfn.ISFORMULA(INDIRECT((ADDRESS(ROW()-1+MATCH(1,$Y225:$Y$261,0),COLUMN(),1,1)))),(ADDRESS(ROW()-2+MATCH(1,$Y225:$Y$261,0),COLUMN(),1,1)),(ADDRESS(ROW()-1+MATCH(1,$Y225:$Y$261,0),COLUMN(),1,1)))))</f>
        <v/>
      </c>
      <c r="U224" s="588">
        <f>SUM(INDIRECT(CHAR(COLUMN()+64)&amp;ROW(U225)&amp;":"&amp;IF(_xlfn.ISFORMULA(INDIRECT((ADDRESS(ROW()-1+MATCH(1,$Y225:$Y$261,0),COLUMN(),1,1)))),(ADDRESS(ROW()-2+MATCH(1,$Y225:$Y$261,0),COLUMN(),1,1)),(ADDRESS(ROW()-1+MATCH(1,$Y225:$Y$261,0),COLUMN(),1,1)))))</f>
        <v/>
      </c>
      <c r="V224" s="522">
        <f>IFERROR((T224-U224),"N/A")</f>
        <v/>
      </c>
      <c r="W224" s="523">
        <f>IFERROR((T224-U224)/ABS(U224),"N/A")</f>
        <v/>
      </c>
      <c r="X224" s="537" t="n"/>
      <c r="Y224" s="512">
        <f>IF(ISNUMBER(SEARCH("SUMPRODUCT",_xlfn.FORMULATEXT(L224),1))=FALSE,IF(ISNUMBER(SEARCH("INDIRECT",_xlfn.FORMULATEXT(L224),1))=TRUE,1,0),2)</f>
        <v/>
      </c>
      <c r="Z224" s="525">
        <f>IFERROR(SUMPRODUCT(--(_xlfn.ISFORMULA(L224)=FALSE),--(C224&lt;&gt;"Other Projects"),--(AC224&lt;&gt;TRUE),L224),0)</f>
        <v/>
      </c>
      <c r="AA224" s="512">
        <f>IFERROR(SUMPRODUCT(--(_xlfn.ISFORMULA(L224)=FALSE),--(C224&lt;&gt;"Other Projects"),--(G224="Yes"),--(AC224&lt;&gt;TRUE),L224),0)</f>
        <v/>
      </c>
      <c r="AB224" s="512">
        <f>IF(_xlfn.ISFORMULA(L224)=TRUE,0,AB223-1)</f>
        <v/>
      </c>
      <c r="AC224" s="512" t="n"/>
    </row>
    <row r="225" outlineLevel="1" ht="63.75" customFormat="1" customHeight="1" s="266">
      <c r="A225" s="515" t="n"/>
      <c r="B225" s="526" t="inlineStr">
        <is>
          <t>Gas distribution</t>
        </is>
      </c>
      <c r="C225" s="530" t="inlineStr">
        <is>
          <t>[Input of the project name]</t>
        </is>
      </c>
      <c r="D225" s="531" t="inlineStr">
        <is>
          <t>[input: brief description of the project, including:</t>
        </is>
      </c>
      <c r="E225" s="518">
        <f>IF(ISBLANK(C225)=FALSE,"thsd</f>
        <v/>
      </c>
      <c r="F225" s="518">
        <f>IF(ISBLANK(C225)=FALSE,"+","")</f>
        <v/>
      </c>
      <c r="G225" s="532" t="n"/>
      <c r="H225" s="533" t="n">
        <v>44927</v>
      </c>
      <c r="I225" s="533" t="inlineStr">
        <is>
          <t>31/12/2023</t>
        </is>
      </c>
      <c r="J225" s="536" t="inlineStr">
        <is>
          <t>No Major Risks</t>
        </is>
      </c>
      <c r="K225" s="537" t="n"/>
      <c r="L225" s="534" t="n">
        <v>7195.8149540518</v>
      </c>
      <c r="M225" s="534" t="n">
        <v>9641.225098534991</v>
      </c>
      <c r="N225" s="534" t="n">
        <v>7195.8149540518</v>
      </c>
      <c r="O225" s="534" t="n">
        <v>4774.98354279765</v>
      </c>
      <c r="P225" s="534" t="n">
        <v>780.1625002984166</v>
      </c>
      <c r="Q225" s="522">
        <f>IFERROR((O225-P225),"N/A")</f>
        <v/>
      </c>
      <c r="R225" s="523">
        <f>IFERROR((O225-P225)/ABS(P225),"N/A")</f>
        <v/>
      </c>
      <c r="S225" s="548" t="inlineStr">
        <is>
          <t>N/A</t>
        </is>
      </c>
      <c r="T225" s="534" t="n">
        <v>9641.225098534991</v>
      </c>
      <c r="U225" s="534" t="n">
        <v>7195.8149540518</v>
      </c>
      <c r="V225" s="522">
        <f>IFERROR((T225-U225),"N/A")</f>
        <v/>
      </c>
      <c r="W225" s="523">
        <f>IFERROR((T225-U225)/ABS(U225),"N/A")</f>
        <v/>
      </c>
      <c r="X225" s="548" t="inlineStr">
        <is>
          <t>N/A</t>
        </is>
      </c>
      <c r="Y225" s="512">
        <f>IF(ISNUMBER(SEARCH("SUMPRODUCT",_xlfn.FORMULATEXT(L225),1))=FALSE,IF(ISNUMBER(SEARCH("INDIRECT",_xlfn.FORMULATEXT(L225),1))=TRUE,1,0),2)</f>
        <v/>
      </c>
      <c r="Z225" s="525">
        <f>IFERROR(SUMPRODUCT(--(_xlfn.ISFORMULA(L225)=FALSE),--(C225&lt;&gt;"Other Projects"),--(AC225&lt;&gt;TRUE),L225),0)</f>
        <v/>
      </c>
      <c r="AA225" s="512">
        <f>IFERROR(SUMPRODUCT(--(_xlfn.ISFORMULA(L225)=FALSE),--(C225&lt;&gt;"Other Projects"),--(G225="Yes"),--(AC225&lt;&gt;TRUE),L225),0)</f>
        <v/>
      </c>
      <c r="AB225" s="512">
        <f>IF(_xlfn.ISFORMULA(L225)=TRUE,0,AB224-1)</f>
        <v/>
      </c>
      <c r="AC225" s="512" t="n"/>
    </row>
    <row r="226" outlineLevel="1" ht="63.75" customFormat="1" customHeight="1" s="266">
      <c r="A226" s="515" t="n"/>
      <c r="B226" s="526" t="inlineStr">
        <is>
          <t>Gas distribution</t>
        </is>
      </c>
      <c r="C226" s="530" t="inlineStr">
        <is>
          <t>[Input of the project name]</t>
        </is>
      </c>
      <c r="D226" s="531" t="inlineStr">
        <is>
          <t>[input: brief description of the project, including:</t>
        </is>
      </c>
      <c r="E226" s="518">
        <f>IF(ISBLANK(C226)=FALSE,"thsd</f>
        <v/>
      </c>
      <c r="F226" s="518">
        <f>IF(ISBLANK(C226)=FALSE,"+","")</f>
        <v/>
      </c>
      <c r="G226" s="532" t="n"/>
      <c r="H226" s="533" t="n"/>
      <c r="I226" s="533" t="n"/>
      <c r="J226" s="536" t="n"/>
      <c r="K226" s="548" t="n"/>
      <c r="L226" s="534" t="n"/>
      <c r="M226" s="534" t="n"/>
      <c r="N226" s="534" t="n"/>
      <c r="O226" s="534" t="n"/>
      <c r="P226" s="534" t="n"/>
      <c r="Q226" s="522">
        <f>IFERROR((O226-P226),"N/A")</f>
        <v/>
      </c>
      <c r="R226" s="523">
        <f>IFERROR((O226-P226)/ABS(P226),"N/A")</f>
        <v/>
      </c>
      <c r="S226" s="548" t="n"/>
      <c r="T226" s="538" t="n"/>
      <c r="U226" s="538" t="n"/>
      <c r="V226" s="522">
        <f>IFERROR((T226-U226),"N/A")</f>
        <v/>
      </c>
      <c r="W226" s="523">
        <f>IFERROR((T226-U226)/ABS(U226),"N/A")</f>
        <v/>
      </c>
      <c r="X226" s="548" t="n"/>
      <c r="Y226" s="512">
        <f>IF(ISNUMBER(SEARCH("SUMPRODUCT",_xlfn.FORMULATEXT(L226),1))=FALSE,IF(ISNUMBER(SEARCH("INDIRECT",_xlfn.FORMULATEXT(L226),1))=TRUE,1,0),2)</f>
        <v/>
      </c>
      <c r="Z226" s="525">
        <f>IFERROR(SUMPRODUCT(--(_xlfn.ISFORMULA(L226)=FALSE),--(C226&lt;&gt;"Other Projects"),--(AC226&lt;&gt;TRUE),L226),0)</f>
        <v/>
      </c>
      <c r="AA226" s="512">
        <f>IFERROR(SUMPRODUCT(--(_xlfn.ISFORMULA(L226)=FALSE),--(C226&lt;&gt;"Other Projects"),--(G226="Yes"),--(AC226&lt;&gt;TRUE),L226),0)</f>
        <v/>
      </c>
      <c r="AB226" s="512">
        <f>IF(_xlfn.ISFORMULA(L226)=TRUE,0,AB225-1)</f>
        <v/>
      </c>
      <c r="AC226" s="512" t="n"/>
    </row>
    <row r="227" outlineLevel="1" ht="63.75" customFormat="1" customHeight="1" s="266">
      <c r="A227" s="515" t="n"/>
      <c r="B227" s="526" t="inlineStr">
        <is>
          <t>Gas distribution</t>
        </is>
      </c>
      <c r="C227" s="530" t="inlineStr">
        <is>
          <t>[Input of the project name]</t>
        </is>
      </c>
      <c r="D227" s="531" t="inlineStr">
        <is>
          <t>[input: brief description of the project, including:</t>
        </is>
      </c>
      <c r="E227" s="518">
        <f>IF(ISBLANK(C227)=FALSE,"thsd</f>
        <v/>
      </c>
      <c r="F227" s="518">
        <f>IF(ISBLANK(C227)=FALSE,"+","")</f>
        <v/>
      </c>
      <c r="G227" s="532" t="n"/>
      <c r="H227" s="533" t="n"/>
      <c r="I227" s="533" t="n"/>
      <c r="J227" s="536" t="n"/>
      <c r="K227" s="548" t="n"/>
      <c r="L227" s="534" t="n"/>
      <c r="M227" s="534" t="n"/>
      <c r="N227" s="534" t="n"/>
      <c r="O227" s="534" t="n"/>
      <c r="P227" s="534" t="n"/>
      <c r="Q227" s="522">
        <f>IFERROR((O227-P227),"N/A")</f>
        <v/>
      </c>
      <c r="R227" s="523">
        <f>IFERROR((O227-P227)/ABS(P227),"N/A")</f>
        <v/>
      </c>
      <c r="S227" s="548" t="n"/>
      <c r="T227" s="538" t="n"/>
      <c r="U227" s="538" t="n"/>
      <c r="V227" s="522">
        <f>IFERROR((T227-U227),"N/A")</f>
        <v/>
      </c>
      <c r="W227" s="523">
        <f>IFERROR((T227-U227)/ABS(U227),"N/A")</f>
        <v/>
      </c>
      <c r="X227" s="548" t="n"/>
      <c r="Y227" s="512">
        <f>IF(ISNUMBER(SEARCH("SUMPRODUCT",_xlfn.FORMULATEXT(L227),1))=FALSE,IF(ISNUMBER(SEARCH("INDIRECT",_xlfn.FORMULATEXT(L227),1))=TRUE,1,0),2)</f>
        <v/>
      </c>
      <c r="Z227" s="525">
        <f>IFERROR(SUMPRODUCT(--(_xlfn.ISFORMULA(L227)=FALSE),--(C227&lt;&gt;"Other Projects"),--(AC227&lt;&gt;TRUE),L227),0)</f>
        <v/>
      </c>
      <c r="AA227" s="512">
        <f>IFERROR(SUMPRODUCT(--(_xlfn.ISFORMULA(L227)=FALSE),--(C227&lt;&gt;"Other Projects"),--(G227="Yes"),--(AC227&lt;&gt;TRUE),L227),0)</f>
        <v/>
      </c>
      <c r="AB227" s="512">
        <f>IF(_xlfn.ISFORMULA(L227)=TRUE,0,AB226-1)</f>
        <v/>
      </c>
      <c r="AC227" s="512" t="n"/>
    </row>
    <row r="228" outlineLevel="1" ht="63.75" customFormat="1" customHeight="1" s="266">
      <c r="A228" s="515" t="n"/>
      <c r="B228" s="526" t="inlineStr">
        <is>
          <t>Gas distribution</t>
        </is>
      </c>
      <c r="C228" s="530" t="inlineStr">
        <is>
          <t>[Input of the project name]</t>
        </is>
      </c>
      <c r="D228" s="531" t="inlineStr">
        <is>
          <t>[input: brief description of the project, including:</t>
        </is>
      </c>
      <c r="E228" s="518">
        <f>IF(ISBLANK(C228)=FALSE,"thsd</f>
        <v/>
      </c>
      <c r="F228" s="518">
        <f>IF(ISBLANK(C228)=FALSE,"+","")</f>
        <v/>
      </c>
      <c r="G228" s="532" t="n"/>
      <c r="H228" s="533" t="n"/>
      <c r="I228" s="533" t="n"/>
      <c r="J228" s="536" t="n"/>
      <c r="K228" s="548" t="n"/>
      <c r="L228" s="534" t="n"/>
      <c r="M228" s="534" t="n"/>
      <c r="N228" s="534" t="n"/>
      <c r="O228" s="534" t="n"/>
      <c r="P228" s="534" t="n"/>
      <c r="Q228" s="522">
        <f>IFERROR((O228-P228),"N/A")</f>
        <v/>
      </c>
      <c r="R228" s="523">
        <f>IFERROR((O228-P228)/ABS(P228),"N/A")</f>
        <v/>
      </c>
      <c r="S228" s="548" t="n"/>
      <c r="T228" s="538" t="n"/>
      <c r="U228" s="538" t="n"/>
      <c r="V228" s="522">
        <f>IFERROR((T228-U228),"N/A")</f>
        <v/>
      </c>
      <c r="W228" s="523">
        <f>IFERROR((T228-U228)/ABS(U228),"N/A")</f>
        <v/>
      </c>
      <c r="X228" s="548" t="n"/>
      <c r="Y228" s="512">
        <f>IF(ISNUMBER(SEARCH("SUMPRODUCT",_xlfn.FORMULATEXT(L228),1))=FALSE,IF(ISNUMBER(SEARCH("INDIRECT",_xlfn.FORMULATEXT(L228),1))=TRUE,1,0),2)</f>
        <v/>
      </c>
      <c r="Z228" s="525">
        <f>IFERROR(SUMPRODUCT(--(_xlfn.ISFORMULA(L228)=FALSE),--(C228&lt;&gt;"Other Projects"),--(AC228&lt;&gt;TRUE),L228),0)</f>
        <v/>
      </c>
      <c r="AA228" s="512">
        <f>IFERROR(SUMPRODUCT(--(_xlfn.ISFORMULA(L228)=FALSE),--(C228&lt;&gt;"Other Projects"),--(G228="Yes"),--(AC228&lt;&gt;TRUE),L228),0)</f>
        <v/>
      </c>
      <c r="AB228" s="512">
        <f>IF(_xlfn.ISFORMULA(L228)=TRUE,0,AB227-1)</f>
        <v/>
      </c>
      <c r="AC228" s="512" t="n"/>
    </row>
    <row r="229" outlineLevel="1" ht="63.75" customFormat="1" customHeight="1" s="266">
      <c r="A229" s="515" t="n"/>
      <c r="B229" s="526" t="inlineStr">
        <is>
          <t>Gas distribution</t>
        </is>
      </c>
      <c r="C229" s="530" t="inlineStr">
        <is>
          <t>[Input of the project name]</t>
        </is>
      </c>
      <c r="D229" s="531" t="inlineStr">
        <is>
          <t>[input: brief description of the project, including:</t>
        </is>
      </c>
      <c r="E229" s="518">
        <f>IF(ISBLANK(C229)=FALSE,"thsd</f>
        <v/>
      </c>
      <c r="F229" s="518">
        <f>IF(ISBLANK(C229)=FALSE,"+","")</f>
        <v/>
      </c>
      <c r="G229" s="532" t="n"/>
      <c r="H229" s="533" t="n"/>
      <c r="I229" s="533" t="n"/>
      <c r="J229" s="536" t="n"/>
      <c r="K229" s="548" t="n"/>
      <c r="L229" s="534" t="n"/>
      <c r="M229" s="534" t="n"/>
      <c r="N229" s="534" t="n"/>
      <c r="O229" s="534" t="n"/>
      <c r="P229" s="534" t="n"/>
      <c r="Q229" s="522">
        <f>IFERROR((O229-P229),"N/A")</f>
        <v/>
      </c>
      <c r="R229" s="523">
        <f>IFERROR((O229-P229)/ABS(P229),"N/A")</f>
        <v/>
      </c>
      <c r="S229" s="548" t="n"/>
      <c r="T229" s="538" t="n"/>
      <c r="U229" s="538" t="n"/>
      <c r="V229" s="522">
        <f>IFERROR((T229-U229),"N/A")</f>
        <v/>
      </c>
      <c r="W229" s="523">
        <f>IFERROR((T229-U229)/ABS(U229),"N/A")</f>
        <v/>
      </c>
      <c r="X229" s="548" t="n"/>
      <c r="Y229" s="512">
        <f>IF(ISNUMBER(SEARCH("SUMPRODUCT",_xlfn.FORMULATEXT(L229),1))=FALSE,IF(ISNUMBER(SEARCH("INDIRECT",_xlfn.FORMULATEXT(L229),1))=TRUE,1,0),2)</f>
        <v/>
      </c>
      <c r="Z229" s="525">
        <f>IFERROR(SUMPRODUCT(--(_xlfn.ISFORMULA(L229)=FALSE),--(C229&lt;&gt;"Other Projects"),--(AC229&lt;&gt;TRUE),L229),0)</f>
        <v/>
      </c>
      <c r="AA229" s="512">
        <f>IFERROR(SUMPRODUCT(--(_xlfn.ISFORMULA(L229)=FALSE),--(C229&lt;&gt;"Other Projects"),--(G229="Yes"),--(AC229&lt;&gt;TRUE),L229),0)</f>
        <v/>
      </c>
      <c r="AB229" s="512">
        <f>IF(_xlfn.ISFORMULA(L229)=TRUE,0,AB228-1)</f>
        <v/>
      </c>
      <c r="AC229" s="512" t="n"/>
    </row>
    <row r="230" outlineLevel="1" ht="63.75" customFormat="1" customHeight="1" s="266">
      <c r="A230" s="515" t="n"/>
      <c r="B230" s="526" t="inlineStr">
        <is>
          <t>Gas distribution</t>
        </is>
      </c>
      <c r="C230" s="530" t="inlineStr">
        <is>
          <t>[Input of the project name]</t>
        </is>
      </c>
      <c r="D230" s="531" t="inlineStr">
        <is>
          <t>[input: brief description of the project, including:</t>
        </is>
      </c>
      <c r="E230" s="518">
        <f>IF(ISBLANK(C230)=FALSE,"thsd</f>
        <v/>
      </c>
      <c r="F230" s="518">
        <f>IF(ISBLANK(C230)=FALSE,"+","")</f>
        <v/>
      </c>
      <c r="G230" s="532" t="n"/>
      <c r="H230" s="533" t="n"/>
      <c r="I230" s="533" t="n"/>
      <c r="J230" s="536" t="n"/>
      <c r="K230" s="548" t="n"/>
      <c r="L230" s="534" t="n"/>
      <c r="M230" s="534" t="n"/>
      <c r="N230" s="534" t="n"/>
      <c r="O230" s="534" t="n"/>
      <c r="P230" s="534" t="n"/>
      <c r="Q230" s="522">
        <f>IFERROR((O230-P230),"N/A")</f>
        <v/>
      </c>
      <c r="R230" s="523">
        <f>IFERROR((O230-P230)/ABS(P230),"N/A")</f>
        <v/>
      </c>
      <c r="S230" s="548" t="n"/>
      <c r="T230" s="538" t="n"/>
      <c r="U230" s="538" t="n"/>
      <c r="V230" s="522">
        <f>IFERROR((T230-U230),"N/A")</f>
        <v/>
      </c>
      <c r="W230" s="523">
        <f>IFERROR((T230-U230)/ABS(U230),"N/A")</f>
        <v/>
      </c>
      <c r="X230" s="548" t="n"/>
      <c r="Y230" s="512">
        <f>IF(ISNUMBER(SEARCH("SUMPRODUCT",_xlfn.FORMULATEXT(L230),1))=FALSE,IF(ISNUMBER(SEARCH("INDIRECT",_xlfn.FORMULATEXT(L230),1))=TRUE,1,0),2)</f>
        <v/>
      </c>
      <c r="Z230" s="525">
        <f>IFERROR(SUMPRODUCT(--(_xlfn.ISFORMULA(L230)=FALSE),--(C230&lt;&gt;"Other Projects"),--(AC230&lt;&gt;TRUE),L230),0)</f>
        <v/>
      </c>
      <c r="AA230" s="512">
        <f>IFERROR(SUMPRODUCT(--(_xlfn.ISFORMULA(L230)=FALSE),--(C230&lt;&gt;"Other Projects"),--(G230="Yes"),--(AC230&lt;&gt;TRUE),L230),0)</f>
        <v/>
      </c>
      <c r="AB230" s="512">
        <f>IF(_xlfn.ISFORMULA(L230)=TRUE,0,AB229-1)</f>
        <v/>
      </c>
      <c r="AC230" s="512" t="n"/>
    </row>
    <row r="231" outlineLevel="1" ht="63.75" customFormat="1" customHeight="1" s="266">
      <c r="A231" s="515" t="n"/>
      <c r="B231" s="526" t="inlineStr">
        <is>
          <t>Gas distribution</t>
        </is>
      </c>
      <c r="C231" s="530" t="inlineStr">
        <is>
          <t>[Input of the project name]</t>
        </is>
      </c>
      <c r="D231" s="531" t="inlineStr">
        <is>
          <t>[input: brief description of the project, including:</t>
        </is>
      </c>
      <c r="E231" s="518">
        <f>IF(ISBLANK(C231)=FALSE,"thsd</f>
        <v/>
      </c>
      <c r="F231" s="518">
        <f>IF(ISBLANK(C231)=FALSE,"+","")</f>
        <v/>
      </c>
      <c r="G231" s="532" t="n"/>
      <c r="H231" s="533" t="n"/>
      <c r="I231" s="533" t="n"/>
      <c r="J231" s="536" t="n"/>
      <c r="K231" s="548" t="n"/>
      <c r="L231" s="534" t="n"/>
      <c r="M231" s="534" t="n"/>
      <c r="N231" s="534" t="n"/>
      <c r="O231" s="534" t="n"/>
      <c r="P231" s="534" t="n"/>
      <c r="Q231" s="522">
        <f>IFERROR((O231-P231),"N/A")</f>
        <v/>
      </c>
      <c r="R231" s="523">
        <f>IFERROR((O231-P231)/ABS(P231),"N/A")</f>
        <v/>
      </c>
      <c r="S231" s="548" t="n"/>
      <c r="T231" s="538" t="n"/>
      <c r="U231" s="538" t="n"/>
      <c r="V231" s="522">
        <f>IFERROR((T231-U231),"N/A")</f>
        <v/>
      </c>
      <c r="W231" s="523">
        <f>IFERROR((T231-U231)/ABS(U231),"N/A")</f>
        <v/>
      </c>
      <c r="X231" s="548" t="n"/>
      <c r="Y231" s="512">
        <f>IF(ISNUMBER(SEARCH("SUMPRODUCT",_xlfn.FORMULATEXT(L231),1))=FALSE,IF(ISNUMBER(SEARCH("INDIRECT",_xlfn.FORMULATEXT(L231),1))=TRUE,1,0),2)</f>
        <v/>
      </c>
      <c r="Z231" s="525">
        <f>IFERROR(SUMPRODUCT(--(_xlfn.ISFORMULA(L231)=FALSE),--(C231&lt;&gt;"Other Projects"),--(AC231&lt;&gt;TRUE),L231),0)</f>
        <v/>
      </c>
      <c r="AA231" s="512">
        <f>IFERROR(SUMPRODUCT(--(_xlfn.ISFORMULA(L231)=FALSE),--(C231&lt;&gt;"Other Projects"),--(G231="Yes"),--(AC231&lt;&gt;TRUE),L231),0)</f>
        <v/>
      </c>
      <c r="AB231" s="512">
        <f>IF(_xlfn.ISFORMULA(L231)=TRUE,0,AB230-1)</f>
        <v/>
      </c>
      <c r="AC231" s="512" t="n"/>
    </row>
    <row r="232" outlineLevel="1" ht="63.75" customFormat="1" customHeight="1" s="266">
      <c r="A232" s="515" t="n"/>
      <c r="B232" s="526" t="inlineStr">
        <is>
          <t>Gas distribution</t>
        </is>
      </c>
      <c r="C232" s="530" t="inlineStr">
        <is>
          <t>[Input of the project name]</t>
        </is>
      </c>
      <c r="D232" s="531" t="inlineStr">
        <is>
          <t>[input: brief description of the project, including:</t>
        </is>
      </c>
      <c r="E232" s="518">
        <f>IF(ISBLANK(C232)=FALSE,"thsd</f>
        <v/>
      </c>
      <c r="F232" s="518">
        <f>IF(ISBLANK(C232)=FALSE,"+","")</f>
        <v/>
      </c>
      <c r="G232" s="532" t="n"/>
      <c r="H232" s="533" t="n"/>
      <c r="I232" s="533" t="n"/>
      <c r="J232" s="536" t="n"/>
      <c r="K232" s="548" t="n"/>
      <c r="L232" s="534" t="n"/>
      <c r="M232" s="534" t="n"/>
      <c r="N232" s="534" t="n"/>
      <c r="O232" s="534" t="n"/>
      <c r="P232" s="534" t="n"/>
      <c r="Q232" s="522">
        <f>IFERROR((O232-P232),"N/A")</f>
        <v/>
      </c>
      <c r="R232" s="523">
        <f>IFERROR((O232-P232)/ABS(P232),"N/A")</f>
        <v/>
      </c>
      <c r="S232" s="548" t="n"/>
      <c r="T232" s="538" t="n"/>
      <c r="U232" s="538" t="n"/>
      <c r="V232" s="522">
        <f>IFERROR((T232-U232),"N/A")</f>
        <v/>
      </c>
      <c r="W232" s="523">
        <f>IFERROR((T232-U232)/ABS(U232),"N/A")</f>
        <v/>
      </c>
      <c r="X232" s="548" t="n"/>
      <c r="Y232" s="512">
        <f>IF(ISNUMBER(SEARCH("SUMPRODUCT",_xlfn.FORMULATEXT(L232),1))=FALSE,IF(ISNUMBER(SEARCH("INDIRECT",_xlfn.FORMULATEXT(L232),1))=TRUE,1,0),2)</f>
        <v/>
      </c>
      <c r="Z232" s="525">
        <f>IFERROR(SUMPRODUCT(--(_xlfn.ISFORMULA(L232)=FALSE),--(C232&lt;&gt;"Other Projects"),--(AC232&lt;&gt;TRUE),L232),0)</f>
        <v/>
      </c>
      <c r="AA232" s="512">
        <f>IFERROR(SUMPRODUCT(--(_xlfn.ISFORMULA(L232)=FALSE),--(C232&lt;&gt;"Other Projects"),--(G232="Yes"),--(AC232&lt;&gt;TRUE),L232),0)</f>
        <v/>
      </c>
      <c r="AB232" s="512">
        <f>IF(_xlfn.ISFORMULA(L232)=TRUE,0,AB231-1)</f>
        <v/>
      </c>
      <c r="AC232" s="512" t="n"/>
    </row>
    <row r="233" outlineLevel="1" ht="63.75" customFormat="1" customHeight="1" s="266">
      <c r="A233" s="515" t="n"/>
      <c r="B233" s="526" t="inlineStr">
        <is>
          <t>Gas distribution</t>
        </is>
      </c>
      <c r="C233" s="530" t="inlineStr">
        <is>
          <t>[Input of the project name]</t>
        </is>
      </c>
      <c r="D233" s="531" t="inlineStr">
        <is>
          <t>[input: brief description of the project, including:</t>
        </is>
      </c>
      <c r="E233" s="518">
        <f>IF(ISBLANK(C233)=FALSE,"thsd</f>
        <v/>
      </c>
      <c r="F233" s="518">
        <f>IF(ISBLANK(C233)=FALSE,"+","")</f>
        <v/>
      </c>
      <c r="G233" s="532" t="n"/>
      <c r="H233" s="533" t="n"/>
      <c r="I233" s="533" t="n"/>
      <c r="J233" s="536" t="n"/>
      <c r="K233" s="548" t="n"/>
      <c r="L233" s="534" t="n"/>
      <c r="M233" s="534" t="n"/>
      <c r="N233" s="534" t="n"/>
      <c r="O233" s="534" t="n"/>
      <c r="P233" s="534" t="n"/>
      <c r="Q233" s="522">
        <f>IFERROR((O233-P233),"N/A")</f>
        <v/>
      </c>
      <c r="R233" s="523">
        <f>IFERROR((O233-P233)/ABS(P233),"N/A")</f>
        <v/>
      </c>
      <c r="S233" s="548" t="n"/>
      <c r="T233" s="538" t="n"/>
      <c r="U233" s="538" t="n"/>
      <c r="V233" s="522">
        <f>IFERROR((T233-U233),"N/A")</f>
        <v/>
      </c>
      <c r="W233" s="523">
        <f>IFERROR((T233-U233)/ABS(U233),"N/A")</f>
        <v/>
      </c>
      <c r="X233" s="548" t="n"/>
      <c r="Y233" s="512">
        <f>IF(ISNUMBER(SEARCH("SUMPRODUCT",_xlfn.FORMULATEXT(L233),1))=FALSE,IF(ISNUMBER(SEARCH("INDIRECT",_xlfn.FORMULATEXT(L233),1))=TRUE,1,0),2)</f>
        <v/>
      </c>
      <c r="Z233" s="525">
        <f>IFERROR(SUMPRODUCT(--(_xlfn.ISFORMULA(L233)=FALSE),--(C233&lt;&gt;"Other Projects"),--(AC233&lt;&gt;TRUE),L233),0)</f>
        <v/>
      </c>
      <c r="AA233" s="512">
        <f>IFERROR(SUMPRODUCT(--(_xlfn.ISFORMULA(L233)=FALSE),--(C233&lt;&gt;"Other Projects"),--(G233="Yes"),--(AC233&lt;&gt;TRUE),L233),0)</f>
        <v/>
      </c>
      <c r="AB233" s="512">
        <f>IF(_xlfn.ISFORMULA(L233)=TRUE,0,AB232-1)</f>
        <v/>
      </c>
      <c r="AC233" s="512" t="n"/>
    </row>
    <row r="234" outlineLevel="1" ht="63.75" customFormat="1" customHeight="1" s="266">
      <c r="A234" s="515" t="n"/>
      <c r="B234" s="526" t="inlineStr">
        <is>
          <t>Gas distribution</t>
        </is>
      </c>
      <c r="C234" s="530" t="inlineStr">
        <is>
          <t>[Input of the project name]</t>
        </is>
      </c>
      <c r="D234" s="531" t="inlineStr">
        <is>
          <t>[input: brief description of the project, including:</t>
        </is>
      </c>
      <c r="E234" s="518">
        <f>IF(ISBLANK(C234)=FALSE,"thsd</f>
        <v/>
      </c>
      <c r="F234" s="518">
        <f>IF(ISBLANK(C234)=FALSE,"+","")</f>
        <v/>
      </c>
      <c r="G234" s="532" t="n"/>
      <c r="H234" s="533" t="n"/>
      <c r="I234" s="533" t="n"/>
      <c r="J234" s="536" t="n"/>
      <c r="K234" s="548" t="n"/>
      <c r="L234" s="534" t="n"/>
      <c r="M234" s="534" t="n"/>
      <c r="N234" s="534" t="n"/>
      <c r="O234" s="534" t="n"/>
      <c r="P234" s="534" t="n"/>
      <c r="Q234" s="522">
        <f>IFERROR((O234-P234),"N/A")</f>
        <v/>
      </c>
      <c r="R234" s="523">
        <f>IFERROR((O234-P234)/ABS(P234),"N/A")</f>
        <v/>
      </c>
      <c r="S234" s="548" t="n"/>
      <c r="T234" s="538" t="n"/>
      <c r="U234" s="538" t="n"/>
      <c r="V234" s="522">
        <f>IFERROR((T234-U234),"N/A")</f>
        <v/>
      </c>
      <c r="W234" s="523">
        <f>IFERROR((T234-U234)/ABS(U234),"N/A")</f>
        <v/>
      </c>
      <c r="X234" s="548" t="n"/>
      <c r="Y234" s="512">
        <f>IF(ISNUMBER(SEARCH("SUMPRODUCT",_xlfn.FORMULATEXT(L234),1))=FALSE,IF(ISNUMBER(SEARCH("INDIRECT",_xlfn.FORMULATEXT(L234),1))=TRUE,1,0),2)</f>
        <v/>
      </c>
      <c r="Z234" s="525">
        <f>IFERROR(SUMPRODUCT(--(_xlfn.ISFORMULA(L234)=FALSE),--(C234&lt;&gt;"Other Projects"),--(AC234&lt;&gt;TRUE),L234),0)</f>
        <v/>
      </c>
      <c r="AA234" s="512">
        <f>IFERROR(SUMPRODUCT(--(_xlfn.ISFORMULA(L234)=FALSE),--(C234&lt;&gt;"Other Projects"),--(G234="Yes"),--(AC234&lt;&gt;TRUE),L234),0)</f>
        <v/>
      </c>
      <c r="AB234" s="512">
        <f>IF(_xlfn.ISFORMULA(L234)=TRUE,0,AB233-1)</f>
        <v/>
      </c>
      <c r="AC234" s="512" t="n"/>
    </row>
    <row r="235" outlineLevel="1" ht="63.75" customFormat="1" customHeight="1" s="266">
      <c r="A235" s="515" t="n"/>
      <c r="B235" s="526" t="inlineStr">
        <is>
          <t>Gas distribution</t>
        </is>
      </c>
      <c r="C235" s="530" t="inlineStr">
        <is>
          <t>[Input of the project name]</t>
        </is>
      </c>
      <c r="D235" s="531" t="inlineStr">
        <is>
          <t>[input: brief description of the project, including:</t>
        </is>
      </c>
      <c r="E235" s="518">
        <f>IF(ISBLANK(C235)=FALSE,"thsd</f>
        <v/>
      </c>
      <c r="F235" s="518">
        <f>IF(ISBLANK(C235)=FALSE,"+","")</f>
        <v/>
      </c>
      <c r="G235" s="532" t="n"/>
      <c r="H235" s="533" t="n"/>
      <c r="I235" s="533" t="n"/>
      <c r="J235" s="536" t="n"/>
      <c r="K235" s="548" t="n"/>
      <c r="L235" s="534" t="n"/>
      <c r="M235" s="534" t="n"/>
      <c r="N235" s="534" t="n"/>
      <c r="O235" s="534" t="n"/>
      <c r="P235" s="534" t="n"/>
      <c r="Q235" s="522">
        <f>IFERROR((O235-P235),"N/A")</f>
        <v/>
      </c>
      <c r="R235" s="523">
        <f>IFERROR((O235-P235)/ABS(P235),"N/A")</f>
        <v/>
      </c>
      <c r="S235" s="548" t="n"/>
      <c r="T235" s="538" t="n"/>
      <c r="U235" s="538" t="n"/>
      <c r="V235" s="522">
        <f>IFERROR((T235-U235),"N/A")</f>
        <v/>
      </c>
      <c r="W235" s="523">
        <f>IFERROR((T235-U235)/ABS(U235),"N/A")</f>
        <v/>
      </c>
      <c r="X235" s="548" t="n"/>
      <c r="Y235" s="512">
        <f>IF(ISNUMBER(SEARCH("SUMPRODUCT",_xlfn.FORMULATEXT(L235),1))=FALSE,IF(ISNUMBER(SEARCH("INDIRECT",_xlfn.FORMULATEXT(L235),1))=TRUE,1,0),2)</f>
        <v/>
      </c>
      <c r="Z235" s="525">
        <f>IFERROR(SUMPRODUCT(--(_xlfn.ISFORMULA(L235)=FALSE),--(C235&lt;&gt;"Other Projects"),--(AC235&lt;&gt;TRUE),L235),0)</f>
        <v/>
      </c>
      <c r="AA235" s="512">
        <f>IFERROR(SUMPRODUCT(--(_xlfn.ISFORMULA(L235)=FALSE),--(C235&lt;&gt;"Other Projects"),--(G235="Yes"),--(AC235&lt;&gt;TRUE),L235),0)</f>
        <v/>
      </c>
      <c r="AB235" s="512">
        <f>IF(_xlfn.ISFORMULA(L235)=TRUE,0,AB234-1)</f>
        <v/>
      </c>
      <c r="AC235" s="512" t="n"/>
    </row>
    <row r="236" outlineLevel="1" customFormat="1" s="266">
      <c r="A236" s="515" t="n"/>
      <c r="B236" s="526" t="inlineStr">
        <is>
          <t>Gas distribution</t>
        </is>
      </c>
      <c r="C236" s="539" t="inlineStr">
        <is>
          <t>Other projects</t>
        </is>
      </c>
      <c r="D236" s="540" t="n"/>
      <c r="E236" s="518">
        <f>IF(ISBLANK(C236)=FALSE,"thsd</f>
        <v/>
      </c>
      <c r="F236" s="518">
        <f>IF(ISBLANK(C236)=FALSE,"+","")</f>
        <v/>
      </c>
      <c r="G236" s="532" t="n"/>
      <c r="H236" s="533" t="n"/>
      <c r="I236" s="533" t="n"/>
      <c r="J236" s="536" t="n"/>
      <c r="K236" s="548" t="n"/>
      <c r="L236" s="534" t="n"/>
      <c r="M236" s="534" t="n"/>
      <c r="N236" s="534" t="n"/>
      <c r="O236" s="534" t="n"/>
      <c r="P236" s="534" t="n"/>
      <c r="Q236" s="522">
        <f>IFERROR((O236-P236),"N/A")</f>
        <v/>
      </c>
      <c r="R236" s="523">
        <f>IFERROR((O236-P236)/ABS(P236),"N/A")</f>
        <v/>
      </c>
      <c r="S236" s="548" t="n"/>
      <c r="T236" s="538" t="n"/>
      <c r="U236" s="538" t="n"/>
      <c r="V236" s="522">
        <f>IFERROR((T236-U236),"N/A")</f>
        <v/>
      </c>
      <c r="W236" s="523">
        <f>IFERROR((T236-U236)/ABS(U236),"N/A")</f>
        <v/>
      </c>
      <c r="X236" s="548" t="n"/>
      <c r="Y236" s="512">
        <f>IF(ISNUMBER(SEARCH("SUMPRODUCT",_xlfn.FORMULATEXT(L236),1))=FALSE,IF(ISNUMBER(SEARCH("INDIRECT",_xlfn.FORMULATEXT(L236),1))=TRUE,1,0),2)</f>
        <v/>
      </c>
      <c r="Z236" s="525">
        <f>IFERROR(SUMPRODUCT(--(_xlfn.ISFORMULA(L236)=FALSE),--(C236&lt;&gt;"Other Projects"),--(AC236&lt;&gt;TRUE),L236),0)</f>
        <v/>
      </c>
      <c r="AA236" s="512">
        <f>IFERROR(SUMPRODUCT(--(_xlfn.ISFORMULA(L236)=FALSE),--(C236&lt;&gt;"Other Projects"),--(G236="Yes"),--(AC236&lt;&gt;TRUE),L236),0)</f>
        <v/>
      </c>
      <c r="AB236" s="512">
        <f>IF(_xlfn.ISFORMULA(L236)=TRUE,0,AB235-1)</f>
        <v/>
      </c>
      <c r="AC236" s="512" t="n"/>
    </row>
    <row r="237" outlineLevel="1" ht="15" customFormat="1" customHeight="1" s="266">
      <c r="A237" s="515" t="n"/>
      <c r="B237" s="526" t="inlineStr">
        <is>
          <t>All segments</t>
        </is>
      </c>
      <c r="C237" s="516" t="inlineStr">
        <is>
          <t>Total</t>
        </is>
      </c>
      <c r="D237" s="549" t="inlineStr">
        <is>
          <t>Cəmi</t>
        </is>
      </c>
      <c r="E237" s="518">
        <f>IF(ISBLANK(C237)=FALSE,"thsd</f>
        <v/>
      </c>
      <c r="F237" s="518">
        <f>IF(ISBLANK(C237)=FALSE,"+","")</f>
        <v/>
      </c>
      <c r="G237" s="519" t="n"/>
      <c r="H237" s="519" t="n"/>
      <c r="I237" s="519" t="n"/>
      <c r="J237" s="519" t="n"/>
      <c r="K237" s="537" t="n"/>
      <c r="L237" s="521">
        <f t="array" ref="L237">SUMPRODUCT(--(($B238:$B$261)=$B237),--(_xlfn.ISFORMULA(L238:L$261)=TRUE),L238:L$261)</f>
        <v/>
      </c>
      <c r="M237" s="521">
        <f t="array" ref="M237">SUMPRODUCT(--(($B238:$B$261)=$B237),--(_xlfn.ISFORMULA(M238:M$261)=TRUE),M238:M$261)</f>
        <v/>
      </c>
      <c r="N237" s="521">
        <f t="array" ref="N237">SUMPRODUCT(--(($B238:$B$261)=$B237),--(_xlfn.ISFORMULA(N238:N$261)=TRUE),N238:N$261)</f>
        <v/>
      </c>
      <c r="O237" s="521">
        <f t="array" ref="O237">SUMPRODUCT(--(($B238:$B$261)=$B237),--(_xlfn.ISFORMULA(O238:O$261)=TRUE),O238:O$261)</f>
        <v/>
      </c>
      <c r="P237" s="521">
        <f t="array" ref="P237">SUMPRODUCT(--(($B238:$B$261)=$B237),--(_xlfn.ISFORMULA(P238:P$261)=TRUE),P238:P$261)</f>
        <v/>
      </c>
      <c r="Q237" s="522">
        <f>IFERROR((O237-P237),"N/A")</f>
        <v/>
      </c>
      <c r="R237" s="523">
        <f>IFERROR((O237-P237)/ABS(P237),"N/A")</f>
        <v/>
      </c>
      <c r="S237" s="537" t="n"/>
      <c r="T237" s="521">
        <f t="array" ref="T237">SUMPRODUCT(--(($B238:$B$261)=$B237),--(_xlfn.ISFORMULA(T238:T$261)=TRUE),T238:T$261)</f>
        <v/>
      </c>
      <c r="U237" s="521">
        <f t="array" ref="U237">SUMPRODUCT(--(($B238:$B$261)=$B237),--(_xlfn.ISFORMULA(U238:U$261)=TRUE),U238:U$261)</f>
        <v/>
      </c>
      <c r="V237" s="522">
        <f>IFERROR((T237-U237),"N/A")</f>
        <v/>
      </c>
      <c r="W237" s="523">
        <f>IFERROR((T237-U237)/ABS(U237),"N/A")</f>
        <v/>
      </c>
      <c r="X237" s="537" t="n"/>
      <c r="Y237" s="512">
        <f>IF(ISNUMBER(SEARCH("SUMPRODUCT",_xlfn.FORMULATEXT(L237),1))=FALSE,IF(ISNUMBER(SEARCH("INDIRECT",_xlfn.FORMULATEXT(L237),1))=TRUE,1,0),2)</f>
        <v/>
      </c>
      <c r="Z237" s="525">
        <f>IFERROR(SUMPRODUCT(--(_xlfn.ISFORMULA(L237)=FALSE),--(C237&lt;&gt;"Other Projects"),--(AC237&lt;&gt;TRUE),L237),0)</f>
        <v/>
      </c>
      <c r="AA237" s="512">
        <f>IFERROR(SUMPRODUCT(--(_xlfn.ISFORMULA(L237)=FALSE),--(C237&lt;&gt;"Other Projects"),--(G237="Yes"),--(AC237&lt;&gt;TRUE),L237),0)</f>
        <v/>
      </c>
      <c r="AB237" s="512">
        <f>IF(_xlfn.ISFORMULA(L237)=TRUE,0,AB236-1)</f>
        <v/>
      </c>
      <c r="AC237" s="512" t="n"/>
    </row>
    <row r="238" outlineLevel="1" ht="15" customFormat="1" customHeight="1" s="266">
      <c r="A238" s="515" t="n"/>
      <c r="B238" s="526" t="inlineStr">
        <is>
          <t>All segments</t>
        </is>
      </c>
      <c r="C238" s="526" t="inlineStr">
        <is>
          <t>All projects of strategic importance</t>
        </is>
      </c>
      <c r="D238" s="550" t="n"/>
      <c r="E238" s="518">
        <f>IF(ISBLANK(C238)=FALSE,"thsd</f>
        <v/>
      </c>
      <c r="F238" s="518">
        <f>IF(ISBLANK(C238)=FALSE,"+","")</f>
        <v/>
      </c>
      <c r="G238" s="519" t="n"/>
      <c r="H238" s="519" t="n"/>
      <c r="I238" s="519" t="n"/>
      <c r="J238" s="519" t="n"/>
      <c r="K238" s="537" t="n"/>
      <c r="L238" s="588">
        <f>SUM(INDIRECT(CHAR(COLUMN()+64)&amp;ROW(L239)&amp;":"&amp;IF(_xlfn.ISFORMULA(INDIRECT((ADDRESS(ROW()-1+MATCH(1,$Y239:$Y$261,0),COLUMN(),1,1)))),(ADDRESS(ROW()-2+MATCH(1,$Y239:$Y$261,0),COLUMN(),1,1)),(ADDRESS(ROW()-1+MATCH(1,$Y239:$Y$261,0),COLUMN(),1,1)))))</f>
        <v/>
      </c>
      <c r="M238" s="588">
        <f>SUM(INDIRECT(CHAR(COLUMN()+64)&amp;ROW(M239)&amp;":"&amp;IF(_xlfn.ISFORMULA(INDIRECT((ADDRESS(ROW()-1+MATCH(1,$Y239:$Y$261,0),COLUMN(),1,1)))),(ADDRESS(ROW()-2+MATCH(1,$Y239:$Y$261,0),COLUMN(),1,1)),(ADDRESS(ROW()-1+MATCH(1,$Y239:$Y$261,0),COLUMN(),1,1)))))</f>
        <v/>
      </c>
      <c r="N238" s="588">
        <f>SUM(INDIRECT(CHAR(COLUMN()+64)&amp;ROW(N239)&amp;":"&amp;IF(_xlfn.ISFORMULA(INDIRECT((ADDRESS(ROW()-1+MATCH(1,$Y239:$Y$261,0),COLUMN(),1,1)))),(ADDRESS(ROW()-2+MATCH(1,$Y239:$Y$261,0),COLUMN(),1,1)),(ADDRESS(ROW()-1+MATCH(1,$Y239:$Y$261,0),COLUMN(),1,1)))))</f>
        <v/>
      </c>
      <c r="O238" s="588">
        <f>SUM(INDIRECT(CHAR(COLUMN()+64)&amp;ROW(O239)&amp;":"&amp;IF(_xlfn.ISFORMULA(INDIRECT((ADDRESS(ROW()-1+MATCH(1,$Y239:$Y$261,0),COLUMN(),1,1)))),(ADDRESS(ROW()-2+MATCH(1,$Y239:$Y$261,0),COLUMN(),1,1)),(ADDRESS(ROW()-1+MATCH(1,$Y239:$Y$261,0),COLUMN(),1,1)))))</f>
        <v/>
      </c>
      <c r="P238" s="588">
        <f>SUM(INDIRECT(CHAR(COLUMN()+64)&amp;ROW(P239)&amp;":"&amp;IF(_xlfn.ISFORMULA(INDIRECT((ADDRESS(ROW()-1+MATCH(1,$Y239:$Y$261,0),COLUMN(),1,1)))),(ADDRESS(ROW()-2+MATCH(1,$Y239:$Y$261,0),COLUMN(),1,1)),(ADDRESS(ROW()-1+MATCH(1,$Y239:$Y$261,0),COLUMN(),1,1)))))</f>
        <v/>
      </c>
      <c r="Q238" s="522">
        <f>IFERROR((O238-P238),"N/A")</f>
        <v/>
      </c>
      <c r="R238" s="523">
        <f>IFERROR((O238-P238)/ABS(P238),"N/A")</f>
        <v/>
      </c>
      <c r="S238" s="537" t="n"/>
      <c r="T238" s="588">
        <f>SUM(INDIRECT(CHAR(COLUMN()+64)&amp;ROW(T239)&amp;":"&amp;IF(_xlfn.ISFORMULA(INDIRECT((ADDRESS(ROW()-1+MATCH(1,$Y239:$Y$261,0),COLUMN(),1,1)))),(ADDRESS(ROW()-2+MATCH(1,$Y239:$Y$261,0),COLUMN(),1,1)),(ADDRESS(ROW()-1+MATCH(1,$Y239:$Y$261,0),COLUMN(),1,1)))))</f>
        <v/>
      </c>
      <c r="U238" s="588">
        <f>SUM(INDIRECT(CHAR(COLUMN()+64)&amp;ROW(U239)&amp;":"&amp;IF(_xlfn.ISFORMULA(INDIRECT((ADDRESS(ROW()-1+MATCH(1,$Y239:$Y$261,0),COLUMN(),1,1)))),(ADDRESS(ROW()-2+MATCH(1,$Y239:$Y$261,0),COLUMN(),1,1)),(ADDRESS(ROW()-1+MATCH(1,$Y239:$Y$261,0),COLUMN(),1,1)))))</f>
        <v/>
      </c>
      <c r="V238" s="522">
        <f>IFERROR((T238-U238),"N/A")</f>
        <v/>
      </c>
      <c r="W238" s="523">
        <f>IFERROR((T238-U238)/ABS(U238),"N/A")</f>
        <v/>
      </c>
      <c r="X238" s="537" t="n"/>
      <c r="Y238" s="512">
        <f>IF(ISNUMBER(SEARCH("SUMPRODUCT",_xlfn.FORMULATEXT(L238),1))=FALSE,IF(ISNUMBER(SEARCH("INDIRECT",_xlfn.FORMULATEXT(L238),1))=TRUE,1,0),2)</f>
        <v/>
      </c>
      <c r="Z238" s="525">
        <f>IFERROR(SUMPRODUCT(--(_xlfn.ISFORMULA(L238)=FALSE),--(C238&lt;&gt;"Other Projects"),--(AC238&lt;&gt;TRUE),L238),0)</f>
        <v/>
      </c>
      <c r="AA238" s="512">
        <f>IFERROR(SUMPRODUCT(--(_xlfn.ISFORMULA(L238)=FALSE),--(C238&lt;&gt;"Other Projects"),--(G238="Yes"),--(AC238&lt;&gt;TRUE),L238),0)</f>
        <v/>
      </c>
      <c r="AB238" s="512">
        <f>IF(_xlfn.ISFORMULA(L238)=TRUE,0,AB237-1)</f>
        <v/>
      </c>
      <c r="AC238" s="512" t="n"/>
    </row>
    <row r="239" outlineLevel="1" ht="63.75" customFormat="1" customHeight="1" s="266">
      <c r="A239" s="515" t="n"/>
      <c r="B239" s="551" t="inlineStr">
        <is>
          <t>Please select segment</t>
        </is>
      </c>
      <c r="C239" s="530" t="inlineStr">
        <is>
          <t>[Input of the project name]</t>
        </is>
      </c>
      <c r="D239" s="531" t="inlineStr">
        <is>
          <t>[input: brief description of the project, including:</t>
        </is>
      </c>
      <c r="E239" s="518">
        <f>IF(ISBLANK(C239)=FALSE,"thsd</f>
        <v/>
      </c>
      <c r="F239" s="518">
        <f>IF(ISBLANK(C239)=FALSE,"+","")</f>
        <v/>
      </c>
      <c r="G239" s="532" t="n"/>
      <c r="H239" s="533" t="n"/>
      <c r="I239" s="533" t="n"/>
      <c r="J239" s="536" t="n"/>
      <c r="K239" s="548" t="n"/>
      <c r="L239" s="534" t="n"/>
      <c r="M239" s="534" t="n"/>
      <c r="N239" s="534" t="n"/>
      <c r="O239" s="534" t="n"/>
      <c r="P239" s="534" t="n"/>
      <c r="Q239" s="522">
        <f>IFERROR((O239-P239),"N/A")</f>
        <v/>
      </c>
      <c r="R239" s="523">
        <f>IFERROR((O239-P239)/ABS(P239),"N/A")</f>
        <v/>
      </c>
      <c r="S239" s="548" t="n"/>
      <c r="T239" s="538" t="n"/>
      <c r="U239" s="538" t="n"/>
      <c r="V239" s="522">
        <f>IFERROR((T239-U239),"N/A")</f>
        <v/>
      </c>
      <c r="W239" s="523">
        <f>IFERROR((T239-U239)/ABS(U239),"N/A")</f>
        <v/>
      </c>
      <c r="X239" s="548" t="n"/>
      <c r="Y239" s="512">
        <f>IF(ISNUMBER(SEARCH("SUMPRODUCT",_xlfn.FORMULATEXT(L239),1))=FALSE,IF(ISNUMBER(SEARCH("INDIRECT",_xlfn.FORMULATEXT(L239),1))=TRUE,1,0),2)</f>
        <v/>
      </c>
      <c r="Z239" s="525">
        <f>IFERROR(SUMPRODUCT(--(_xlfn.ISFORMULA(L239)=FALSE),--(C239&lt;&gt;"Other Projects"),--(AC239&lt;&gt;TRUE),L239),0)</f>
        <v/>
      </c>
      <c r="AA239" s="512">
        <f>IFERROR(SUMPRODUCT(--(_xlfn.ISFORMULA(L239)=FALSE),--(C239&lt;&gt;"Other Projects"),--(G239="Yes"),--(AC239&lt;&gt;TRUE),L239),0)</f>
        <v/>
      </c>
      <c r="AB239" s="512">
        <f>IF(_xlfn.ISFORMULA(L239)=TRUE,0,AB238-1)</f>
        <v/>
      </c>
      <c r="AC239" s="512" t="n"/>
    </row>
    <row r="240" outlineLevel="1" ht="63.75" customFormat="1" customHeight="1" s="266">
      <c r="A240" s="515" t="n"/>
      <c r="B240" s="551" t="inlineStr">
        <is>
          <t>Please select segment</t>
        </is>
      </c>
      <c r="C240" s="530" t="inlineStr">
        <is>
          <t>[Input of the project name]</t>
        </is>
      </c>
      <c r="D240" s="531" t="inlineStr">
        <is>
          <t>[input: brief description of the project, including:</t>
        </is>
      </c>
      <c r="E240" s="518">
        <f>IF(ISBLANK(C240)=FALSE,"thsd</f>
        <v/>
      </c>
      <c r="F240" s="518">
        <f>IF(ISBLANK(C240)=FALSE,"+","")</f>
        <v/>
      </c>
      <c r="G240" s="532" t="n"/>
      <c r="H240" s="533" t="n"/>
      <c r="I240" s="533" t="n"/>
      <c r="J240" s="536" t="n"/>
      <c r="K240" s="548" t="n"/>
      <c r="L240" s="534" t="n"/>
      <c r="M240" s="534" t="n"/>
      <c r="N240" s="534" t="n"/>
      <c r="O240" s="534" t="n"/>
      <c r="P240" s="534" t="n"/>
      <c r="Q240" s="522">
        <f>IFERROR((O240-P240),"N/A")</f>
        <v/>
      </c>
      <c r="R240" s="523">
        <f>IFERROR((O240-P240)/ABS(P240),"N/A")</f>
        <v/>
      </c>
      <c r="S240" s="548" t="n"/>
      <c r="T240" s="538" t="n"/>
      <c r="U240" s="538" t="n"/>
      <c r="V240" s="522">
        <f>IFERROR((T240-U240),"N/A")</f>
        <v/>
      </c>
      <c r="W240" s="523">
        <f>IFERROR((T240-U240)/ABS(U240),"N/A")</f>
        <v/>
      </c>
      <c r="X240" s="548" t="n"/>
      <c r="Y240" s="512">
        <f>IF(ISNUMBER(SEARCH("SUMPRODUCT",_xlfn.FORMULATEXT(L240),1))=FALSE,IF(ISNUMBER(SEARCH("INDIRECT",_xlfn.FORMULATEXT(L240),1))=TRUE,1,0),2)</f>
        <v/>
      </c>
      <c r="Z240" s="525">
        <f>IFERROR(SUMPRODUCT(--(_xlfn.ISFORMULA(L240)=FALSE),--(C240&lt;&gt;"Other Projects"),--(AC240&lt;&gt;TRUE),L240),0)</f>
        <v/>
      </c>
      <c r="AA240" s="512">
        <f>IFERROR(SUMPRODUCT(--(_xlfn.ISFORMULA(L240)=FALSE),--(C240&lt;&gt;"Other Projects"),--(G240="Yes"),--(AC240&lt;&gt;TRUE),L240),0)</f>
        <v/>
      </c>
      <c r="AB240" s="512">
        <f>IF(_xlfn.ISFORMULA(L240)=TRUE,0,AB239-1)</f>
        <v/>
      </c>
      <c r="AC240" s="512" t="n"/>
    </row>
    <row r="241" outlineLevel="1" ht="63.75" customFormat="1" customHeight="1" s="266">
      <c r="A241" s="515" t="n"/>
      <c r="B241" s="551" t="inlineStr">
        <is>
          <t>Please select segment</t>
        </is>
      </c>
      <c r="C241" s="530" t="inlineStr">
        <is>
          <t>[Input of the project name]</t>
        </is>
      </c>
      <c r="D241" s="531" t="inlineStr">
        <is>
          <t>[input: brief description of the project, including:</t>
        </is>
      </c>
      <c r="E241" s="518">
        <f>IF(ISBLANK(C241)=FALSE,"thsd</f>
        <v/>
      </c>
      <c r="F241" s="518">
        <f>IF(ISBLANK(C241)=FALSE,"+","")</f>
        <v/>
      </c>
      <c r="G241" s="532" t="n"/>
      <c r="H241" s="533" t="n"/>
      <c r="I241" s="533" t="n"/>
      <c r="J241" s="536" t="n"/>
      <c r="K241" s="548" t="n"/>
      <c r="L241" s="534" t="n"/>
      <c r="M241" s="534" t="n"/>
      <c r="N241" s="534" t="n"/>
      <c r="O241" s="534" t="n"/>
      <c r="P241" s="534" t="n"/>
      <c r="Q241" s="522">
        <f>IFERROR((O241-P241),"N/A")</f>
        <v/>
      </c>
      <c r="R241" s="523">
        <f>IFERROR((O241-P241)/ABS(P241),"N/A")</f>
        <v/>
      </c>
      <c r="S241" s="548" t="n"/>
      <c r="T241" s="538" t="n"/>
      <c r="U241" s="538" t="n"/>
      <c r="V241" s="522">
        <f>IFERROR((T241-U241),"N/A")</f>
        <v/>
      </c>
      <c r="W241" s="523">
        <f>IFERROR((T241-U241)/ABS(U241),"N/A")</f>
        <v/>
      </c>
      <c r="X241" s="548" t="n"/>
      <c r="Y241" s="512">
        <f>IF(ISNUMBER(SEARCH("SUMPRODUCT",_xlfn.FORMULATEXT(L241),1))=FALSE,IF(ISNUMBER(SEARCH("INDIRECT",_xlfn.FORMULATEXT(L241),1))=TRUE,1,0),2)</f>
        <v/>
      </c>
      <c r="Z241" s="525">
        <f>IFERROR(SUMPRODUCT(--(_xlfn.ISFORMULA(L241)=FALSE),--(C241&lt;&gt;"Other Projects"),--(AC241&lt;&gt;TRUE),L241),0)</f>
        <v/>
      </c>
      <c r="AA241" s="512">
        <f>IFERROR(SUMPRODUCT(--(_xlfn.ISFORMULA(L241)=FALSE),--(C241&lt;&gt;"Other Projects"),--(G241="Yes"),--(AC241&lt;&gt;TRUE),L241),0)</f>
        <v/>
      </c>
      <c r="AB241" s="512">
        <f>IF(_xlfn.ISFORMULA(L241)=TRUE,0,AB240-1)</f>
        <v/>
      </c>
      <c r="AC241" s="512" t="n"/>
    </row>
    <row r="242" outlineLevel="1" ht="63.75" customFormat="1" customHeight="1" s="266">
      <c r="A242" s="515" t="n"/>
      <c r="B242" s="551" t="inlineStr">
        <is>
          <t>Please select segment</t>
        </is>
      </c>
      <c r="C242" s="530" t="inlineStr">
        <is>
          <t>[Input of the project name]</t>
        </is>
      </c>
      <c r="D242" s="531" t="inlineStr">
        <is>
          <t>[input: brief description of the project, including:</t>
        </is>
      </c>
      <c r="E242" s="518">
        <f>IF(ISBLANK(C242)=FALSE,"thsd</f>
        <v/>
      </c>
      <c r="F242" s="518">
        <f>IF(ISBLANK(C242)=FALSE,"+","")</f>
        <v/>
      </c>
      <c r="G242" s="532" t="n"/>
      <c r="H242" s="533" t="n"/>
      <c r="I242" s="533" t="n"/>
      <c r="J242" s="536" t="n"/>
      <c r="K242" s="548" t="n"/>
      <c r="L242" s="534" t="n"/>
      <c r="M242" s="534" t="n"/>
      <c r="N242" s="534" t="n"/>
      <c r="O242" s="534" t="n"/>
      <c r="P242" s="534" t="n"/>
      <c r="Q242" s="522">
        <f>IFERROR((O242-P242),"N/A")</f>
        <v/>
      </c>
      <c r="R242" s="523">
        <f>IFERROR((O242-P242)/ABS(P242),"N/A")</f>
        <v/>
      </c>
      <c r="S242" s="548" t="n"/>
      <c r="T242" s="538" t="n"/>
      <c r="U242" s="538" t="n"/>
      <c r="V242" s="522">
        <f>IFERROR((T242-U242),"N/A")</f>
        <v/>
      </c>
      <c r="W242" s="523">
        <f>IFERROR((T242-U242)/ABS(U242),"N/A")</f>
        <v/>
      </c>
      <c r="X242" s="548" t="n"/>
      <c r="Y242" s="512">
        <f>IF(ISNUMBER(SEARCH("SUMPRODUCT",_xlfn.FORMULATEXT(L242),1))=FALSE,IF(ISNUMBER(SEARCH("INDIRECT",_xlfn.FORMULATEXT(L242),1))=TRUE,1,0),2)</f>
        <v/>
      </c>
      <c r="Z242" s="525">
        <f>IFERROR(SUMPRODUCT(--(_xlfn.ISFORMULA(L242)=FALSE),--(C242&lt;&gt;"Other Projects"),--(AC242&lt;&gt;TRUE),L242),0)</f>
        <v/>
      </c>
      <c r="AA242" s="512">
        <f>IFERROR(SUMPRODUCT(--(_xlfn.ISFORMULA(L242)=FALSE),--(C242&lt;&gt;"Other Projects"),--(G242="Yes"),--(AC242&lt;&gt;TRUE),L242),0)</f>
        <v/>
      </c>
      <c r="AB242" s="512">
        <f>IF(_xlfn.ISFORMULA(L242)=TRUE,0,AB241-1)</f>
        <v/>
      </c>
      <c r="AC242" s="512" t="n"/>
    </row>
    <row r="243" outlineLevel="1" ht="63.75" customFormat="1" customHeight="1" s="266">
      <c r="A243" s="515" t="n"/>
      <c r="B243" s="551" t="inlineStr">
        <is>
          <t>Please select segment</t>
        </is>
      </c>
      <c r="C243" s="530" t="inlineStr">
        <is>
          <t>[Input of the project name]</t>
        </is>
      </c>
      <c r="D243" s="531" t="inlineStr">
        <is>
          <t>[input: brief description of the project, including:</t>
        </is>
      </c>
      <c r="E243" s="518">
        <f>IF(ISBLANK(C243)=FALSE,"thsd</f>
        <v/>
      </c>
      <c r="F243" s="518">
        <f>IF(ISBLANK(C243)=FALSE,"+","")</f>
        <v/>
      </c>
      <c r="G243" s="532" t="n"/>
      <c r="H243" s="533" t="n"/>
      <c r="I243" s="533" t="n"/>
      <c r="J243" s="536" t="n"/>
      <c r="K243" s="548" t="n"/>
      <c r="L243" s="534" t="n"/>
      <c r="M243" s="534" t="n"/>
      <c r="N243" s="534" t="n"/>
      <c r="O243" s="534" t="n"/>
      <c r="P243" s="534" t="n"/>
      <c r="Q243" s="522">
        <f>IFERROR((O243-P243),"N/A")</f>
        <v/>
      </c>
      <c r="R243" s="523">
        <f>IFERROR((O243-P243)/ABS(P243),"N/A")</f>
        <v/>
      </c>
      <c r="S243" s="548" t="n"/>
      <c r="T243" s="538" t="n"/>
      <c r="U243" s="538" t="n"/>
      <c r="V243" s="522">
        <f>IFERROR((T243-U243),"N/A")</f>
        <v/>
      </c>
      <c r="W243" s="523">
        <f>IFERROR((T243-U243)/ABS(U243),"N/A")</f>
        <v/>
      </c>
      <c r="X243" s="548" t="n"/>
      <c r="Y243" s="512">
        <f>IF(ISNUMBER(SEARCH("SUMPRODUCT",_xlfn.FORMULATEXT(L243),1))=FALSE,IF(ISNUMBER(SEARCH("INDIRECT",_xlfn.FORMULATEXT(L243),1))=TRUE,1,0),2)</f>
        <v/>
      </c>
      <c r="Z243" s="525">
        <f>IFERROR(SUMPRODUCT(--(_xlfn.ISFORMULA(L243)=FALSE),--(C243&lt;&gt;"Other Projects"),--(AC243&lt;&gt;TRUE),L243),0)</f>
        <v/>
      </c>
      <c r="AA243" s="512">
        <f>IFERROR(SUMPRODUCT(--(_xlfn.ISFORMULA(L243)=FALSE),--(C243&lt;&gt;"Other Projects"),--(G243="Yes"),--(AC243&lt;&gt;TRUE),L243),0)</f>
        <v/>
      </c>
      <c r="AB243" s="512">
        <f>IF(_xlfn.ISFORMULA(L243)=TRUE,0,AB242-1)</f>
        <v/>
      </c>
      <c r="AC243" s="512" t="n"/>
    </row>
    <row r="244" ht="15" customFormat="1" customHeight="1" s="266">
      <c r="A244" s="515" t="n"/>
      <c r="B244" s="516" t="inlineStr">
        <is>
          <t xml:space="preserve">All other segments </t>
        </is>
      </c>
      <c r="C244" s="905" t="inlineStr">
        <is>
          <t>Total</t>
        </is>
      </c>
      <c r="D244" s="905" t="inlineStr">
        <is>
          <t>Cəmi</t>
        </is>
      </c>
      <c r="E244" s="518">
        <f>IF(ISBLANK(C244)=FALSE,"thsd</f>
        <v/>
      </c>
      <c r="F244" s="518">
        <f>IF(ISBLANK(C244)=FALSE,"+","")</f>
        <v/>
      </c>
      <c r="G244" s="519" t="n"/>
      <c r="H244" s="519" t="n"/>
      <c r="I244" s="519" t="n"/>
      <c r="J244" s="519" t="n"/>
      <c r="K244" s="545" t="n"/>
      <c r="L244" s="521">
        <f>L245</f>
        <v/>
      </c>
      <c r="M244" s="521">
        <f>M245</f>
        <v/>
      </c>
      <c r="N244" s="521">
        <f>N245</f>
        <v/>
      </c>
      <c r="O244" s="521">
        <f>O245</f>
        <v/>
      </c>
      <c r="P244" s="521">
        <f>P245</f>
        <v/>
      </c>
      <c r="Q244" s="522">
        <f>IFERROR((O244-P244),"N/A")</f>
        <v/>
      </c>
      <c r="R244" s="523">
        <f>IFERROR((O244-P244)/ABS(P244),"N/A")</f>
        <v/>
      </c>
      <c r="S244" s="545" t="n"/>
      <c r="T244" s="521">
        <f>T245</f>
        <v/>
      </c>
      <c r="U244" s="521">
        <f>U245</f>
        <v/>
      </c>
      <c r="V244" s="522">
        <f>IFERROR((T244-U244),"N/A")</f>
        <v/>
      </c>
      <c r="W244" s="523">
        <f>IFERROR((T244-U244)/ABS(U244),"N/A")</f>
        <v/>
      </c>
      <c r="X244" s="545" t="n"/>
      <c r="Y244" s="512" t="n">
        <v>2</v>
      </c>
      <c r="Z244" s="525">
        <f>IFERROR(SUMPRODUCT(--(_xlfn.ISFORMULA(L244)=FALSE),--(C244&lt;&gt;"Other Projects"),--(AC244&lt;&gt;TRUE),L244),0)</f>
        <v/>
      </c>
      <c r="AA244" s="512">
        <f>IFERROR(SUMPRODUCT(--(_xlfn.ISFORMULA(L244)=FALSE),--(C244&lt;&gt;"Other Projects"),--(G244="Yes"),--(AC244&lt;&gt;TRUE),L244),0)</f>
        <v/>
      </c>
      <c r="AB244" s="512">
        <f>IF(_xlfn.ISFORMULA(L244)=TRUE,0,AB243-1)</f>
        <v/>
      </c>
      <c r="AC244" s="512" t="n"/>
    </row>
    <row r="245" ht="15" customFormat="1" customHeight="1" s="266">
      <c r="A245" s="515" t="n"/>
      <c r="B245" s="516" t="inlineStr">
        <is>
          <t xml:space="preserve">All other segments </t>
        </is>
      </c>
      <c r="C245" s="905" t="inlineStr">
        <is>
          <t>All other projects</t>
        </is>
      </c>
      <c r="D245" s="905" t="n"/>
      <c r="E245" s="518">
        <f>IF(ISBLANK(C245)=FALSE,"thsd</f>
        <v/>
      </c>
      <c r="F245" s="518">
        <f>IF(ISBLANK(C245)=FALSE,"+","")</f>
        <v/>
      </c>
      <c r="G245" s="519" t="n"/>
      <c r="H245" s="519" t="n"/>
      <c r="I245" s="519" t="n"/>
      <c r="J245" s="519" t="n"/>
      <c r="K245" s="545" t="n"/>
      <c r="L245" s="521">
        <f>SUM(L246:L256)</f>
        <v/>
      </c>
      <c r="M245" s="521">
        <f>SUM(M246:M256)</f>
        <v/>
      </c>
      <c r="N245" s="521">
        <f>SUM(N246:N256)</f>
        <v/>
      </c>
      <c r="O245" s="521">
        <f>SUM(O246:O256)</f>
        <v/>
      </c>
      <c r="P245" s="521">
        <f>SUM(P246:P256)</f>
        <v/>
      </c>
      <c r="Q245" s="522">
        <f>IFERROR((O245-P245),"N/A")</f>
        <v/>
      </c>
      <c r="R245" s="523">
        <f>IFERROR((O245-P245)/ABS(P245),"N/A")</f>
        <v/>
      </c>
      <c r="S245" s="545" t="n"/>
      <c r="T245" s="521">
        <f>SUM(T246:T256)</f>
        <v/>
      </c>
      <c r="U245" s="521">
        <f>SUM(U246:U256)</f>
        <v/>
      </c>
      <c r="V245" s="522">
        <f>IFERROR((T245-U245),"N/A")</f>
        <v/>
      </c>
      <c r="W245" s="523">
        <f>IFERROR((T245-U245)/ABS(U245),"N/A")</f>
        <v/>
      </c>
      <c r="X245" s="545" t="n"/>
      <c r="Y245" s="512" t="n">
        <v>1</v>
      </c>
      <c r="Z245" s="525">
        <f>IFERROR(SUMPRODUCT(--(_xlfn.ISFORMULA(L245)=FALSE),--(C245&lt;&gt;"Other Projects"),--(AC245&lt;&gt;TRUE),L245),0)</f>
        <v/>
      </c>
      <c r="AA245" s="512">
        <f>IFERROR(SUMPRODUCT(--(_xlfn.ISFORMULA(L245)=FALSE),--(C245&lt;&gt;"Other Projects"),--(G245="Yes"),--(AC245&lt;&gt;TRUE),L245),0)</f>
        <v/>
      </c>
      <c r="AB245" s="512">
        <f>IF(_xlfn.ISFORMULA(L245)=TRUE,0,AB244-1)</f>
        <v/>
      </c>
      <c r="AC245" s="512" t="n"/>
    </row>
    <row r="246" outlineLevel="1" ht="63.75" customFormat="1" customHeight="1" s="266">
      <c r="A246" s="515" t="n"/>
      <c r="B246" s="551" t="inlineStr">
        <is>
          <t>Please select segment</t>
        </is>
      </c>
      <c r="C246" s="530" t="inlineStr">
        <is>
          <t>[Input of the project name]</t>
        </is>
      </c>
      <c r="D246" s="531" t="inlineStr">
        <is>
          <t>[input: brief description of the project, including:</t>
        </is>
      </c>
      <c r="E246" s="518">
        <f>IF(ISBLANK(C246)=FALSE,"thsd</f>
        <v/>
      </c>
      <c r="F246" s="518">
        <f>IF(ISBLANK(C246)=FALSE,"+","")</f>
        <v/>
      </c>
      <c r="G246" s="532" t="n"/>
      <c r="H246" s="533" t="n"/>
      <c r="I246" s="533" t="n"/>
      <c r="J246" s="536" t="n"/>
      <c r="K246" s="548" t="n"/>
      <c r="L246" s="534" t="n"/>
      <c r="M246" s="534" t="n"/>
      <c r="N246" s="534" t="n"/>
      <c r="O246" s="534" t="n"/>
      <c r="P246" s="534" t="n"/>
      <c r="Q246" s="522">
        <f>IFERROR((O246-P246),"N/A")</f>
        <v/>
      </c>
      <c r="R246" s="523">
        <f>IFERROR((O246-P246)/ABS(P246),"N/A")</f>
        <v/>
      </c>
      <c r="S246" s="548" t="n"/>
      <c r="T246" s="538" t="n"/>
      <c r="U246" s="538" t="n"/>
      <c r="V246" s="522">
        <f>IFERROR((T246-U246),"N/A")</f>
        <v/>
      </c>
      <c r="W246" s="523">
        <f>IFERROR((T246-U246)/ABS(U246),"N/A")</f>
        <v/>
      </c>
      <c r="X246" s="548" t="n"/>
      <c r="Y246" s="512">
        <f>IF(ISNUMBER(SEARCH("SUMPRODUCT",_xlfn.FORMULATEXT(L246),1))=FALSE,IF(ISNUMBER(SEARCH("INDIRECT",_xlfn.FORMULATEXT(L246),1))=TRUE,1,0),2)</f>
        <v/>
      </c>
      <c r="Z246" s="525">
        <f>IFERROR(SUMPRODUCT(--(_xlfn.ISFORMULA(L246)=FALSE),--(C246&lt;&gt;"Other Projects"),--(AC246&lt;&gt;TRUE),L246),0)</f>
        <v/>
      </c>
      <c r="AA246" s="512">
        <f>IFERROR(SUMPRODUCT(--(_xlfn.ISFORMULA(L246)=FALSE),--(C246&lt;&gt;"Other Projects"),--(G246="Yes"),--(AC246&lt;&gt;TRUE),L246),0)</f>
        <v/>
      </c>
      <c r="AB246" s="512">
        <f>IF(_xlfn.ISFORMULA(L246)=TRUE,0,AB245-1)</f>
        <v/>
      </c>
      <c r="AC246" s="512" t="n"/>
    </row>
    <row r="247" outlineLevel="1" ht="63.75" customFormat="1" customHeight="1" s="266">
      <c r="A247" s="515" t="n"/>
      <c r="B247" s="551" t="inlineStr">
        <is>
          <t>Please select segment</t>
        </is>
      </c>
      <c r="C247" s="530" t="inlineStr">
        <is>
          <t>[Input of the project name]</t>
        </is>
      </c>
      <c r="D247" s="531" t="inlineStr">
        <is>
          <t>[input: brief description of the project, including:</t>
        </is>
      </c>
      <c r="E247" s="518">
        <f>IF(ISBLANK(C247)=FALSE,"thsd</f>
        <v/>
      </c>
      <c r="F247" s="518">
        <f>IF(ISBLANK(C247)=FALSE,"+","")</f>
        <v/>
      </c>
      <c r="G247" s="532" t="n"/>
      <c r="H247" s="533" t="n"/>
      <c r="I247" s="533" t="n"/>
      <c r="J247" s="536" t="n"/>
      <c r="K247" s="548" t="n"/>
      <c r="L247" s="534" t="n"/>
      <c r="M247" s="534" t="n"/>
      <c r="N247" s="534" t="n"/>
      <c r="O247" s="534" t="n"/>
      <c r="P247" s="534" t="n"/>
      <c r="Q247" s="522">
        <f>IFERROR((O247-P247),"N/A")</f>
        <v/>
      </c>
      <c r="R247" s="523">
        <f>IFERROR((O247-P247)/ABS(P247),"N/A")</f>
        <v/>
      </c>
      <c r="S247" s="548" t="n"/>
      <c r="T247" s="538" t="n"/>
      <c r="U247" s="538" t="n"/>
      <c r="V247" s="522">
        <f>IFERROR((T247-U247),"N/A")</f>
        <v/>
      </c>
      <c r="W247" s="523">
        <f>IFERROR((T247-U247)/ABS(U247),"N/A")</f>
        <v/>
      </c>
      <c r="X247" s="548" t="n"/>
      <c r="Y247" s="512">
        <f>IF(ISNUMBER(SEARCH("SUMPRODUCT",_xlfn.FORMULATEXT(L247),1))=FALSE,IF(ISNUMBER(SEARCH("INDIRECT",_xlfn.FORMULATEXT(L247),1))=TRUE,1,0),2)</f>
        <v/>
      </c>
      <c r="Z247" s="525">
        <f>IFERROR(SUMPRODUCT(--(_xlfn.ISFORMULA(L247)=FALSE),--(C247&lt;&gt;"Other Projects"),--(AC247&lt;&gt;TRUE),L247),0)</f>
        <v/>
      </c>
      <c r="AA247" s="512">
        <f>IFERROR(SUMPRODUCT(--(_xlfn.ISFORMULA(L247)=FALSE),--(C247&lt;&gt;"Other Projects"),--(G247="Yes"),--(AC247&lt;&gt;TRUE),L247),0)</f>
        <v/>
      </c>
      <c r="AB247" s="512">
        <f>IF(_xlfn.ISFORMULA(L247)=TRUE,0,AB246-1)</f>
        <v/>
      </c>
      <c r="AC247" s="512" t="n"/>
    </row>
    <row r="248" outlineLevel="1" ht="63.75" customFormat="1" customHeight="1" s="266">
      <c r="A248" s="515" t="n"/>
      <c r="B248" s="551" t="inlineStr">
        <is>
          <t>Please select segment</t>
        </is>
      </c>
      <c r="C248" s="530" t="inlineStr">
        <is>
          <t>[Input of the project name]</t>
        </is>
      </c>
      <c r="D248" s="531" t="inlineStr">
        <is>
          <t>[input: brief description of the project, including:</t>
        </is>
      </c>
      <c r="E248" s="518">
        <f>IF(ISBLANK(C248)=FALSE,"thsd</f>
        <v/>
      </c>
      <c r="F248" s="518">
        <f>IF(ISBLANK(C248)=FALSE,"+","")</f>
        <v/>
      </c>
      <c r="G248" s="532" t="n"/>
      <c r="H248" s="533" t="n"/>
      <c r="I248" s="533" t="n"/>
      <c r="J248" s="536" t="n"/>
      <c r="K248" s="548" t="n"/>
      <c r="L248" s="534" t="n"/>
      <c r="M248" s="534" t="n"/>
      <c r="N248" s="534" t="n"/>
      <c r="O248" s="534" t="n"/>
      <c r="P248" s="534" t="n"/>
      <c r="Q248" s="522">
        <f>IFERROR((O248-P248),"N/A")</f>
        <v/>
      </c>
      <c r="R248" s="523">
        <f>IFERROR((O248-P248)/ABS(P248),"N/A")</f>
        <v/>
      </c>
      <c r="S248" s="548" t="n"/>
      <c r="T248" s="538" t="n"/>
      <c r="U248" s="538" t="n"/>
      <c r="V248" s="522">
        <f>IFERROR((T248-U248),"N/A")</f>
        <v/>
      </c>
      <c r="W248" s="523">
        <f>IFERROR((T248-U248)/ABS(U248),"N/A")</f>
        <v/>
      </c>
      <c r="X248" s="548" t="n"/>
      <c r="Y248" s="512">
        <f>IF(ISNUMBER(SEARCH("SUMPRODUCT",_xlfn.FORMULATEXT(L248),1))=FALSE,IF(ISNUMBER(SEARCH("INDIRECT",_xlfn.FORMULATEXT(L248),1))=TRUE,1,0),2)</f>
        <v/>
      </c>
      <c r="Z248" s="525">
        <f>IFERROR(SUMPRODUCT(--(_xlfn.ISFORMULA(L248)=FALSE),--(C248&lt;&gt;"Other Projects"),--(AC248&lt;&gt;TRUE),L248),0)</f>
        <v/>
      </c>
      <c r="AA248" s="512">
        <f>IFERROR(SUMPRODUCT(--(_xlfn.ISFORMULA(L248)=FALSE),--(C248&lt;&gt;"Other Projects"),--(G248="Yes"),--(AC248&lt;&gt;TRUE),L248),0)</f>
        <v/>
      </c>
      <c r="AB248" s="512">
        <f>IF(_xlfn.ISFORMULA(L248)=TRUE,0,AB247-1)</f>
        <v/>
      </c>
      <c r="AC248" s="512" t="n"/>
    </row>
    <row r="249" outlineLevel="1" ht="63.75" customFormat="1" customHeight="1" s="266">
      <c r="A249" s="515" t="n"/>
      <c r="B249" s="551" t="inlineStr">
        <is>
          <t>Please select segment</t>
        </is>
      </c>
      <c r="C249" s="530" t="inlineStr">
        <is>
          <t>[Input of the project name]</t>
        </is>
      </c>
      <c r="D249" s="531" t="inlineStr">
        <is>
          <t>[input: brief description of the project, including:</t>
        </is>
      </c>
      <c r="E249" s="518">
        <f>IF(ISBLANK(C249)=FALSE,"thsd</f>
        <v/>
      </c>
      <c r="F249" s="518">
        <f>IF(ISBLANK(C249)=FALSE,"+","")</f>
        <v/>
      </c>
      <c r="G249" s="532" t="n"/>
      <c r="H249" s="533" t="n"/>
      <c r="I249" s="533" t="n"/>
      <c r="J249" s="536" t="n"/>
      <c r="K249" s="548" t="n"/>
      <c r="L249" s="534" t="n"/>
      <c r="M249" s="534" t="n"/>
      <c r="N249" s="534" t="n"/>
      <c r="O249" s="534" t="n"/>
      <c r="P249" s="534" t="n"/>
      <c r="Q249" s="522">
        <f>IFERROR((O249-P249),"N/A")</f>
        <v/>
      </c>
      <c r="R249" s="523">
        <f>IFERROR((O249-P249)/ABS(P249),"N/A")</f>
        <v/>
      </c>
      <c r="S249" s="548" t="n"/>
      <c r="T249" s="538" t="n"/>
      <c r="U249" s="538" t="n"/>
      <c r="V249" s="522">
        <f>IFERROR((T249-U249),"N/A")</f>
        <v/>
      </c>
      <c r="W249" s="523">
        <f>IFERROR((T249-U249)/ABS(U249),"N/A")</f>
        <v/>
      </c>
      <c r="X249" s="548" t="n"/>
      <c r="Y249" s="512">
        <f>IF(ISNUMBER(SEARCH("SUMPRODUCT",_xlfn.FORMULATEXT(L249),1))=FALSE,IF(ISNUMBER(SEARCH("INDIRECT",_xlfn.FORMULATEXT(L249),1))=TRUE,1,0),2)</f>
        <v/>
      </c>
      <c r="Z249" s="525">
        <f>IFERROR(SUMPRODUCT(--(_xlfn.ISFORMULA(L249)=FALSE),--(C249&lt;&gt;"Other Projects"),--(AC249&lt;&gt;TRUE),L249),0)</f>
        <v/>
      </c>
      <c r="AA249" s="512">
        <f>IFERROR(SUMPRODUCT(--(_xlfn.ISFORMULA(L249)=FALSE),--(C249&lt;&gt;"Other Projects"),--(G249="Yes"),--(AC249&lt;&gt;TRUE),L249),0)</f>
        <v/>
      </c>
      <c r="AB249" s="512">
        <f>IF(_xlfn.ISFORMULA(L249)=TRUE,0,AB248-1)</f>
        <v/>
      </c>
      <c r="AC249" s="512" t="n"/>
    </row>
    <row r="250" outlineLevel="1" ht="63.75" customFormat="1" customHeight="1" s="266">
      <c r="A250" s="515" t="n"/>
      <c r="B250" s="551" t="inlineStr">
        <is>
          <t>Please select segment</t>
        </is>
      </c>
      <c r="C250" s="530" t="inlineStr">
        <is>
          <t>[Input of the project name]</t>
        </is>
      </c>
      <c r="D250" s="531" t="inlineStr">
        <is>
          <t>[input: brief description of the project, including:</t>
        </is>
      </c>
      <c r="E250" s="518">
        <f>IF(ISBLANK(C250)=FALSE,"thsd</f>
        <v/>
      </c>
      <c r="F250" s="518">
        <f>IF(ISBLANK(C250)=FALSE,"+","")</f>
        <v/>
      </c>
      <c r="G250" s="532" t="n"/>
      <c r="H250" s="533" t="n"/>
      <c r="I250" s="533" t="n"/>
      <c r="J250" s="536" t="n"/>
      <c r="K250" s="548" t="n"/>
      <c r="L250" s="534" t="n"/>
      <c r="M250" s="534" t="n"/>
      <c r="N250" s="534" t="n"/>
      <c r="O250" s="534" t="n"/>
      <c r="P250" s="534" t="n"/>
      <c r="Q250" s="522">
        <f>IFERROR((O250-P250),"N/A")</f>
        <v/>
      </c>
      <c r="R250" s="523">
        <f>IFERROR((O250-P250)/ABS(P250),"N/A")</f>
        <v/>
      </c>
      <c r="S250" s="548" t="n"/>
      <c r="T250" s="538" t="n"/>
      <c r="U250" s="538" t="n"/>
      <c r="V250" s="522">
        <f>IFERROR((T250-U250),"N/A")</f>
        <v/>
      </c>
      <c r="W250" s="523">
        <f>IFERROR((T250-U250)/ABS(U250),"N/A")</f>
        <v/>
      </c>
      <c r="X250" s="548" t="n"/>
      <c r="Y250" s="512">
        <f>IF(ISNUMBER(SEARCH("SUMPRODUCT",_xlfn.FORMULATEXT(L250),1))=FALSE,IF(ISNUMBER(SEARCH("INDIRECT",_xlfn.FORMULATEXT(L250),1))=TRUE,1,0),2)</f>
        <v/>
      </c>
      <c r="Z250" s="525">
        <f>IFERROR(SUMPRODUCT(--(_xlfn.ISFORMULA(L250)=FALSE),--(C250&lt;&gt;"Other Projects"),--(AC250&lt;&gt;TRUE),L250),0)</f>
        <v/>
      </c>
      <c r="AA250" s="512">
        <f>IFERROR(SUMPRODUCT(--(_xlfn.ISFORMULA(L250)=FALSE),--(C250&lt;&gt;"Other Projects"),--(G250="Yes"),--(AC250&lt;&gt;TRUE),L250),0)</f>
        <v/>
      </c>
      <c r="AB250" s="512">
        <f>IF(_xlfn.ISFORMULA(L250)=TRUE,0,AB249-1)</f>
        <v/>
      </c>
      <c r="AC250" s="512" t="n"/>
    </row>
    <row r="251" outlineLevel="1" ht="63.75" customFormat="1" customHeight="1" s="266">
      <c r="A251" s="515" t="n"/>
      <c r="B251" s="551" t="inlineStr">
        <is>
          <t>Please select segment</t>
        </is>
      </c>
      <c r="C251" s="530" t="inlineStr">
        <is>
          <t>[Input of the project name]</t>
        </is>
      </c>
      <c r="D251" s="531" t="inlineStr">
        <is>
          <t>[input: brief description of the project, including:</t>
        </is>
      </c>
      <c r="E251" s="518">
        <f>IF(ISBLANK(C251)=FALSE,"thsd</f>
        <v/>
      </c>
      <c r="F251" s="518">
        <f>IF(ISBLANK(C251)=FALSE,"+","")</f>
        <v/>
      </c>
      <c r="G251" s="532" t="n"/>
      <c r="H251" s="533" t="n"/>
      <c r="I251" s="533" t="n"/>
      <c r="J251" s="536" t="n"/>
      <c r="K251" s="548" t="n"/>
      <c r="L251" s="534" t="n"/>
      <c r="M251" s="534" t="n"/>
      <c r="N251" s="534" t="n"/>
      <c r="O251" s="534" t="n"/>
      <c r="P251" s="534" t="n"/>
      <c r="Q251" s="522">
        <f>IFERROR((O251-P251),"N/A")</f>
        <v/>
      </c>
      <c r="R251" s="523">
        <f>IFERROR((O251-P251)/ABS(P251),"N/A")</f>
        <v/>
      </c>
      <c r="S251" s="548" t="n"/>
      <c r="T251" s="538" t="n"/>
      <c r="U251" s="538" t="n"/>
      <c r="V251" s="522">
        <f>IFERROR((T251-U251),"N/A")</f>
        <v/>
      </c>
      <c r="W251" s="523">
        <f>IFERROR((T251-U251)/ABS(U251),"N/A")</f>
        <v/>
      </c>
      <c r="X251" s="548" t="n"/>
      <c r="Y251" s="512">
        <f>IF(ISNUMBER(SEARCH("SUMPRODUCT",_xlfn.FORMULATEXT(L251),1))=FALSE,IF(ISNUMBER(SEARCH("INDIRECT",_xlfn.FORMULATEXT(L251),1))=TRUE,1,0),2)</f>
        <v/>
      </c>
      <c r="Z251" s="525">
        <f>IFERROR(SUMPRODUCT(--(_xlfn.ISFORMULA(L251)=FALSE),--(C251&lt;&gt;"Other Projects"),--(AC251&lt;&gt;TRUE),L251),0)</f>
        <v/>
      </c>
      <c r="AA251" s="512">
        <f>IFERROR(SUMPRODUCT(--(_xlfn.ISFORMULA(L251)=FALSE),--(C251&lt;&gt;"Other Projects"),--(G251="Yes"),--(AC251&lt;&gt;TRUE),L251),0)</f>
        <v/>
      </c>
      <c r="AB251" s="512">
        <f>IF(_xlfn.ISFORMULA(L251)=TRUE,0,AB250-1)</f>
        <v/>
      </c>
      <c r="AC251" s="512" t="n"/>
    </row>
    <row r="252" outlineLevel="1" ht="63.75" customFormat="1" customHeight="1" s="266">
      <c r="A252" s="515" t="n"/>
      <c r="B252" s="551" t="inlineStr">
        <is>
          <t>Please select segment</t>
        </is>
      </c>
      <c r="C252" s="530" t="inlineStr">
        <is>
          <t>[Input of the project name]</t>
        </is>
      </c>
      <c r="D252" s="531" t="inlineStr">
        <is>
          <t>[input: brief description of the project, including:</t>
        </is>
      </c>
      <c r="E252" s="518">
        <f>IF(ISBLANK(C252)=FALSE,"thsd</f>
        <v/>
      </c>
      <c r="F252" s="518">
        <f>IF(ISBLANK(C252)=FALSE,"+","")</f>
        <v/>
      </c>
      <c r="G252" s="532" t="n"/>
      <c r="H252" s="533" t="n"/>
      <c r="I252" s="533" t="n"/>
      <c r="J252" s="536" t="n"/>
      <c r="K252" s="548" t="n"/>
      <c r="L252" s="534" t="n"/>
      <c r="M252" s="534" t="n"/>
      <c r="N252" s="534" t="n"/>
      <c r="O252" s="534" t="n"/>
      <c r="P252" s="534" t="n"/>
      <c r="Q252" s="522">
        <f>IFERROR((O252-P252),"N/A")</f>
        <v/>
      </c>
      <c r="R252" s="523">
        <f>IFERROR((O252-P252)/ABS(P252),"N/A")</f>
        <v/>
      </c>
      <c r="S252" s="548" t="n"/>
      <c r="T252" s="538" t="n"/>
      <c r="U252" s="538" t="n"/>
      <c r="V252" s="522">
        <f>IFERROR((T252-U252),"N/A")</f>
        <v/>
      </c>
      <c r="W252" s="523">
        <f>IFERROR((T252-U252)/ABS(U252),"N/A")</f>
        <v/>
      </c>
      <c r="X252" s="548" t="n"/>
      <c r="Y252" s="512">
        <f>IF(ISNUMBER(SEARCH("SUMPRODUCT",_xlfn.FORMULATEXT(L252),1))=FALSE,IF(ISNUMBER(SEARCH("INDIRECT",_xlfn.FORMULATEXT(L252),1))=TRUE,1,0),2)</f>
        <v/>
      </c>
      <c r="Z252" s="525">
        <f>IFERROR(SUMPRODUCT(--(_xlfn.ISFORMULA(L252)=FALSE),--(C252&lt;&gt;"Other Projects"),--(AC252&lt;&gt;TRUE),L252),0)</f>
        <v/>
      </c>
      <c r="AA252" s="512">
        <f>IFERROR(SUMPRODUCT(--(_xlfn.ISFORMULA(L252)=FALSE),--(C252&lt;&gt;"Other Projects"),--(G252="Yes"),--(AC252&lt;&gt;TRUE),L252),0)</f>
        <v/>
      </c>
      <c r="AB252" s="512">
        <f>IF(_xlfn.ISFORMULA(L252)=TRUE,0,AB251-1)</f>
        <v/>
      </c>
      <c r="AC252" s="512" t="n"/>
    </row>
    <row r="253" outlineLevel="1" ht="63.75" customFormat="1" customHeight="1" s="266">
      <c r="A253" s="515" t="n"/>
      <c r="B253" s="551" t="inlineStr">
        <is>
          <t>Please select segment</t>
        </is>
      </c>
      <c r="C253" s="530" t="inlineStr">
        <is>
          <t>[Input of the project name]</t>
        </is>
      </c>
      <c r="D253" s="531" t="inlineStr">
        <is>
          <t>[input: brief description of the project, including:</t>
        </is>
      </c>
      <c r="E253" s="518">
        <f>IF(ISBLANK(C253)=FALSE,"thsd</f>
        <v/>
      </c>
      <c r="F253" s="518">
        <f>IF(ISBLANK(C253)=FALSE,"+","")</f>
        <v/>
      </c>
      <c r="G253" s="532" t="n"/>
      <c r="H253" s="533" t="n"/>
      <c r="I253" s="533" t="n"/>
      <c r="J253" s="536" t="n"/>
      <c r="K253" s="548" t="n"/>
      <c r="L253" s="534" t="n"/>
      <c r="M253" s="534" t="n"/>
      <c r="N253" s="534" t="n"/>
      <c r="O253" s="534" t="n"/>
      <c r="P253" s="534" t="n"/>
      <c r="Q253" s="522">
        <f>IFERROR((O253-P253),"N/A")</f>
        <v/>
      </c>
      <c r="R253" s="523">
        <f>IFERROR((O253-P253)/ABS(P253),"N/A")</f>
        <v/>
      </c>
      <c r="S253" s="548" t="n"/>
      <c r="T253" s="538" t="n"/>
      <c r="U253" s="538" t="n"/>
      <c r="V253" s="522">
        <f>IFERROR((T253-U253),"N/A")</f>
        <v/>
      </c>
      <c r="W253" s="523">
        <f>IFERROR((T253-U253)/ABS(U253),"N/A")</f>
        <v/>
      </c>
      <c r="X253" s="548" t="n"/>
      <c r="Y253" s="512">
        <f>IF(ISNUMBER(SEARCH("SUMPRODUCT",_xlfn.FORMULATEXT(L253),1))=FALSE,IF(ISNUMBER(SEARCH("INDIRECT",_xlfn.FORMULATEXT(L253),1))=TRUE,1,0),2)</f>
        <v/>
      </c>
      <c r="Z253" s="525">
        <f>IFERROR(SUMPRODUCT(--(_xlfn.ISFORMULA(L253)=FALSE),--(C253&lt;&gt;"Other Projects"),--(AC253&lt;&gt;TRUE),L253),0)</f>
        <v/>
      </c>
      <c r="AA253" s="512">
        <f>IFERROR(SUMPRODUCT(--(_xlfn.ISFORMULA(L253)=FALSE),--(C253&lt;&gt;"Other Projects"),--(G253="Yes"),--(AC253&lt;&gt;TRUE),L253),0)</f>
        <v/>
      </c>
      <c r="AB253" s="512">
        <f>IF(_xlfn.ISFORMULA(L253)=TRUE,0,AB252-1)</f>
        <v/>
      </c>
      <c r="AC253" s="512" t="n"/>
    </row>
    <row r="254" outlineLevel="1" ht="63.75" customFormat="1" customHeight="1" s="266">
      <c r="A254" s="515" t="n"/>
      <c r="B254" s="551" t="inlineStr">
        <is>
          <t>Please select segment</t>
        </is>
      </c>
      <c r="C254" s="530" t="inlineStr">
        <is>
          <t>[Input of the project name]</t>
        </is>
      </c>
      <c r="D254" s="531" t="inlineStr">
        <is>
          <t>[input: brief description of the project, including:</t>
        </is>
      </c>
      <c r="E254" s="518">
        <f>IF(ISBLANK(C254)=FALSE,"thsd</f>
        <v/>
      </c>
      <c r="F254" s="518">
        <f>IF(ISBLANK(C254)=FALSE,"+","")</f>
        <v/>
      </c>
      <c r="G254" s="532" t="n"/>
      <c r="H254" s="533" t="n"/>
      <c r="I254" s="533" t="n"/>
      <c r="J254" s="536" t="n"/>
      <c r="K254" s="548" t="n"/>
      <c r="L254" s="534" t="n"/>
      <c r="M254" s="534" t="n"/>
      <c r="N254" s="534" t="n"/>
      <c r="O254" s="534" t="n"/>
      <c r="P254" s="534" t="n"/>
      <c r="Q254" s="522">
        <f>IFERROR((O254-P254),"N/A")</f>
        <v/>
      </c>
      <c r="R254" s="523">
        <f>IFERROR((O254-P254)/ABS(P254),"N/A")</f>
        <v/>
      </c>
      <c r="S254" s="548" t="n"/>
      <c r="T254" s="538" t="n"/>
      <c r="U254" s="538" t="n"/>
      <c r="V254" s="522">
        <f>IFERROR((T254-U254),"N/A")</f>
        <v/>
      </c>
      <c r="W254" s="523">
        <f>IFERROR((T254-U254)/ABS(U254),"N/A")</f>
        <v/>
      </c>
      <c r="X254" s="548" t="n"/>
      <c r="Y254" s="512">
        <f>IF(ISNUMBER(SEARCH("SUMPRODUCT",_xlfn.FORMULATEXT(L254),1))=FALSE,IF(ISNUMBER(SEARCH("INDIRECT",_xlfn.FORMULATEXT(L254),1))=TRUE,1,0),2)</f>
        <v/>
      </c>
      <c r="Z254" s="525">
        <f>IFERROR(SUMPRODUCT(--(_xlfn.ISFORMULA(L254)=FALSE),--(C254&lt;&gt;"Other Projects"),--(AC254&lt;&gt;TRUE),L254),0)</f>
        <v/>
      </c>
      <c r="AA254" s="512">
        <f>IFERROR(SUMPRODUCT(--(_xlfn.ISFORMULA(L254)=FALSE),--(C254&lt;&gt;"Other Projects"),--(G254="Yes"),--(AC254&lt;&gt;TRUE),L254),0)</f>
        <v/>
      </c>
      <c r="AB254" s="512">
        <f>IF(_xlfn.ISFORMULA(L254)=TRUE,0,AB253-1)</f>
        <v/>
      </c>
      <c r="AC254" s="512" t="n"/>
    </row>
    <row r="255" outlineLevel="1" ht="63.75" customFormat="1" customHeight="1" s="266">
      <c r="A255" s="515" t="n"/>
      <c r="B255" s="551" t="inlineStr">
        <is>
          <t>Please select segment</t>
        </is>
      </c>
      <c r="C255" s="530" t="inlineStr">
        <is>
          <t>[Input of the project name]</t>
        </is>
      </c>
      <c r="D255" s="531" t="inlineStr">
        <is>
          <t>[input: brief description of the project, including:</t>
        </is>
      </c>
      <c r="E255" s="518">
        <f>IF(ISBLANK(C255)=FALSE,"thsd</f>
        <v/>
      </c>
      <c r="F255" s="518">
        <f>IF(ISBLANK(C255)=FALSE,"+","")</f>
        <v/>
      </c>
      <c r="G255" s="532" t="n"/>
      <c r="H255" s="533" t="n"/>
      <c r="I255" s="533" t="n"/>
      <c r="J255" s="536" t="n"/>
      <c r="K255" s="548" t="n"/>
      <c r="L255" s="534" t="n"/>
      <c r="M255" s="534" t="n"/>
      <c r="N255" s="534" t="n"/>
      <c r="O255" s="534" t="n"/>
      <c r="P255" s="534" t="n"/>
      <c r="Q255" s="522">
        <f>IFERROR((O255-P255),"N/A")</f>
        <v/>
      </c>
      <c r="R255" s="523">
        <f>IFERROR((O255-P255)/ABS(P255),"N/A")</f>
        <v/>
      </c>
      <c r="S255" s="548" t="n"/>
      <c r="T255" s="538" t="n"/>
      <c r="U255" s="538" t="n"/>
      <c r="V255" s="522">
        <f>IFERROR((T255-U255),"N/A")</f>
        <v/>
      </c>
      <c r="W255" s="523">
        <f>IFERROR((T255-U255)/ABS(U255),"N/A")</f>
        <v/>
      </c>
      <c r="X255" s="548" t="n"/>
      <c r="Y255" s="512">
        <f>IF(ISNUMBER(SEARCH("SUMPRODUCT",_xlfn.FORMULATEXT(L255),1))=FALSE,IF(ISNUMBER(SEARCH("INDIRECT",_xlfn.FORMULATEXT(L255),1))=TRUE,1,0),2)</f>
        <v/>
      </c>
      <c r="Z255" s="525">
        <f>IFERROR(SUMPRODUCT(--(_xlfn.ISFORMULA(L255)=FALSE),--(C255&lt;&gt;"Other Projects"),--(AC255&lt;&gt;TRUE),L255),0)</f>
        <v/>
      </c>
      <c r="AA255" s="512">
        <f>IFERROR(SUMPRODUCT(--(_xlfn.ISFORMULA(L255)=FALSE),--(C255&lt;&gt;"Other Projects"),--(G255="Yes"),--(AC255&lt;&gt;TRUE),L255),0)</f>
        <v/>
      </c>
      <c r="AB255" s="512">
        <f>IF(_xlfn.ISFORMULA(L255)=TRUE,0,AB254-1)</f>
        <v/>
      </c>
      <c r="AC255" s="512" t="n"/>
    </row>
    <row r="256" outlineLevel="1" customFormat="1" s="266">
      <c r="A256" s="515" t="n"/>
      <c r="B256" s="551" t="inlineStr">
        <is>
          <t>Please select segment</t>
        </is>
      </c>
      <c r="C256" s="551" t="inlineStr">
        <is>
          <t>Other projects</t>
        </is>
      </c>
      <c r="D256" s="551" t="n"/>
      <c r="E256" s="518">
        <f>IF(ISBLANK(C256)=FALSE,"thsd</f>
        <v/>
      </c>
      <c r="F256" s="518">
        <f>IF(ISBLANK(C256)=FALSE,"+","")</f>
        <v/>
      </c>
      <c r="G256" s="532" t="n"/>
      <c r="H256" s="533" t="n"/>
      <c r="I256" s="533" t="n"/>
      <c r="J256" s="536" t="n"/>
      <c r="K256" s="548" t="n"/>
      <c r="L256" s="534" t="n"/>
      <c r="M256" s="534" t="n"/>
      <c r="N256" s="534" t="n"/>
      <c r="O256" s="534" t="n"/>
      <c r="P256" s="534" t="n"/>
      <c r="Q256" s="522">
        <f>IFERROR((O256-P256),"N/A")</f>
        <v/>
      </c>
      <c r="R256" s="523">
        <f>IFERROR((O256-P256)/ABS(P256),"N/A")</f>
        <v/>
      </c>
      <c r="S256" s="548" t="n"/>
      <c r="T256" s="538" t="n"/>
      <c r="U256" s="538" t="n"/>
      <c r="V256" s="522">
        <f>IFERROR((T256-U256),"N/A")</f>
        <v/>
      </c>
      <c r="W256" s="523">
        <f>IFERROR((T256-U256)/ABS(U256),"N/A")</f>
        <v/>
      </c>
      <c r="X256" s="548" t="n"/>
      <c r="Y256" s="512">
        <f>IF(ISNUMBER(SEARCH("SUMPRODUCT",_xlfn.FORMULATEXT(L256),1))=FALSE,IF(ISNUMBER(SEARCH("INDIRECT",_xlfn.FORMULATEXT(L256),1))=TRUE,1,0),2)</f>
        <v/>
      </c>
      <c r="Z256" s="525">
        <f>IFERROR(SUMPRODUCT(--(_xlfn.ISFORMULA(L256)=FALSE),--(C256&lt;&gt;"Other Projects"),--(AC256&lt;&gt;TRUE),L256),0)</f>
        <v/>
      </c>
      <c r="AA256" s="512">
        <f>IFERROR(SUMPRODUCT(--(_xlfn.ISFORMULA(L256)=FALSE),--(C256&lt;&gt;"Other Projects"),--(G256="Yes"),--(AC256&lt;&gt;TRUE),L256),0)</f>
        <v/>
      </c>
      <c r="AB256" s="512">
        <f>IF(_xlfn.ISFORMULA(L256)=TRUE,0,AB255-1)</f>
        <v/>
      </c>
      <c r="AC256" s="512" t="n"/>
    </row>
    <row r="257">
      <c r="L257" s="555" t="n"/>
      <c r="M257" s="555" t="n"/>
      <c r="N257" s="555" t="n"/>
      <c r="O257" s="555" t="n"/>
      <c r="P257" s="555" t="n"/>
      <c r="Q257" s="555" t="n"/>
      <c r="Y257" s="512" t="n"/>
      <c r="Z257" s="525">
        <f>IFERROR(SUMPRODUCT(--(_xlfn.ISFORMULA(L257)=FALSE),--(C257&lt;&gt;"Other Projects"),--(AC257&lt;&gt;TRUE),L257),0)</f>
        <v/>
      </c>
      <c r="AA257" s="512">
        <f>IFERROR(SUMPRODUCT(--(_xlfn.ISFORMULA(L257)=FALSE),--(C257&lt;&gt;"Other Projects"),--(G257="Yes"),--(AC257&lt;&gt;TRUE),L257),0)</f>
        <v/>
      </c>
      <c r="AB257" s="512">
        <f>IF(_xlfn.ISFORMULA(L257)=TRUE,0,AB256-1)</f>
        <v/>
      </c>
      <c r="AC257" s="512" t="n"/>
    </row>
  </sheetData>
  <mergeCells count="27">
    <mergeCell ref="D10:E10"/>
    <mergeCell ref="B12:B13"/>
    <mergeCell ref="F12:F13"/>
    <mergeCell ref="T14:X14"/>
    <mergeCell ref="L12:L13"/>
    <mergeCell ref="O11:R11"/>
    <mergeCell ref="N12:N13"/>
    <mergeCell ref="A12:A13"/>
    <mergeCell ref="C12:C13"/>
    <mergeCell ref="I12:I13"/>
    <mergeCell ref="T12:T13"/>
    <mergeCell ref="K12:K13"/>
    <mergeCell ref="M12:M13"/>
    <mergeCell ref="O12:O13"/>
    <mergeCell ref="D12:D13"/>
    <mergeCell ref="U12:U13"/>
    <mergeCell ref="H12:H13"/>
    <mergeCell ref="J12:J13"/>
    <mergeCell ref="P12:P13"/>
    <mergeCell ref="V12:X12"/>
    <mergeCell ref="Y13:AC13"/>
    <mergeCell ref="D9:E9"/>
    <mergeCell ref="Q12:S12"/>
    <mergeCell ref="E12:E13"/>
    <mergeCell ref="G12:G13"/>
    <mergeCell ref="O14:S14"/>
    <mergeCell ref="T11:W11"/>
  </mergeCells>
  <conditionalFormatting sqref="D8">
    <cfRule type="expression" priority="13" dxfId="1">
      <formula>_xlfn.ISFORMULA($L11)=FALSE</formula>
    </cfRule>
  </conditionalFormatting>
  <conditionalFormatting sqref="G18:I34 G36:J46 G48:J61 G65:J65 G68:J99 G101:J109 G111:J141 G143:J173 G176:J186 G188:J198 G200:J210 G226:J236 S65:U65 S66:S213 X65:X213">
    <cfRule type="expression" priority="15" dxfId="1">
      <formula>_xlfn.ISFORMULA($L18)=FALSE</formula>
    </cfRule>
  </conditionalFormatting>
  <conditionalFormatting sqref="G19:J34">
    <cfRule type="expression" priority="12" dxfId="1">
      <formula>_xlfn.ISFORMULA($L19)=FALSE</formula>
    </cfRule>
  </conditionalFormatting>
  <conditionalFormatting sqref="G213:J223">
    <cfRule type="expression" priority="5" dxfId="1">
      <formula>_xlfn.ISFORMULA($L213)=FALSE</formula>
    </cfRule>
  </conditionalFormatting>
  <conditionalFormatting sqref="G239:J243 G246:J256">
    <cfRule type="expression" priority="10" dxfId="1">
      <formula>_xlfn.ISFORMULA($L239)=FALSE</formula>
    </cfRule>
  </conditionalFormatting>
  <conditionalFormatting sqref="G225:K225">
    <cfRule type="expression" priority="2" dxfId="1">
      <formula>_xlfn.ISFORMULA($L225)=FALSE</formula>
    </cfRule>
  </conditionalFormatting>
  <conditionalFormatting sqref="J18">
    <cfRule type="expression" priority="9" dxfId="1">
      <formula>_xlfn.ISFORMULA($L18)=FALSE</formula>
    </cfRule>
  </conditionalFormatting>
  <conditionalFormatting sqref="K16:K17">
    <cfRule type="expression" priority="14" dxfId="1">
      <formula>J16="Major Risks Present"</formula>
    </cfRule>
  </conditionalFormatting>
  <conditionalFormatting sqref="K18:K61">
    <cfRule type="expression" priority="6" dxfId="1">
      <formula>_xlfn.ISFORMULA($L18)=FALSE</formula>
    </cfRule>
  </conditionalFormatting>
  <conditionalFormatting sqref="K65:K213">
    <cfRule type="expression" priority="4" dxfId="1">
      <formula>_xlfn.ISFORMULA($L65)=FALSE</formula>
    </cfRule>
  </conditionalFormatting>
  <conditionalFormatting sqref="L16:P61">
    <cfRule type="expression" priority="8" dxfId="1">
      <formula>_xlfn.ISFORMULA($L16)=FALSE</formula>
    </cfRule>
  </conditionalFormatting>
  <conditionalFormatting sqref="L65:P256">
    <cfRule type="expression" priority="3" dxfId="1">
      <formula>_xlfn.ISFORMULA($L65)=FALSE</formula>
    </cfRule>
  </conditionalFormatting>
  <conditionalFormatting sqref="S16:U61">
    <cfRule type="expression" priority="7" dxfId="1">
      <formula>_xlfn.ISFORMULA($L16)=FALSE</formula>
    </cfRule>
  </conditionalFormatting>
  <conditionalFormatting sqref="T66:U256">
    <cfRule type="expression" priority="1" dxfId="1">
      <formula>_xlfn.ISFORMULA($L66)=FALSE</formula>
    </cfRule>
  </conditionalFormatting>
  <conditionalFormatting sqref="X16:X61">
    <cfRule type="expression" priority="11" dxfId="1">
      <formula>_xlfn.ISFORMULA($L16)=FALSE</formula>
    </cfRule>
  </conditionalFormatting>
  <dataValidations count="2">
    <dataValidation sqref="J34 J46 J65 J99 J109 J141 J173 J186 J198 J210 J223 J236 J246:J256" showDropDown="0" showInputMessage="1" showErrorMessage="1" allowBlank="1" type="list">
      <formula1>"No Major Risks,Major Risks Present,N/A"</formula1>
    </dataValidation>
    <dataValidation sqref="B239:B243 B246:B256" showDropDown="0" showInputMessage="1" showErrorMessage="1" allowBlank="1" type="list">
      <formula1>"Upstream,Downstream, Midstream, Drilling, Gas distribution,Wholesales,Wholesales and Trading,Retail,Marketing Department, Holding Company, Construction, Other"</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T258"/>
  <sheetViews>
    <sheetView topLeftCell="B4" workbookViewId="0">
      <selection activeCell="A1" sqref="A1:XFD1048576"/>
    </sheetView>
  </sheetViews>
  <sheetFormatPr baseColWidth="8" defaultColWidth="47.5703125" defaultRowHeight="12.75" outlineLevelRow="1"/>
  <cols>
    <col hidden="1" width="11.42578125" customWidth="1" style="30" min="1" max="1"/>
    <col width="34.42578125" customWidth="1" style="30" min="2" max="2"/>
    <col width="53.42578125" customWidth="1" style="30" min="3" max="3"/>
    <col width="52" customWidth="1" style="30" min="4" max="4"/>
    <col width="19.5703125" customWidth="1" style="30" min="5" max="5"/>
    <col width="10.5703125" customWidth="1" style="30" min="6" max="6"/>
    <col width="25.42578125" customWidth="1" style="30" min="7" max="7"/>
    <col width="21.42578125" customWidth="1" style="30" min="8" max="9"/>
    <col width="21.42578125" customWidth="1" style="555" min="10" max="10"/>
    <col width="22.42578125" customWidth="1" style="555" min="11" max="11"/>
    <col width="31.42578125" customWidth="1" style="555" min="12" max="12"/>
    <col width="24.5703125" customWidth="1" style="553" min="13" max="13"/>
    <col width="24.5703125" customWidth="1" style="589" min="14" max="14"/>
    <col width="21.5703125" customWidth="1" style="30" min="15" max="16"/>
    <col width="35.42578125" customWidth="1" style="30" min="17" max="17"/>
    <col width="21.5703125" customWidth="1" style="30" min="18" max="18"/>
    <col width="21.5703125" customWidth="1" style="590" min="19" max="19"/>
    <col hidden="1" width="47.5703125" customWidth="1" style="30" min="20" max="20"/>
    <col width="47.5703125" customWidth="1" style="30" min="21" max="16384"/>
  </cols>
  <sheetData>
    <row r="1" ht="18" customHeight="1">
      <c r="J1" s="100" t="n"/>
      <c r="K1" s="30" t="n"/>
      <c r="L1" s="30" t="n"/>
      <c r="M1" s="30" t="n"/>
      <c r="N1" s="30" t="n"/>
      <c r="O1" s="100" t="n"/>
      <c r="S1" s="30" t="n"/>
    </row>
    <row r="2">
      <c r="J2" s="555" t="n"/>
      <c r="K2" s="555" t="n"/>
      <c r="L2" s="555" t="n"/>
      <c r="M2" s="30" t="n"/>
      <c r="N2" s="30" t="n"/>
      <c r="S2" s="30" t="n"/>
    </row>
    <row r="3">
      <c r="J3" s="555" t="n"/>
      <c r="K3" s="555" t="n"/>
      <c r="L3" s="555" t="n"/>
      <c r="M3" s="30" t="n"/>
      <c r="N3" s="30" t="n"/>
      <c r="S3" s="30" t="n"/>
    </row>
    <row r="4">
      <c r="J4" s="555" t="n"/>
      <c r="K4" s="555" t="n"/>
      <c r="L4" s="555" t="n"/>
      <c r="M4" s="30" t="n"/>
      <c r="N4" s="30" t="n"/>
      <c r="S4" s="30" t="n"/>
    </row>
    <row r="5">
      <c r="J5" s="555" t="n"/>
      <c r="K5" s="555" t="n"/>
      <c r="L5" s="555" t="n"/>
      <c r="M5" s="30" t="n"/>
      <c r="N5" s="30" t="n"/>
      <c r="S5" s="30" t="n"/>
    </row>
    <row r="6">
      <c r="J6" s="555" t="n"/>
      <c r="K6" s="555" t="n"/>
      <c r="L6" s="555" t="n"/>
      <c r="M6" s="30" t="n"/>
      <c r="N6" s="30" t="n"/>
      <c r="S6" s="30" t="n"/>
    </row>
    <row r="7">
      <c r="J7" s="555" t="n"/>
      <c r="K7" s="555" t="n"/>
      <c r="L7" s="555" t="n"/>
      <c r="M7" s="30" t="n"/>
      <c r="N7" s="30" t="n"/>
      <c r="S7" s="30" t="n"/>
    </row>
    <row r="8">
      <c r="J8" s="555" t="n"/>
      <c r="K8" s="555" t="n"/>
      <c r="L8" s="555" t="n"/>
      <c r="M8" s="30" t="n"/>
      <c r="N8" s="30" t="n"/>
      <c r="S8" s="30" t="n"/>
    </row>
    <row r="9" ht="15.75" customHeight="1">
      <c r="B9" s="498" t="inlineStr">
        <is>
          <t>Entity Name</t>
        </is>
      </c>
      <c r="C9" s="743">
        <f>IF([1]Segment_map!$D$4=0,"THE COMPANY HAS NOT BEEN PICKED",[1]Segment_map!$D$4)</f>
        <v/>
      </c>
      <c r="J9" s="555" t="n"/>
      <c r="K9" s="555" t="n"/>
      <c r="L9" s="555" t="n"/>
      <c r="M9" s="30" t="n"/>
      <c r="N9" s="30" t="n"/>
      <c r="S9" s="30" t="n"/>
    </row>
    <row r="10" ht="15.75" customHeight="1">
      <c r="B10" s="498" t="inlineStr">
        <is>
          <t>Currency</t>
        </is>
      </c>
      <c r="C10" s="744">
        <f>IF([1]Segment_map!$J$4="","CURRENCY HAS NOT BEEN PICKED",[1]Segment_map!$J$4)</f>
        <v/>
      </c>
      <c r="D10" s="21" t="n"/>
      <c r="J10" s="30" t="n"/>
      <c r="K10" s="30" t="n"/>
      <c r="L10" s="30" t="n"/>
      <c r="M10" s="30" t="n"/>
      <c r="N10" s="30" t="n"/>
      <c r="S10" s="30" t="n"/>
    </row>
    <row r="11" ht="14.25" customHeight="1">
      <c r="B11" s="501" t="n"/>
      <c r="D11" s="24">
        <f>"! Please, enter amounts in thousands " &amp;C10</f>
        <v/>
      </c>
      <c r="J11" s="906" t="inlineStr">
        <is>
          <t>Month</t>
        </is>
      </c>
      <c r="K11" s="861" t="n"/>
      <c r="L11" s="861" t="n"/>
      <c r="M11" s="861" t="n"/>
      <c r="N11" s="862" t="n"/>
      <c r="O11" s="812" t="inlineStr">
        <is>
          <t>Cumulative</t>
        </is>
      </c>
      <c r="P11" s="861" t="n"/>
      <c r="Q11" s="861" t="n"/>
      <c r="R11" s="861" t="n"/>
      <c r="S11" s="556" t="n"/>
    </row>
    <row r="12" ht="41.25" customHeight="1">
      <c r="A12" s="815" t="inlineStr">
        <is>
          <t>Code</t>
        </is>
      </c>
      <c r="B12" s="808" t="inlineStr">
        <is>
          <t>Segment</t>
        </is>
      </c>
      <c r="C12" s="783" t="inlineStr">
        <is>
          <t>Project Name</t>
        </is>
      </c>
      <c r="D12" s="907" t="inlineStr">
        <is>
          <t>Project description</t>
        </is>
      </c>
      <c r="E12" s="783" t="inlineStr">
        <is>
          <t>Units of measurement</t>
        </is>
      </c>
      <c r="F12" s="818" t="inlineStr">
        <is>
          <t>+/-</t>
        </is>
      </c>
      <c r="G12" s="783" t="inlineStr">
        <is>
          <t>Total budget of whole project</t>
        </is>
      </c>
      <c r="H12" s="783" t="inlineStr">
        <is>
          <t>Overall actual project financing from the start date till reporting date</t>
        </is>
      </c>
      <c r="I12" s="783" t="inlineStr">
        <is>
          <t>Planned project financing from the start date till reporting date</t>
        </is>
      </c>
      <c r="J12" s="908" t="inlineStr">
        <is>
          <t>Reporting period actual financing</t>
        </is>
      </c>
      <c r="K12" s="804" t="inlineStr">
        <is>
          <t>Reporting period planned financing</t>
        </is>
      </c>
      <c r="L12" s="899" t="inlineStr">
        <is>
          <t>Deviations actual to plan of current period</t>
        </is>
      </c>
      <c r="M12" s="900" t="n"/>
      <c r="N12" s="901" t="n"/>
      <c r="O12" s="806" t="inlineStr">
        <is>
          <t>Reporting period actual financing</t>
        </is>
      </c>
      <c r="P12" s="808" t="inlineStr">
        <is>
          <t>Reporting period planned financing</t>
        </is>
      </c>
      <c r="Q12" s="796" t="inlineStr">
        <is>
          <t>Deviations actual to plan of current period</t>
        </is>
      </c>
    </row>
    <row r="13" ht="145.5" customHeight="1">
      <c r="A13" s="909" t="n"/>
      <c r="B13" s="865" t="n"/>
      <c r="C13" s="902" t="n"/>
      <c r="D13" s="865" t="n"/>
      <c r="E13" s="902" t="n"/>
      <c r="F13" s="909" t="n"/>
      <c r="G13" s="902" t="n"/>
      <c r="H13" s="902" t="n"/>
      <c r="I13" s="902" t="n"/>
      <c r="J13" s="874" t="n"/>
      <c r="K13" s="875" t="n"/>
      <c r="L13" s="291" t="inlineStr">
        <is>
          <t>Deviation from current period plan in absolute</t>
        </is>
      </c>
      <c r="M13" s="291" t="n"/>
      <c r="N13" s="291" t="inlineStr">
        <is>
          <t>Comment to deviation from current period plan</t>
        </is>
      </c>
      <c r="O13" s="902" t="n"/>
      <c r="P13" s="865" t="n"/>
      <c r="Q13" s="722" t="inlineStr">
        <is>
          <t>Deviation from current period plan in absolute</t>
        </is>
      </c>
      <c r="R13" s="509" t="n"/>
      <c r="S13" s="509" t="inlineStr">
        <is>
          <t>Comment to deviation from current period plan</t>
        </is>
      </c>
    </row>
    <row r="14" ht="18" customHeight="1">
      <c r="A14" s="510" t="n"/>
      <c r="B14" s="510" t="n"/>
      <c r="C14" s="510" t="n"/>
      <c r="D14" s="510" t="n"/>
      <c r="E14" s="510" t="n"/>
      <c r="F14" s="510" t="n"/>
      <c r="G14" s="558" t="n"/>
      <c r="H14" s="558" t="n"/>
      <c r="I14" s="558" t="n"/>
      <c r="J14" s="798">
        <f>'[1]P&amp;L'!E9</f>
        <v/>
      </c>
      <c r="K14" s="865" t="n"/>
      <c r="L14" s="865" t="n"/>
      <c r="M14" s="865" t="n"/>
      <c r="N14" s="865" t="n"/>
      <c r="O14" s="781">
        <f>'[1]P&amp;L'!P9</f>
        <v/>
      </c>
    </row>
    <row r="15" customFormat="1" s="561">
      <c r="A15" s="559" t="n">
        <v>1</v>
      </c>
      <c r="B15" s="559">
        <f>A15+1</f>
        <v/>
      </c>
      <c r="C15" s="559">
        <f>B15+1</f>
        <v/>
      </c>
      <c r="D15" s="559">
        <f>C15+1</f>
        <v/>
      </c>
      <c r="E15" s="559">
        <f>D15+1</f>
        <v/>
      </c>
      <c r="F15" s="559">
        <f>E15+1</f>
        <v/>
      </c>
      <c r="G15" s="559">
        <f>F15+1</f>
        <v/>
      </c>
      <c r="H15" s="559">
        <f>G15+1</f>
        <v/>
      </c>
      <c r="I15" s="559">
        <f>H15+1</f>
        <v/>
      </c>
      <c r="J15" s="559">
        <f>I15+1</f>
        <v/>
      </c>
      <c r="K15" s="559">
        <f>J15+1</f>
        <v/>
      </c>
      <c r="L15" s="559">
        <f>K15+1</f>
        <v/>
      </c>
      <c r="M15" s="559">
        <f>L15+1</f>
        <v/>
      </c>
      <c r="N15" s="559">
        <f>M15+1</f>
        <v/>
      </c>
      <c r="O15" s="559">
        <f>N15+1</f>
        <v/>
      </c>
      <c r="P15" s="559">
        <f>O15+1</f>
        <v/>
      </c>
      <c r="Q15" s="559">
        <f>P15+1</f>
        <v/>
      </c>
      <c r="R15" s="559">
        <f>Q15+1</f>
        <v/>
      </c>
      <c r="S15" s="559">
        <f>R15+1</f>
        <v/>
      </c>
      <c r="T15" s="560" t="n"/>
    </row>
    <row r="16">
      <c r="A16" s="515" t="n"/>
      <c r="B16" s="562">
        <f t="array" ref="B16:B254">'[1]CAPEX&amp;INVESTMENT'!B16:B256</f>
        <v/>
      </c>
      <c r="C16" s="562">
        <f t="array" ref="C16:C254">'[1]CAPEX&amp;INVESTMENT'!C16:C256</f>
        <v/>
      </c>
      <c r="D16" s="562">
        <f t="array" ref="D16:D254">'[1]CAPEX&amp;INVESTMENT'!D16:D256</f>
        <v/>
      </c>
      <c r="E16" s="573">
        <f t="array" ref="E16:E254">'[1]CAPEX&amp;INVESTMENT'!E16:E256</f>
        <v/>
      </c>
      <c r="F16" s="518" t="inlineStr">
        <is>
          <t>+</t>
        </is>
      </c>
      <c r="G16" s="910">
        <f t="array" ref="G16:G254">'[1]CAPEX&amp;INVESTMENT'!L16:L256</f>
        <v/>
      </c>
      <c r="H16" s="576">
        <f t="array" ref="H16">SUMPRODUCT(--(($B17:$B$255)=$B16),--(_xlfn.ISFORMULA(H17:H$255)=TRUE),H17:H$255)</f>
        <v/>
      </c>
      <c r="I16" s="576">
        <f t="array" ref="I16">SUMPRODUCT(--(($B17:$B$255)=$B16),--(_xlfn.ISFORMULA(I17:I$255)=TRUE),I17:I$255)</f>
        <v/>
      </c>
      <c r="J16" s="576">
        <f t="array" ref="J16">SUMPRODUCT(--(($B17:$B$255)=$B16),--(_xlfn.ISFORMULA(J17:J$255)=TRUE),J17:J$255)</f>
        <v/>
      </c>
      <c r="K16" s="576">
        <f t="array" ref="K16">SUMPRODUCT(--(($B17:$B$255)=$B16),--(_xlfn.ISFORMULA(K17:K$255)=TRUE),K17:K$255)</f>
        <v/>
      </c>
      <c r="L16" s="577">
        <f t="array" ref="L16:L254">IFERROR(J16:J254-K16:K254,"N/A")</f>
        <v/>
      </c>
      <c r="M16" s="580">
        <f t="array" ref="M16:M254">IFERROR((J16:J254-K16:K254)/ABS(K16:K254),"N/A")</f>
        <v/>
      </c>
      <c r="N16" s="583" t="n"/>
      <c r="O16" s="576">
        <f t="array" ref="O16">SUMPRODUCT(--(($B17:$B$255)=$B16),--(_xlfn.ISFORMULA(O17:O$255)=TRUE),O17:O$255)</f>
        <v/>
      </c>
      <c r="P16" s="576">
        <f t="array" ref="P16">SUMPRODUCT(--(($B17:$B$255)=$B16),--(_xlfn.ISFORMULA(P17:P$255)=TRUE),P17:P$255)</f>
        <v/>
      </c>
      <c r="Q16" s="584">
        <f t="array" ref="Q16:Q254">IFERROR(O16:O257-P16:P257,"N/A")</f>
        <v/>
      </c>
      <c r="R16" s="585">
        <f t="array" ref="R16:R254">IFERROR((O16:O254-P16:P254)/ABS(P16:P254),"N/A")</f>
        <v/>
      </c>
      <c r="S16" s="583" t="n"/>
      <c r="T16" s="30">
        <f>'[1]CAPEX&amp;INVESTMENT'!Y16</f>
        <v/>
      </c>
    </row>
    <row r="17" outlineLevel="1">
      <c r="A17" s="515" t="n"/>
      <c r="B17" s="563" t="inlineStr">
        <is>
          <t>Upstream</t>
        </is>
      </c>
      <c r="C17" s="565" t="inlineStr">
        <is>
          <t xml:space="preserve">All production drilling projects </t>
        </is>
      </c>
      <c r="D17" s="911" t="n"/>
      <c r="E17" s="518" t="inlineStr">
        <is>
          <t>thsd</t>
        </is>
      </c>
      <c r="F17" s="518" t="inlineStr">
        <is>
          <t>+</t>
        </is>
      </c>
      <c r="G17" s="575" t="n">
        <v>0</v>
      </c>
      <c r="H17" s="588">
        <f>SUM(INDIRECT(CHAR(COLUMN()+64)&amp;ROW(H18)&amp;":"&amp;IF(_xlfn.ISFORMULA(INDIRECT((ADDRESS(ROW()-1+MATCH(1,$T18:$T$259,0),COLUMN(),1,1)))),(ADDRESS(ROW()-2+MATCH(1,$T18:$T$259,0),COLUMN(),1,1)),(ADDRESS(ROW()-1+MATCH(1,$T18:$T$259,0),COLUMN(),1,1)))))</f>
        <v/>
      </c>
      <c r="I17" s="588">
        <f>SUM(INDIRECT(CHAR(COLUMN()+64)&amp;ROW(I18)&amp;":"&amp;IF(_xlfn.ISFORMULA(INDIRECT((ADDRESS(ROW()-1+MATCH(1,$T18:$T$259,0),COLUMN(),1,1)))),(ADDRESS(ROW()-2+MATCH(1,$T18:$T$259,0),COLUMN(),1,1)),(ADDRESS(ROW()-1+MATCH(1,$T18:$T$259,0),COLUMN(),1,1)))))</f>
        <v/>
      </c>
      <c r="J17" s="588">
        <f>SUM(INDIRECT(CHAR(COLUMN()+64)&amp;ROW(J18)&amp;":"&amp;IF(_xlfn.ISFORMULA(INDIRECT((ADDRESS(ROW()-1+MATCH(1,$T18:$T$259,0),COLUMN(),1,1)))),(ADDRESS(ROW()-2+MATCH(1,$T18:$T$259,0),COLUMN(),1,1)),(ADDRESS(ROW()-1+MATCH(1,$T18:$T$259,0),COLUMN(),1,1)))))</f>
        <v/>
      </c>
      <c r="K17" s="588">
        <f>SUM(INDIRECT(CHAR(COLUMN()+64)&amp;ROW(K18)&amp;":"&amp;IF(_xlfn.ISFORMULA(INDIRECT((ADDRESS(ROW()-1+MATCH(1,$T18:$T$259,0),COLUMN(),1,1)))),(ADDRESS(ROW()-2+MATCH(1,$T18:$T$259,0),COLUMN(),1,1)),(ADDRESS(ROW()-1+MATCH(1,$T18:$T$259,0),COLUMN(),1,1)))))</f>
        <v/>
      </c>
      <c r="L17" s="578">
        <f/>
        <v/>
      </c>
      <c r="M17" s="581">
        <f/>
        <v/>
      </c>
      <c r="N17" s="583" t="n"/>
      <c r="O17" s="588">
        <f>SUM(INDIRECT(CHAR(COLUMN()+64)&amp;ROW(O18)&amp;":"&amp;IF(_xlfn.ISFORMULA(INDIRECT((ADDRESS(ROW()-1+MATCH(1,$T18:$T$259,0),COLUMN(),1,1)))),(ADDRESS(ROW()-2+MATCH(1,$T18:$T$259,0),COLUMN(),1,1)),(ADDRESS(ROW()-1+MATCH(1,$T18:$T$259,0),COLUMN(),1,1)))))</f>
        <v/>
      </c>
      <c r="P17" s="588">
        <f>SUM(INDIRECT(CHAR(COLUMN()+64)&amp;ROW(P18)&amp;":"&amp;IF(_xlfn.ISFORMULA(INDIRECT((ADDRESS(ROW()-1+MATCH(1,$T18:$T$259,0),COLUMN(),1,1)))),(ADDRESS(ROW()-2+MATCH(1,$T18:$T$259,0),COLUMN(),1,1)),(ADDRESS(ROW()-1+MATCH(1,$T18:$T$259,0),COLUMN(),1,1)))))</f>
        <v/>
      </c>
      <c r="Q17" s="578">
        <f/>
        <v/>
      </c>
      <c r="R17" s="581">
        <f/>
        <v/>
      </c>
      <c r="S17" s="583" t="n"/>
      <c r="T17" s="30">
        <f>'[1]CAPEX&amp;INVESTMENT'!Y17</f>
        <v/>
      </c>
    </row>
    <row r="18" outlineLevel="1">
      <c r="A18" s="515" t="n"/>
      <c r="B18" s="563" t="inlineStr">
        <is>
          <t>Upstream</t>
        </is>
      </c>
      <c r="C18" s="539" t="inlineStr">
        <is>
          <t>[Input of the project name]</t>
        </is>
      </c>
      <c r="D18" s="912" t="inlineStr">
        <is>
          <t>[input: brief description of the project, including:</t>
        </is>
      </c>
      <c r="E18" s="518" t="inlineStr">
        <is>
          <t>thsd</t>
        </is>
      </c>
      <c r="F18" s="518" t="inlineStr">
        <is>
          <t>+</t>
        </is>
      </c>
      <c r="G18" s="576" t="n">
        <v>0</v>
      </c>
      <c r="H18" s="587" t="n"/>
      <c r="I18" s="587" t="n"/>
      <c r="J18" s="587" t="n"/>
      <c r="K18" s="587" t="n"/>
      <c r="L18" s="578" t="n">
        <v>0</v>
      </c>
      <c r="M18" s="581" t="inlineStr">
        <is>
          <t>N/A</t>
        </is>
      </c>
      <c r="N18" s="583" t="n"/>
      <c r="O18" s="587" t="n"/>
      <c r="P18" s="587" t="n"/>
      <c r="Q18" s="578" t="n">
        <v>0</v>
      </c>
      <c r="R18" s="581" t="inlineStr">
        <is>
          <t>N/A</t>
        </is>
      </c>
      <c r="S18" s="583" t="inlineStr">
        <is>
          <t>The deviation in cash payments for CAPEX is attributed to the same factors, namely intermediate projects, which include both facilities planned and approved for 2023, as well as facilities carried over from 2022. These projects have contributed to variations in the timing and amount of cash payments for capital expenditures compared to the initial projections</t>
        </is>
      </c>
      <c r="T18" s="30">
        <f>'[1]CAPEX&amp;INVESTMENT'!Y18</f>
        <v/>
      </c>
    </row>
    <row r="19" outlineLevel="1">
      <c r="A19" s="515" t="n"/>
      <c r="B19" s="563" t="inlineStr">
        <is>
          <t>Upstream</t>
        </is>
      </c>
      <c r="C19" s="539" t="inlineStr">
        <is>
          <t>[Input of the project name]</t>
        </is>
      </c>
      <c r="D19" s="912" t="inlineStr">
        <is>
          <t>[input: brief description of the project, including:</t>
        </is>
      </c>
      <c r="E19" s="518" t="inlineStr">
        <is>
          <t>thsd</t>
        </is>
      </c>
      <c r="F19" s="518" t="inlineStr">
        <is>
          <t>+</t>
        </is>
      </c>
      <c r="G19" s="576" t="n">
        <v>0</v>
      </c>
      <c r="H19" s="587" t="n"/>
      <c r="I19" s="587" t="n"/>
      <c r="J19" s="587" t="n"/>
      <c r="K19" s="587" t="n"/>
      <c r="L19" s="578" t="n">
        <v>0</v>
      </c>
      <c r="M19" s="581" t="inlineStr">
        <is>
          <t>N/A</t>
        </is>
      </c>
      <c r="N19" s="583" t="n"/>
      <c r="O19" s="587" t="n"/>
      <c r="P19" s="587" t="n"/>
      <c r="Q19" s="578" t="n">
        <v>0</v>
      </c>
      <c r="R19" s="581" t="inlineStr">
        <is>
          <t>N/A</t>
        </is>
      </c>
      <c r="S19" s="583" t="n"/>
      <c r="T19" s="30">
        <f>'[1]CAPEX&amp;INVESTMENT'!Y19</f>
        <v/>
      </c>
    </row>
    <row r="20" outlineLevel="1">
      <c r="A20" s="515" t="n"/>
      <c r="B20" s="563" t="inlineStr">
        <is>
          <t>Upstream</t>
        </is>
      </c>
      <c r="C20" s="539" t="inlineStr">
        <is>
          <t>[Input of the project name]</t>
        </is>
      </c>
      <c r="D20" s="912" t="inlineStr">
        <is>
          <t>[input: brief description of the project, including:</t>
        </is>
      </c>
      <c r="E20" s="518" t="inlineStr">
        <is>
          <t>thsd</t>
        </is>
      </c>
      <c r="F20" s="518" t="inlineStr">
        <is>
          <t>+</t>
        </is>
      </c>
      <c r="G20" s="576" t="n">
        <v>0</v>
      </c>
      <c r="H20" s="587" t="n"/>
      <c r="I20" s="587" t="n"/>
      <c r="J20" s="587" t="n"/>
      <c r="K20" s="587" t="n"/>
      <c r="L20" s="578" t="n">
        <v>0</v>
      </c>
      <c r="M20" s="581" t="inlineStr">
        <is>
          <t>N/A</t>
        </is>
      </c>
      <c r="N20" s="583" t="n"/>
      <c r="O20" s="587" t="n"/>
      <c r="P20" s="587" t="n"/>
      <c r="Q20" s="578" t="n">
        <v>0</v>
      </c>
      <c r="R20" s="581" t="inlineStr">
        <is>
          <t>N/A</t>
        </is>
      </c>
      <c r="S20" s="583" t="n"/>
      <c r="T20" s="30">
        <f>'[1]CAPEX&amp;INVESTMENT'!Y20</f>
        <v/>
      </c>
    </row>
    <row r="21" outlineLevel="1">
      <c r="A21" s="515" t="n"/>
      <c r="B21" s="563" t="inlineStr">
        <is>
          <t>Upstream</t>
        </is>
      </c>
      <c r="C21" s="539" t="inlineStr">
        <is>
          <t>[Input of the project name]</t>
        </is>
      </c>
      <c r="D21" s="912" t="inlineStr">
        <is>
          <t>[input: brief description of the project, including:</t>
        </is>
      </c>
      <c r="E21" s="518" t="inlineStr">
        <is>
          <t>thsd</t>
        </is>
      </c>
      <c r="F21" s="518" t="inlineStr">
        <is>
          <t>+</t>
        </is>
      </c>
      <c r="G21" s="576" t="n">
        <v>0</v>
      </c>
      <c r="H21" s="587" t="n"/>
      <c r="I21" s="587" t="n"/>
      <c r="J21" s="587" t="n"/>
      <c r="K21" s="587" t="n"/>
      <c r="L21" s="578" t="n">
        <v>0</v>
      </c>
      <c r="M21" s="581" t="inlineStr">
        <is>
          <t>N/A</t>
        </is>
      </c>
      <c r="N21" s="583" t="n"/>
      <c r="O21" s="587" t="n"/>
      <c r="P21" s="587" t="n"/>
      <c r="Q21" s="578" t="n">
        <v>0</v>
      </c>
      <c r="R21" s="581" t="inlineStr">
        <is>
          <t>N/A</t>
        </is>
      </c>
      <c r="S21" s="583" t="n"/>
      <c r="T21" s="30">
        <f>'[1]CAPEX&amp;INVESTMENT'!Y21</f>
        <v/>
      </c>
    </row>
    <row r="22" outlineLevel="1">
      <c r="A22" s="515" t="n"/>
      <c r="B22" s="563" t="inlineStr">
        <is>
          <t>Upstream</t>
        </is>
      </c>
      <c r="C22" s="539" t="inlineStr">
        <is>
          <t>[Input of the project name]</t>
        </is>
      </c>
      <c r="D22" s="912" t="inlineStr">
        <is>
          <t>[input: brief description of the project, including:</t>
        </is>
      </c>
      <c r="E22" s="518" t="inlineStr">
        <is>
          <t>thsd</t>
        </is>
      </c>
      <c r="F22" s="518" t="inlineStr">
        <is>
          <t>+</t>
        </is>
      </c>
      <c r="G22" s="576" t="n">
        <v>0</v>
      </c>
      <c r="H22" s="587" t="n"/>
      <c r="I22" s="587" t="n"/>
      <c r="J22" s="587" t="n"/>
      <c r="K22" s="587" t="n"/>
      <c r="L22" s="578" t="n">
        <v>0</v>
      </c>
      <c r="M22" s="581" t="inlineStr">
        <is>
          <t>N/A</t>
        </is>
      </c>
      <c r="N22" s="583" t="n"/>
      <c r="O22" s="587" t="n"/>
      <c r="P22" s="587" t="n"/>
      <c r="Q22" s="578" t="n">
        <v>0</v>
      </c>
      <c r="R22" s="581" t="inlineStr">
        <is>
          <t>N/A</t>
        </is>
      </c>
      <c r="S22" s="583" t="n"/>
      <c r="T22" s="30">
        <f>'[1]CAPEX&amp;INVESTMENT'!Y22</f>
        <v/>
      </c>
    </row>
    <row r="23" outlineLevel="1">
      <c r="A23" s="515" t="n"/>
      <c r="B23" s="563" t="inlineStr">
        <is>
          <t>Upstream</t>
        </is>
      </c>
      <c r="C23" s="539" t="inlineStr">
        <is>
          <t>[Input of the project name]</t>
        </is>
      </c>
      <c r="D23" s="912" t="inlineStr">
        <is>
          <t>[input: brief description of the project, including:</t>
        </is>
      </c>
      <c r="E23" s="518" t="inlineStr">
        <is>
          <t>thsd</t>
        </is>
      </c>
      <c r="F23" s="518" t="inlineStr">
        <is>
          <t>+</t>
        </is>
      </c>
      <c r="G23" s="576" t="n">
        <v>0</v>
      </c>
      <c r="H23" s="587" t="n"/>
      <c r="I23" s="587" t="n"/>
      <c r="J23" s="587" t="n"/>
      <c r="K23" s="587" t="n"/>
      <c r="L23" s="578" t="n">
        <v>0</v>
      </c>
      <c r="M23" s="581" t="inlineStr">
        <is>
          <t>N/A</t>
        </is>
      </c>
      <c r="N23" s="583" t="n"/>
      <c r="O23" s="587" t="n"/>
      <c r="P23" s="587" t="n"/>
      <c r="Q23" s="578" t="n">
        <v>0</v>
      </c>
      <c r="R23" s="581" t="inlineStr">
        <is>
          <t>N/A</t>
        </is>
      </c>
      <c r="S23" s="583" t="n"/>
      <c r="T23" s="30">
        <f>'[1]CAPEX&amp;INVESTMENT'!Y23</f>
        <v/>
      </c>
    </row>
    <row r="24" outlineLevel="1">
      <c r="A24" s="515" t="n"/>
      <c r="B24" s="563" t="inlineStr">
        <is>
          <t>Upstream</t>
        </is>
      </c>
      <c r="C24" s="539" t="inlineStr">
        <is>
          <t>[Input of the project name]</t>
        </is>
      </c>
      <c r="D24" s="912" t="inlineStr">
        <is>
          <t>[input: brief description of the project, including:</t>
        </is>
      </c>
      <c r="E24" s="518" t="inlineStr">
        <is>
          <t>thsd</t>
        </is>
      </c>
      <c r="F24" s="518" t="inlineStr">
        <is>
          <t>+</t>
        </is>
      </c>
      <c r="G24" s="576" t="n">
        <v>0</v>
      </c>
      <c r="H24" s="587" t="n"/>
      <c r="I24" s="587" t="n"/>
      <c r="J24" s="587" t="n"/>
      <c r="K24" s="587" t="n"/>
      <c r="L24" s="578" t="n">
        <v>0</v>
      </c>
      <c r="M24" s="581" t="inlineStr">
        <is>
          <t>N/A</t>
        </is>
      </c>
      <c r="N24" s="583" t="n"/>
      <c r="O24" s="587" t="n"/>
      <c r="P24" s="587" t="n"/>
      <c r="Q24" s="578" t="n">
        <v>0</v>
      </c>
      <c r="R24" s="581" t="inlineStr">
        <is>
          <t>N/A</t>
        </is>
      </c>
      <c r="S24" s="583" t="n"/>
      <c r="T24" s="30">
        <f>'[1]CAPEX&amp;INVESTMENT'!Y24</f>
        <v/>
      </c>
    </row>
    <row r="25" outlineLevel="1">
      <c r="A25" s="515" t="n"/>
      <c r="B25" s="563" t="inlineStr">
        <is>
          <t>Upstream</t>
        </is>
      </c>
      <c r="C25" s="539" t="inlineStr">
        <is>
          <t>[Input of the project name]</t>
        </is>
      </c>
      <c r="D25" s="912" t="inlineStr">
        <is>
          <t>[input: brief description of the project, including:</t>
        </is>
      </c>
      <c r="E25" s="518" t="inlineStr">
        <is>
          <t>thsd</t>
        </is>
      </c>
      <c r="F25" s="518" t="inlineStr">
        <is>
          <t>+</t>
        </is>
      </c>
      <c r="G25" s="576" t="n">
        <v>0</v>
      </c>
      <c r="H25" s="587" t="n"/>
      <c r="I25" s="587" t="n"/>
      <c r="J25" s="587" t="n"/>
      <c r="K25" s="587" t="n"/>
      <c r="L25" s="578" t="n">
        <v>0</v>
      </c>
      <c r="M25" s="581" t="inlineStr">
        <is>
          <t>N/A</t>
        </is>
      </c>
      <c r="N25" s="583" t="n"/>
      <c r="O25" s="587" t="n"/>
      <c r="P25" s="587" t="n"/>
      <c r="Q25" s="578" t="n">
        <v>0</v>
      </c>
      <c r="R25" s="581" t="inlineStr">
        <is>
          <t>N/A</t>
        </is>
      </c>
      <c r="S25" s="583" t="n"/>
      <c r="T25" s="30">
        <f>'[1]CAPEX&amp;INVESTMENT'!Y25</f>
        <v/>
      </c>
    </row>
    <row r="26" outlineLevel="1">
      <c r="A26" s="515" t="n"/>
      <c r="B26" s="563" t="inlineStr">
        <is>
          <t>Upstream</t>
        </is>
      </c>
      <c r="C26" s="539" t="inlineStr">
        <is>
          <t>[Input of the project name]</t>
        </is>
      </c>
      <c r="D26" s="912" t="inlineStr">
        <is>
          <t>[input: brief description of the project, including:</t>
        </is>
      </c>
      <c r="E26" s="518" t="inlineStr">
        <is>
          <t>thsd</t>
        </is>
      </c>
      <c r="F26" s="518" t="inlineStr">
        <is>
          <t>+</t>
        </is>
      </c>
      <c r="G26" s="576" t="n">
        <v>0</v>
      </c>
      <c r="H26" s="587" t="n"/>
      <c r="I26" s="587" t="n"/>
      <c r="J26" s="587" t="n"/>
      <c r="K26" s="587" t="n"/>
      <c r="L26" s="578" t="n">
        <v>0</v>
      </c>
      <c r="M26" s="581" t="inlineStr">
        <is>
          <t>N/A</t>
        </is>
      </c>
      <c r="N26" s="583" t="n"/>
      <c r="O26" s="587" t="n"/>
      <c r="P26" s="587" t="n"/>
      <c r="Q26" s="578" t="n">
        <v>0</v>
      </c>
      <c r="R26" s="581" t="inlineStr">
        <is>
          <t>N/A</t>
        </is>
      </c>
      <c r="S26" s="583" t="n"/>
      <c r="T26" s="30">
        <f>'[1]CAPEX&amp;INVESTMENT'!Y26</f>
        <v/>
      </c>
    </row>
    <row r="27" outlineLevel="1">
      <c r="A27" s="515" t="n"/>
      <c r="B27" s="563" t="inlineStr">
        <is>
          <t>Upstream</t>
        </is>
      </c>
      <c r="C27" s="539" t="inlineStr">
        <is>
          <t>[Input of the project name]</t>
        </is>
      </c>
      <c r="D27" s="912" t="inlineStr">
        <is>
          <t>[input: brief description of the project, including:</t>
        </is>
      </c>
      <c r="E27" s="518" t="inlineStr">
        <is>
          <t>thsd</t>
        </is>
      </c>
      <c r="F27" s="518" t="inlineStr">
        <is>
          <t>+</t>
        </is>
      </c>
      <c r="G27" s="576" t="n">
        <v>0</v>
      </c>
      <c r="H27" s="587" t="n"/>
      <c r="I27" s="587" t="n"/>
      <c r="J27" s="587" t="n"/>
      <c r="K27" s="587" t="n"/>
      <c r="L27" s="578" t="n">
        <v>0</v>
      </c>
      <c r="M27" s="581" t="inlineStr">
        <is>
          <t>N/A</t>
        </is>
      </c>
      <c r="N27" s="583" t="n"/>
      <c r="O27" s="587" t="n"/>
      <c r="P27" s="587" t="n"/>
      <c r="Q27" s="578" t="n">
        <v>0</v>
      </c>
      <c r="R27" s="581" t="inlineStr">
        <is>
          <t>N/A</t>
        </is>
      </c>
      <c r="S27" s="583" t="n"/>
      <c r="T27" s="30">
        <f>'[1]CAPEX&amp;INVESTMENT'!Y27</f>
        <v/>
      </c>
    </row>
    <row r="28" outlineLevel="1">
      <c r="A28" s="515" t="n"/>
      <c r="B28" s="563" t="inlineStr">
        <is>
          <t>Upstream</t>
        </is>
      </c>
      <c r="C28" s="539" t="inlineStr">
        <is>
          <t>[Input of the project name]</t>
        </is>
      </c>
      <c r="D28" s="912" t="inlineStr">
        <is>
          <t>[input: brief description of the project, including:</t>
        </is>
      </c>
      <c r="E28" s="518" t="inlineStr">
        <is>
          <t>thsd</t>
        </is>
      </c>
      <c r="F28" s="518" t="inlineStr">
        <is>
          <t>+</t>
        </is>
      </c>
      <c r="G28" s="576" t="n">
        <v>0</v>
      </c>
      <c r="H28" s="587" t="n"/>
      <c r="I28" s="587" t="n"/>
      <c r="J28" s="587" t="n"/>
      <c r="K28" s="587" t="n"/>
      <c r="L28" s="578" t="n">
        <v>0</v>
      </c>
      <c r="M28" s="581" t="inlineStr">
        <is>
          <t>N/A</t>
        </is>
      </c>
      <c r="N28" s="583" t="n"/>
      <c r="O28" s="587" t="n"/>
      <c r="P28" s="587" t="n"/>
      <c r="Q28" s="578" t="n">
        <v>0</v>
      </c>
      <c r="R28" s="581" t="inlineStr">
        <is>
          <t>N/A</t>
        </is>
      </c>
      <c r="S28" s="583" t="n"/>
      <c r="T28" s="30">
        <f>'[1]CAPEX&amp;INVESTMENT'!Y28</f>
        <v/>
      </c>
    </row>
    <row r="29" outlineLevel="1">
      <c r="A29" s="515" t="n"/>
      <c r="B29" s="563" t="inlineStr">
        <is>
          <t>Upstream</t>
        </is>
      </c>
      <c r="C29" s="539" t="inlineStr">
        <is>
          <t>[Input of the project name]</t>
        </is>
      </c>
      <c r="D29" s="912" t="inlineStr">
        <is>
          <t>[input: brief description of the project, including:</t>
        </is>
      </c>
      <c r="E29" s="518" t="inlineStr">
        <is>
          <t>thsd</t>
        </is>
      </c>
      <c r="F29" s="518" t="inlineStr">
        <is>
          <t>+</t>
        </is>
      </c>
      <c r="G29" s="576" t="n">
        <v>0</v>
      </c>
      <c r="H29" s="587" t="n"/>
      <c r="I29" s="587" t="n"/>
      <c r="J29" s="587" t="n"/>
      <c r="K29" s="587" t="n"/>
      <c r="L29" s="578" t="n">
        <v>0</v>
      </c>
      <c r="M29" s="581" t="inlineStr">
        <is>
          <t>N/A</t>
        </is>
      </c>
      <c r="N29" s="583" t="n"/>
      <c r="O29" s="587" t="n"/>
      <c r="P29" s="587" t="n"/>
      <c r="Q29" s="578" t="n">
        <v>0</v>
      </c>
      <c r="R29" s="581" t="inlineStr">
        <is>
          <t>N/A</t>
        </is>
      </c>
      <c r="S29" s="583" t="n"/>
      <c r="T29" s="30">
        <f>'[1]CAPEX&amp;INVESTMENT'!Y29</f>
        <v/>
      </c>
    </row>
    <row r="30" outlineLevel="1">
      <c r="A30" s="515" t="n"/>
      <c r="B30" s="563" t="inlineStr">
        <is>
          <t>Upstream</t>
        </is>
      </c>
      <c r="C30" s="539" t="inlineStr">
        <is>
          <t>[Input of the project name]</t>
        </is>
      </c>
      <c r="D30" s="912" t="inlineStr">
        <is>
          <t>[input: brief description of the project, including:</t>
        </is>
      </c>
      <c r="E30" s="518" t="inlineStr">
        <is>
          <t>thsd</t>
        </is>
      </c>
      <c r="F30" s="518" t="inlineStr">
        <is>
          <t>+</t>
        </is>
      </c>
      <c r="G30" s="576" t="n">
        <v>0</v>
      </c>
      <c r="H30" s="587" t="n"/>
      <c r="I30" s="587" t="n"/>
      <c r="J30" s="587" t="n"/>
      <c r="K30" s="587" t="n"/>
      <c r="L30" s="578" t="n">
        <v>0</v>
      </c>
      <c r="M30" s="581" t="inlineStr">
        <is>
          <t>N/A</t>
        </is>
      </c>
      <c r="N30" s="583" t="n"/>
      <c r="O30" s="587" t="n"/>
      <c r="P30" s="587" t="n"/>
      <c r="Q30" s="578" t="n">
        <v>0</v>
      </c>
      <c r="R30" s="581" t="inlineStr">
        <is>
          <t>N/A</t>
        </is>
      </c>
      <c r="S30" s="583" t="n"/>
      <c r="T30" s="30">
        <f>'[1]CAPEX&amp;INVESTMENT'!Y30</f>
        <v/>
      </c>
    </row>
    <row r="31" outlineLevel="1">
      <c r="A31" s="515" t="n"/>
      <c r="B31" s="563" t="inlineStr">
        <is>
          <t>Upstream</t>
        </is>
      </c>
      <c r="C31" s="539" t="inlineStr">
        <is>
          <t>[Input of the project name]</t>
        </is>
      </c>
      <c r="D31" s="912" t="inlineStr">
        <is>
          <t>[input: brief description of the project, including:</t>
        </is>
      </c>
      <c r="E31" s="518" t="inlineStr">
        <is>
          <t>thsd</t>
        </is>
      </c>
      <c r="F31" s="518" t="inlineStr">
        <is>
          <t>+</t>
        </is>
      </c>
      <c r="G31" s="576" t="n">
        <v>0</v>
      </c>
      <c r="H31" s="587" t="n"/>
      <c r="I31" s="587" t="n"/>
      <c r="J31" s="587" t="n"/>
      <c r="K31" s="587" t="n"/>
      <c r="L31" s="578" t="n">
        <v>0</v>
      </c>
      <c r="M31" s="581" t="inlineStr">
        <is>
          <t>N/A</t>
        </is>
      </c>
      <c r="N31" s="583" t="n"/>
      <c r="O31" s="587" t="n"/>
      <c r="P31" s="587" t="n"/>
      <c r="Q31" s="578" t="n">
        <v>0</v>
      </c>
      <c r="R31" s="581" t="inlineStr">
        <is>
          <t>N/A</t>
        </is>
      </c>
      <c r="S31" s="583" t="n"/>
      <c r="T31" s="30">
        <f>'[1]CAPEX&amp;INVESTMENT'!Y31</f>
        <v/>
      </c>
    </row>
    <row r="32" outlineLevel="1">
      <c r="A32" s="515" t="n"/>
      <c r="B32" s="563" t="inlineStr">
        <is>
          <t>Upstream</t>
        </is>
      </c>
      <c r="C32" s="539" t="inlineStr">
        <is>
          <t>[Input of the project name]</t>
        </is>
      </c>
      <c r="D32" s="912" t="inlineStr">
        <is>
          <t>[input: brief description of the project, including:</t>
        </is>
      </c>
      <c r="E32" s="518" t="inlineStr">
        <is>
          <t>thsd</t>
        </is>
      </c>
      <c r="F32" s="518" t="inlineStr">
        <is>
          <t>+</t>
        </is>
      </c>
      <c r="G32" s="576" t="n">
        <v>0</v>
      </c>
      <c r="H32" s="587" t="n"/>
      <c r="I32" s="587" t="n"/>
      <c r="J32" s="587" t="n"/>
      <c r="K32" s="587" t="n"/>
      <c r="L32" s="578" t="n">
        <v>0</v>
      </c>
      <c r="M32" s="581" t="inlineStr">
        <is>
          <t>N/A</t>
        </is>
      </c>
      <c r="N32" s="583" t="n"/>
      <c r="O32" s="587" t="n"/>
      <c r="P32" s="587" t="n"/>
      <c r="Q32" s="578" t="n">
        <v>0</v>
      </c>
      <c r="R32" s="581" t="inlineStr">
        <is>
          <t>N/A</t>
        </is>
      </c>
      <c r="S32" s="583" t="n"/>
      <c r="T32" s="30">
        <f>'[1]CAPEX&amp;INVESTMENT'!Y32</f>
        <v/>
      </c>
    </row>
    <row r="33" outlineLevel="1">
      <c r="A33" s="515" t="n"/>
      <c r="B33" s="563" t="inlineStr">
        <is>
          <t>Upstream</t>
        </is>
      </c>
      <c r="C33" s="539" t="inlineStr">
        <is>
          <t>[Input of the project name]</t>
        </is>
      </c>
      <c r="D33" s="912" t="inlineStr">
        <is>
          <t>[input: brief description of the project, including:</t>
        </is>
      </c>
      <c r="E33" s="518" t="inlineStr">
        <is>
          <t>thsd</t>
        </is>
      </c>
      <c r="F33" s="518" t="inlineStr">
        <is>
          <t>+</t>
        </is>
      </c>
      <c r="G33" s="576" t="n">
        <v>0</v>
      </c>
      <c r="H33" s="587" t="n"/>
      <c r="I33" s="587" t="n"/>
      <c r="J33" s="587" t="n"/>
      <c r="K33" s="587" t="n"/>
      <c r="L33" s="578" t="n">
        <v>0</v>
      </c>
      <c r="M33" s="581" t="inlineStr">
        <is>
          <t>N/A</t>
        </is>
      </c>
      <c r="N33" s="583" t="n"/>
      <c r="O33" s="587" t="n"/>
      <c r="P33" s="587" t="n"/>
      <c r="Q33" s="578" t="n">
        <v>0</v>
      </c>
      <c r="R33" s="581" t="inlineStr">
        <is>
          <t>N/A</t>
        </is>
      </c>
      <c r="S33" s="583" t="n"/>
      <c r="T33" s="30">
        <f>'[1]CAPEX&amp;INVESTMENT'!Y33</f>
        <v/>
      </c>
    </row>
    <row r="34" outlineLevel="1">
      <c r="A34" s="515" t="n"/>
      <c r="B34" s="563" t="inlineStr">
        <is>
          <t>Upstream</t>
        </is>
      </c>
      <c r="C34" s="539" t="inlineStr">
        <is>
          <t>Other projects</t>
        </is>
      </c>
      <c r="D34" s="912" t="n"/>
      <c r="E34" s="518" t="inlineStr">
        <is>
          <t>thsd</t>
        </is>
      </c>
      <c r="F34" s="518" t="inlineStr">
        <is>
          <t>+</t>
        </is>
      </c>
      <c r="G34" s="576" t="n">
        <v>0</v>
      </c>
      <c r="H34" s="587" t="n"/>
      <c r="I34" s="587" t="n"/>
      <c r="J34" s="587" t="n"/>
      <c r="K34" s="587" t="n"/>
      <c r="L34" s="578" t="n">
        <v>0</v>
      </c>
      <c r="M34" s="581" t="inlineStr">
        <is>
          <t>N/A</t>
        </is>
      </c>
      <c r="N34" s="583" t="n"/>
      <c r="O34" s="587" t="n"/>
      <c r="P34" s="587" t="n"/>
      <c r="Q34" s="578" t="n">
        <v>0</v>
      </c>
      <c r="R34" s="581" t="inlineStr">
        <is>
          <t>N/A</t>
        </is>
      </c>
      <c r="S34" s="583" t="n"/>
      <c r="T34" s="30">
        <f>'[1]CAPEX&amp;INVESTMENT'!Y34</f>
        <v/>
      </c>
    </row>
    <row r="35" outlineLevel="1">
      <c r="A35" s="515" t="n"/>
      <c r="B35" s="563" t="inlineStr">
        <is>
          <t>Upstream</t>
        </is>
      </c>
      <c r="C35" s="566" t="inlineStr">
        <is>
          <t xml:space="preserve">All exploration drilling projects </t>
        </is>
      </c>
      <c r="D35" s="911" t="n"/>
      <c r="E35" s="518" t="inlineStr">
        <is>
          <t>thsd</t>
        </is>
      </c>
      <c r="F35" s="518" t="inlineStr">
        <is>
          <t>+</t>
        </is>
      </c>
      <c r="G35" s="575" t="n">
        <v>0</v>
      </c>
      <c r="H35" s="588">
        <f>SUM(INDIRECT(CHAR(COLUMN()+64)&amp;ROW(H36)&amp;":"&amp;IF(_xlfn.ISFORMULA(INDIRECT((ADDRESS(ROW()-1+MATCH(1,$T36:$T$259,0),COLUMN(),1,1)))),(ADDRESS(ROW()-2+MATCH(1,$T36:$T$259,0),COLUMN(),1,1)),(ADDRESS(ROW()-1+MATCH(1,$T36:$T$259,0),COLUMN(),1,1)))))</f>
        <v/>
      </c>
      <c r="I35" s="588">
        <f>SUM(INDIRECT(CHAR(COLUMN()+64)&amp;ROW(I36)&amp;":"&amp;IF(_xlfn.ISFORMULA(INDIRECT((ADDRESS(ROW()-1+MATCH(1,$T36:$T$259,0),COLUMN(),1,1)))),(ADDRESS(ROW()-2+MATCH(1,$T36:$T$259,0),COLUMN(),1,1)),(ADDRESS(ROW()-1+MATCH(1,$T36:$T$259,0),COLUMN(),1,1)))))</f>
        <v/>
      </c>
      <c r="J35" s="588">
        <f>SUM(INDIRECT(CHAR(COLUMN()+64)&amp;ROW(J36)&amp;":"&amp;IF(_xlfn.ISFORMULA(INDIRECT((ADDRESS(ROW()-1+MATCH(1,$T36:$T$259,0),COLUMN(),1,1)))),(ADDRESS(ROW()-2+MATCH(1,$T36:$T$259,0),COLUMN(),1,1)),(ADDRESS(ROW()-1+MATCH(1,$T36:$T$259,0),COLUMN(),1,1)))))</f>
        <v/>
      </c>
      <c r="K35" s="588">
        <f>SUM(INDIRECT(CHAR(COLUMN()+64)&amp;ROW(K36)&amp;":"&amp;IF(_xlfn.ISFORMULA(INDIRECT((ADDRESS(ROW()-1+MATCH(1,$T36:$T$259,0),COLUMN(),1,1)))),(ADDRESS(ROW()-2+MATCH(1,$T36:$T$259,0),COLUMN(),1,1)),(ADDRESS(ROW()-1+MATCH(1,$T36:$T$259,0),COLUMN(),1,1)))))</f>
        <v/>
      </c>
      <c r="L35" s="578">
        <f/>
        <v/>
      </c>
      <c r="M35" s="581">
        <f/>
        <v/>
      </c>
      <c r="N35" s="583" t="n"/>
      <c r="O35" s="588">
        <f>SUM(INDIRECT(CHAR(COLUMN()+64)&amp;ROW(O36)&amp;":"&amp;IF(_xlfn.ISFORMULA(INDIRECT((ADDRESS(ROW()-1+MATCH(1,$T36:$T$259,0),COLUMN(),1,1)))),(ADDRESS(ROW()-2+MATCH(1,$T36:$T$259,0),COLUMN(),1,1)),(ADDRESS(ROW()-1+MATCH(1,$T36:$T$259,0),COLUMN(),1,1)))))</f>
        <v/>
      </c>
      <c r="P35" s="588">
        <f>SUM(INDIRECT(CHAR(COLUMN()+64)&amp;ROW(P36)&amp;":"&amp;IF(_xlfn.ISFORMULA(INDIRECT((ADDRESS(ROW()-1+MATCH(1,$T36:$T$259,0),COLUMN(),1,1)))),(ADDRESS(ROW()-2+MATCH(1,$T36:$T$259,0),COLUMN(),1,1)),(ADDRESS(ROW()-1+MATCH(1,$T36:$T$259,0),COLUMN(),1,1)))))</f>
        <v/>
      </c>
      <c r="Q35" s="578">
        <f/>
        <v/>
      </c>
      <c r="R35" s="581">
        <f/>
        <v/>
      </c>
      <c r="S35" s="583" t="n"/>
      <c r="T35" s="30">
        <f>'[1]CAPEX&amp;INVESTMENT'!Y35</f>
        <v/>
      </c>
    </row>
    <row r="36" outlineLevel="1">
      <c r="A36" s="515" t="n"/>
      <c r="B36" s="563" t="inlineStr">
        <is>
          <t>Upstream</t>
        </is>
      </c>
      <c r="C36" s="539" t="inlineStr">
        <is>
          <t>[Input of the project name]</t>
        </is>
      </c>
      <c r="D36" s="912" t="inlineStr">
        <is>
          <t>[input: brief description of the project, including:</t>
        </is>
      </c>
      <c r="E36" s="518" t="inlineStr">
        <is>
          <t>thsd</t>
        </is>
      </c>
      <c r="F36" s="518" t="inlineStr">
        <is>
          <t>+</t>
        </is>
      </c>
      <c r="G36" s="576" t="n">
        <v>0</v>
      </c>
      <c r="H36" s="587" t="n"/>
      <c r="I36" s="587" t="n"/>
      <c r="J36" s="587" t="n"/>
      <c r="K36" s="587" t="n"/>
      <c r="L36" s="578" t="n">
        <v>0</v>
      </c>
      <c r="M36" s="581" t="inlineStr">
        <is>
          <t>N/A</t>
        </is>
      </c>
      <c r="N36" s="583" t="n"/>
      <c r="O36" s="587" t="n"/>
      <c r="P36" s="587" t="n"/>
      <c r="Q36" s="578" t="n">
        <v>0</v>
      </c>
      <c r="R36" s="581" t="inlineStr">
        <is>
          <t>N/A</t>
        </is>
      </c>
      <c r="S36" s="583" t="n"/>
      <c r="T36" s="30">
        <f>'[1]CAPEX&amp;INVESTMENT'!Y36</f>
        <v/>
      </c>
    </row>
    <row r="37" outlineLevel="1">
      <c r="A37" s="515" t="n"/>
      <c r="B37" s="563" t="inlineStr">
        <is>
          <t>Upstream</t>
        </is>
      </c>
      <c r="C37" s="539" t="inlineStr">
        <is>
          <t>[Input of the project name]</t>
        </is>
      </c>
      <c r="D37" s="912" t="inlineStr">
        <is>
          <t>[input: brief description of the project, including:</t>
        </is>
      </c>
      <c r="E37" s="518" t="inlineStr">
        <is>
          <t>thsd</t>
        </is>
      </c>
      <c r="F37" s="518" t="inlineStr">
        <is>
          <t>+</t>
        </is>
      </c>
      <c r="G37" s="576" t="n">
        <v>0</v>
      </c>
      <c r="H37" s="587" t="n"/>
      <c r="I37" s="587" t="n"/>
      <c r="J37" s="587" t="n"/>
      <c r="K37" s="587" t="n"/>
      <c r="L37" s="578" t="n">
        <v>0</v>
      </c>
      <c r="M37" s="581" t="inlineStr">
        <is>
          <t>N/A</t>
        </is>
      </c>
      <c r="N37" s="583" t="n"/>
      <c r="O37" s="587" t="n"/>
      <c r="P37" s="587" t="n"/>
      <c r="Q37" s="578" t="n">
        <v>0</v>
      </c>
      <c r="R37" s="581" t="inlineStr">
        <is>
          <t>N/A</t>
        </is>
      </c>
      <c r="S37" s="583" t="n"/>
      <c r="T37" s="30">
        <f>'[1]CAPEX&amp;INVESTMENT'!Y37</f>
        <v/>
      </c>
    </row>
    <row r="38" outlineLevel="1">
      <c r="A38" s="515" t="n"/>
      <c r="B38" s="563" t="inlineStr">
        <is>
          <t>Upstream</t>
        </is>
      </c>
      <c r="C38" s="539" t="inlineStr">
        <is>
          <t>[Input of the project name]</t>
        </is>
      </c>
      <c r="D38" s="912" t="inlineStr">
        <is>
          <t>[input: brief description of the project, including:</t>
        </is>
      </c>
      <c r="E38" s="518" t="inlineStr">
        <is>
          <t>thsd</t>
        </is>
      </c>
      <c r="F38" s="518" t="inlineStr">
        <is>
          <t>+</t>
        </is>
      </c>
      <c r="G38" s="576" t="n">
        <v>0</v>
      </c>
      <c r="H38" s="587" t="n"/>
      <c r="I38" s="587" t="n"/>
      <c r="J38" s="587" t="n"/>
      <c r="K38" s="587" t="n"/>
      <c r="L38" s="578" t="n">
        <v>0</v>
      </c>
      <c r="M38" s="581" t="inlineStr">
        <is>
          <t>N/A</t>
        </is>
      </c>
      <c r="N38" s="583" t="n"/>
      <c r="O38" s="587" t="n"/>
      <c r="P38" s="587" t="n"/>
      <c r="Q38" s="578" t="n">
        <v>0</v>
      </c>
      <c r="R38" s="581" t="inlineStr">
        <is>
          <t>N/A</t>
        </is>
      </c>
      <c r="S38" s="583" t="n"/>
      <c r="T38" s="30">
        <f>'[1]CAPEX&amp;INVESTMENT'!Y38</f>
        <v/>
      </c>
    </row>
    <row r="39">
      <c r="A39" s="544" t="n"/>
      <c r="B39" s="563" t="inlineStr">
        <is>
          <t>Upstream</t>
        </is>
      </c>
      <c r="C39" s="539" t="inlineStr">
        <is>
          <t>[Input of the project name]</t>
        </is>
      </c>
      <c r="D39" s="913" t="inlineStr">
        <is>
          <t>[input: brief description of the project, including:</t>
        </is>
      </c>
      <c r="E39" s="518" t="inlineStr">
        <is>
          <t>thsd</t>
        </is>
      </c>
      <c r="F39" s="518" t="inlineStr">
        <is>
          <t>+</t>
        </is>
      </c>
      <c r="G39" s="576" t="n">
        <v>0</v>
      </c>
      <c r="H39" s="587" t="n"/>
      <c r="I39" s="587" t="n"/>
      <c r="J39" s="587" t="n"/>
      <c r="K39" s="587" t="n"/>
      <c r="L39" s="579" t="n">
        <v>0</v>
      </c>
      <c r="M39" s="582" t="inlineStr">
        <is>
          <t>N/A</t>
        </is>
      </c>
      <c r="N39" s="583" t="n"/>
      <c r="O39" s="587" t="n"/>
      <c r="P39" s="587" t="n"/>
      <c r="Q39" s="579" t="n">
        <v>0</v>
      </c>
      <c r="R39" s="582" t="inlineStr">
        <is>
          <t>N/A</t>
        </is>
      </c>
      <c r="S39" s="583" t="n"/>
      <c r="T39" s="30">
        <f>'[1]CAPEX&amp;INVESTMENT'!Y39</f>
        <v/>
      </c>
    </row>
    <row r="40">
      <c r="A40" s="544" t="n"/>
      <c r="B40" s="563" t="inlineStr">
        <is>
          <t>Upstream</t>
        </is>
      </c>
      <c r="C40" s="539" t="inlineStr">
        <is>
          <t>[Input of the project name]</t>
        </is>
      </c>
      <c r="D40" s="913" t="inlineStr">
        <is>
          <t>[input: brief description of the project, including:</t>
        </is>
      </c>
      <c r="E40" s="518" t="inlineStr">
        <is>
          <t>thsd</t>
        </is>
      </c>
      <c r="F40" s="518" t="inlineStr">
        <is>
          <t>+</t>
        </is>
      </c>
      <c r="G40" s="576" t="n">
        <v>0</v>
      </c>
      <c r="H40" s="587" t="n"/>
      <c r="I40" s="587" t="n"/>
      <c r="J40" s="587" t="n"/>
      <c r="K40" s="587" t="n"/>
      <c r="L40" s="579" t="n">
        <v>0</v>
      </c>
      <c r="M40" s="582" t="inlineStr">
        <is>
          <t>N/A</t>
        </is>
      </c>
      <c r="N40" s="583" t="n"/>
      <c r="O40" s="587" t="n"/>
      <c r="P40" s="587" t="n"/>
      <c r="Q40" s="579" t="n">
        <v>0</v>
      </c>
      <c r="R40" s="582" t="inlineStr">
        <is>
          <t>N/A</t>
        </is>
      </c>
      <c r="S40" s="583" t="n"/>
      <c r="T40" s="30">
        <f>'[1]CAPEX&amp;INVESTMENT'!Y40</f>
        <v/>
      </c>
    </row>
    <row r="41">
      <c r="A41" s="544" t="n"/>
      <c r="B41" s="563" t="inlineStr">
        <is>
          <t>Upstream</t>
        </is>
      </c>
      <c r="C41" s="539" t="inlineStr">
        <is>
          <t>[Input of the project name]</t>
        </is>
      </c>
      <c r="D41" s="913" t="inlineStr">
        <is>
          <t>[input: brief description of the project, including:</t>
        </is>
      </c>
      <c r="E41" s="518" t="inlineStr">
        <is>
          <t>thsd</t>
        </is>
      </c>
      <c r="F41" s="518" t="inlineStr">
        <is>
          <t>+</t>
        </is>
      </c>
      <c r="G41" s="576" t="n">
        <v>0</v>
      </c>
      <c r="H41" s="587" t="n"/>
      <c r="I41" s="587" t="n"/>
      <c r="J41" s="587" t="n"/>
      <c r="K41" s="587" t="n"/>
      <c r="L41" s="579" t="n">
        <v>0</v>
      </c>
      <c r="M41" s="582" t="inlineStr">
        <is>
          <t>N/A</t>
        </is>
      </c>
      <c r="N41" s="583" t="n"/>
      <c r="O41" s="587" t="n"/>
      <c r="P41" s="587" t="n"/>
      <c r="Q41" s="579" t="n">
        <v>0</v>
      </c>
      <c r="R41" s="582" t="inlineStr">
        <is>
          <t>N/A</t>
        </is>
      </c>
      <c r="S41" s="583" t="n"/>
      <c r="T41" s="30">
        <f>'[1]CAPEX&amp;INVESTMENT'!Y41</f>
        <v/>
      </c>
    </row>
    <row r="42">
      <c r="A42" s="544" t="n"/>
      <c r="B42" s="563" t="inlineStr">
        <is>
          <t>Upstream</t>
        </is>
      </c>
      <c r="C42" s="539" t="inlineStr">
        <is>
          <t>[Input of the project name]</t>
        </is>
      </c>
      <c r="D42" s="913" t="inlineStr">
        <is>
          <t>[input: brief description of the project, including:</t>
        </is>
      </c>
      <c r="E42" s="518" t="inlineStr">
        <is>
          <t>thsd</t>
        </is>
      </c>
      <c r="F42" s="518" t="inlineStr">
        <is>
          <t>+</t>
        </is>
      </c>
      <c r="G42" s="576" t="n">
        <v>0</v>
      </c>
      <c r="H42" s="587" t="n"/>
      <c r="I42" s="587" t="n"/>
      <c r="J42" s="587" t="n"/>
      <c r="K42" s="587" t="n"/>
      <c r="L42" s="579" t="n">
        <v>0</v>
      </c>
      <c r="M42" s="582" t="inlineStr">
        <is>
          <t>N/A</t>
        </is>
      </c>
      <c r="N42" s="583" t="n"/>
      <c r="O42" s="587" t="n"/>
      <c r="P42" s="587" t="n"/>
      <c r="Q42" s="579" t="n">
        <v>0</v>
      </c>
      <c r="R42" s="582" t="inlineStr">
        <is>
          <t>N/A</t>
        </is>
      </c>
      <c r="S42" s="583" t="n"/>
      <c r="T42" s="30">
        <f>'[1]CAPEX&amp;INVESTMENT'!Y42</f>
        <v/>
      </c>
    </row>
    <row r="43">
      <c r="A43" s="544" t="n"/>
      <c r="B43" s="563" t="inlineStr">
        <is>
          <t>Upstream</t>
        </is>
      </c>
      <c r="C43" s="539" t="inlineStr">
        <is>
          <t>[Input of the project name]</t>
        </is>
      </c>
      <c r="D43" s="913" t="inlineStr">
        <is>
          <t>[input: brief description of the project, including:</t>
        </is>
      </c>
      <c r="E43" s="518" t="inlineStr">
        <is>
          <t>thsd</t>
        </is>
      </c>
      <c r="F43" s="518" t="inlineStr">
        <is>
          <t>+</t>
        </is>
      </c>
      <c r="G43" s="576" t="n">
        <v>0</v>
      </c>
      <c r="H43" s="587" t="n"/>
      <c r="I43" s="587" t="n"/>
      <c r="J43" s="587" t="n"/>
      <c r="K43" s="587" t="n"/>
      <c r="L43" s="579" t="n">
        <v>0</v>
      </c>
      <c r="M43" s="582" t="inlineStr">
        <is>
          <t>N/A</t>
        </is>
      </c>
      <c r="N43" s="583" t="n"/>
      <c r="O43" s="587" t="n"/>
      <c r="P43" s="587" t="n"/>
      <c r="Q43" s="579" t="n">
        <v>0</v>
      </c>
      <c r="R43" s="582" t="inlineStr">
        <is>
          <t>N/A</t>
        </is>
      </c>
      <c r="S43" s="583" t="n"/>
      <c r="T43" s="30">
        <f>'[1]CAPEX&amp;INVESTMENT'!Y43</f>
        <v/>
      </c>
    </row>
    <row r="44">
      <c r="A44" s="544" t="n"/>
      <c r="B44" s="563" t="inlineStr">
        <is>
          <t>Upstream</t>
        </is>
      </c>
      <c r="C44" s="539" t="inlineStr">
        <is>
          <t>[Input of the project name]</t>
        </is>
      </c>
      <c r="D44" s="913" t="inlineStr">
        <is>
          <t>[input: brief description of the project, including:</t>
        </is>
      </c>
      <c r="E44" s="518" t="inlineStr">
        <is>
          <t>thsd</t>
        </is>
      </c>
      <c r="F44" s="518" t="inlineStr">
        <is>
          <t>+</t>
        </is>
      </c>
      <c r="G44" s="576" t="n">
        <v>0</v>
      </c>
      <c r="H44" s="587" t="n"/>
      <c r="I44" s="587" t="n"/>
      <c r="J44" s="587" t="n"/>
      <c r="K44" s="587" t="n"/>
      <c r="L44" s="579" t="n">
        <v>0</v>
      </c>
      <c r="M44" s="582" t="inlineStr">
        <is>
          <t>N/A</t>
        </is>
      </c>
      <c r="N44" s="583" t="n"/>
      <c r="O44" s="587" t="n"/>
      <c r="P44" s="587" t="n"/>
      <c r="Q44" s="579" t="n">
        <v>0</v>
      </c>
      <c r="R44" s="582" t="inlineStr">
        <is>
          <t>N/A</t>
        </is>
      </c>
      <c r="S44" s="583" t="n"/>
      <c r="T44" s="30">
        <f>'[1]CAPEX&amp;INVESTMENT'!Y44</f>
        <v/>
      </c>
    </row>
    <row r="45" outlineLevel="1">
      <c r="A45" s="515" t="n"/>
      <c r="B45" s="563" t="inlineStr">
        <is>
          <t>Upstream</t>
        </is>
      </c>
      <c r="C45" s="539" t="inlineStr">
        <is>
          <t>[Input of the project name]</t>
        </is>
      </c>
      <c r="D45" s="912" t="inlineStr">
        <is>
          <t>[input: brief description of the project, including:</t>
        </is>
      </c>
      <c r="E45" s="518" t="inlineStr">
        <is>
          <t>thsd</t>
        </is>
      </c>
      <c r="F45" s="518" t="inlineStr">
        <is>
          <t>+</t>
        </is>
      </c>
      <c r="G45" s="576" t="n">
        <v>0</v>
      </c>
      <c r="H45" s="587" t="n"/>
      <c r="I45" s="587" t="n"/>
      <c r="J45" s="587" t="n"/>
      <c r="K45" s="587" t="n"/>
      <c r="L45" s="578" t="n">
        <v>0</v>
      </c>
      <c r="M45" s="581" t="inlineStr">
        <is>
          <t>N/A</t>
        </is>
      </c>
      <c r="N45" s="583" t="n"/>
      <c r="O45" s="587" t="n"/>
      <c r="P45" s="587" t="n"/>
      <c r="Q45" s="578" t="n">
        <v>0</v>
      </c>
      <c r="R45" s="581" t="inlineStr">
        <is>
          <t>N/A</t>
        </is>
      </c>
      <c r="S45" s="583" t="n"/>
      <c r="T45" s="30">
        <f>'[1]CAPEX&amp;INVESTMENT'!Y45</f>
        <v/>
      </c>
    </row>
    <row r="46" outlineLevel="1">
      <c r="A46" s="515" t="n"/>
      <c r="B46" s="563" t="inlineStr">
        <is>
          <t>Upstream</t>
        </is>
      </c>
      <c r="C46" s="539" t="inlineStr">
        <is>
          <t>Other projects</t>
        </is>
      </c>
      <c r="D46" s="912" t="n"/>
      <c r="E46" s="518" t="inlineStr">
        <is>
          <t>thsd</t>
        </is>
      </c>
      <c r="F46" s="518" t="inlineStr">
        <is>
          <t>+</t>
        </is>
      </c>
      <c r="G46" s="576" t="n">
        <v>0</v>
      </c>
      <c r="H46" s="587" t="n"/>
      <c r="I46" s="587" t="n"/>
      <c r="J46" s="587" t="n"/>
      <c r="K46" s="587" t="n"/>
      <c r="L46" s="578" t="n">
        <v>0</v>
      </c>
      <c r="M46" s="581" t="inlineStr">
        <is>
          <t>N/A</t>
        </is>
      </c>
      <c r="N46" s="583" t="n"/>
      <c r="O46" s="587" t="n"/>
      <c r="P46" s="587" t="n"/>
      <c r="Q46" s="578" t="n">
        <v>0</v>
      </c>
      <c r="R46" s="581" t="inlineStr">
        <is>
          <t>N/A</t>
        </is>
      </c>
      <c r="S46" s="583" t="n"/>
      <c r="T46" s="30">
        <f>'[1]CAPEX&amp;INVESTMENT'!Y46</f>
        <v/>
      </c>
    </row>
    <row r="47" outlineLevel="1">
      <c r="A47" s="515" t="n"/>
      <c r="B47" s="563" t="inlineStr">
        <is>
          <t>Upstream</t>
        </is>
      </c>
      <c r="C47" s="566" t="inlineStr">
        <is>
          <t xml:space="preserve">Construction and other type of projects </t>
        </is>
      </c>
      <c r="D47" s="911" t="n"/>
      <c r="E47" s="518" t="inlineStr">
        <is>
          <t>thsd</t>
        </is>
      </c>
      <c r="F47" s="518" t="inlineStr">
        <is>
          <t>+</t>
        </is>
      </c>
      <c r="G47" s="575" t="n">
        <v>0</v>
      </c>
      <c r="H47" s="588">
        <f>SUM(INDIRECT(CHAR(COLUMN()+64)&amp;ROW(H48)&amp;":"&amp;IF(_xlfn.ISFORMULA(INDIRECT((ADDRESS(ROW()-1+MATCH(1,$T48:$T$259,0),COLUMN(),1,1)))),(ADDRESS(ROW()-3+MATCH(1,$T48:$T$259,0),COLUMN(),1,1)),(ADDRESS(ROW()-1+MATCH(1,$T48:$T$259,0),COLUMN(),1,1)))))</f>
        <v/>
      </c>
      <c r="I47" s="588">
        <f>SUM(INDIRECT(CHAR(COLUMN()+64)&amp;ROW(I48)&amp;":"&amp;IF(_xlfn.ISFORMULA(INDIRECT((ADDRESS(ROW()-1+MATCH(1,$T48:$T$259,0),COLUMN(),1,1)))),(ADDRESS(ROW()-3+MATCH(1,$T48:$T$259,0),COLUMN(),1,1)),(ADDRESS(ROW()-1+MATCH(1,$T48:$T$259,0),COLUMN(),1,1)))))</f>
        <v/>
      </c>
      <c r="J47" s="588">
        <f>SUM(INDIRECT(CHAR(COLUMN()+64)&amp;ROW(J48)&amp;":"&amp;IF(_xlfn.ISFORMULA(INDIRECT((ADDRESS(ROW()-1+MATCH(1,$T48:$T$259,0),COLUMN(),1,1)))),(ADDRESS(ROW()-3+MATCH(1,$T48:$T$259,0),COLUMN(),1,1)),(ADDRESS(ROW()-1+MATCH(1,$T48:$T$259,0),COLUMN(),1,1)))))</f>
        <v/>
      </c>
      <c r="K47" s="588">
        <f>SUM(INDIRECT(CHAR(COLUMN()+64)&amp;ROW(K48)&amp;":"&amp;IF(_xlfn.ISFORMULA(INDIRECT((ADDRESS(ROW()-1+MATCH(1,$T48:$T$259,0),COLUMN(),1,1)))),(ADDRESS(ROW()-3+MATCH(1,$T48:$T$259,0),COLUMN(),1,1)),(ADDRESS(ROW()-1+MATCH(1,$T48:$T$259,0),COLUMN(),1,1)))))</f>
        <v/>
      </c>
      <c r="L47" s="578">
        <f/>
        <v/>
      </c>
      <c r="M47" s="581">
        <f/>
        <v/>
      </c>
      <c r="N47" s="583" t="n"/>
      <c r="O47" s="588">
        <f>SUM(INDIRECT(CHAR(COLUMN()+64)&amp;ROW(O48)&amp;":"&amp;IF(_xlfn.ISFORMULA(INDIRECT((ADDRESS(ROW()-1+MATCH(1,$T48:$T$259,0),COLUMN(),1,1)))),(ADDRESS(ROW()-3+MATCH(1,$T48:$T$259,0),COLUMN(),1,1)),(ADDRESS(ROW()-1+MATCH(1,$T48:$T$259,0),COLUMN(),1,1)))))</f>
        <v/>
      </c>
      <c r="P47" s="588">
        <f>SUM(INDIRECT(CHAR(COLUMN()+64)&amp;ROW(P48)&amp;":"&amp;IF(_xlfn.ISFORMULA(INDIRECT((ADDRESS(ROW()-1+MATCH(1,$T48:$T$259,0),COLUMN(),1,1)))),(ADDRESS(ROW()-3+MATCH(1,$T48:$T$259,0),COLUMN(),1,1)),(ADDRESS(ROW()-1+MATCH(1,$T48:$T$259,0),COLUMN(),1,1)))))</f>
        <v/>
      </c>
      <c r="Q47" s="578">
        <f/>
        <v/>
      </c>
      <c r="R47" s="581">
        <f/>
        <v/>
      </c>
      <c r="S47" s="583" t="n"/>
      <c r="T47" s="30">
        <f>'[1]CAPEX&amp;INVESTMENT'!Y47</f>
        <v/>
      </c>
    </row>
    <row r="48" outlineLevel="1">
      <c r="A48" s="515" t="n"/>
      <c r="B48" s="563" t="inlineStr">
        <is>
          <t>Upstream</t>
        </is>
      </c>
      <c r="C48" s="539" t="inlineStr">
        <is>
          <t>[Input of the project name]</t>
        </is>
      </c>
      <c r="D48" s="912" t="inlineStr">
        <is>
          <t>[input: brief description of the project, including:</t>
        </is>
      </c>
      <c r="E48" s="518" t="inlineStr">
        <is>
          <t>thsd</t>
        </is>
      </c>
      <c r="F48" s="518" t="inlineStr">
        <is>
          <t>+</t>
        </is>
      </c>
      <c r="G48" s="576" t="n">
        <v>0</v>
      </c>
      <c r="H48" s="587" t="n"/>
      <c r="I48" s="587" t="n"/>
      <c r="J48" s="587" t="n"/>
      <c r="K48" s="587" t="n"/>
      <c r="L48" s="578" t="n">
        <v>0</v>
      </c>
      <c r="M48" s="581" t="inlineStr">
        <is>
          <t>N/A</t>
        </is>
      </c>
      <c r="N48" s="583" t="n"/>
      <c r="O48" s="587" t="n"/>
      <c r="P48" s="587" t="n"/>
      <c r="Q48" s="578" t="n">
        <v>0</v>
      </c>
      <c r="R48" s="581" t="inlineStr">
        <is>
          <t>N/A</t>
        </is>
      </c>
      <c r="S48" s="583" t="n"/>
      <c r="T48" s="30">
        <f>'[1]CAPEX&amp;INVESTMENT'!Y48</f>
        <v/>
      </c>
    </row>
    <row r="49" outlineLevel="1">
      <c r="A49" s="515" t="n"/>
      <c r="B49" s="563" t="inlineStr">
        <is>
          <t>Upstream</t>
        </is>
      </c>
      <c r="C49" s="539" t="inlineStr">
        <is>
          <t>[Input of the project name]</t>
        </is>
      </c>
      <c r="D49" s="912" t="inlineStr">
        <is>
          <t>[input: brief description of the project, including:</t>
        </is>
      </c>
      <c r="E49" s="518" t="inlineStr">
        <is>
          <t>thsd</t>
        </is>
      </c>
      <c r="F49" s="518" t="inlineStr">
        <is>
          <t>+</t>
        </is>
      </c>
      <c r="G49" s="576" t="n">
        <v>0</v>
      </c>
      <c r="H49" s="587" t="n"/>
      <c r="I49" s="587" t="n"/>
      <c r="J49" s="587" t="n"/>
      <c r="K49" s="587" t="n"/>
      <c r="L49" s="578" t="n">
        <v>0</v>
      </c>
      <c r="M49" s="581" t="inlineStr">
        <is>
          <t>N/A</t>
        </is>
      </c>
      <c r="N49" s="583" t="n"/>
      <c r="O49" s="587" t="n"/>
      <c r="P49" s="587" t="n"/>
      <c r="Q49" s="578" t="n">
        <v>0</v>
      </c>
      <c r="R49" s="581" t="inlineStr">
        <is>
          <t>N/A</t>
        </is>
      </c>
      <c r="S49" s="583" t="n"/>
      <c r="T49" s="30">
        <f>'[1]CAPEX&amp;INVESTMENT'!Y49</f>
        <v/>
      </c>
    </row>
    <row r="50" outlineLevel="1">
      <c r="A50" s="515" t="n"/>
      <c r="B50" s="563" t="inlineStr">
        <is>
          <t>Upstream</t>
        </is>
      </c>
      <c r="C50" s="539" t="inlineStr">
        <is>
          <t>[Input of the project name]</t>
        </is>
      </c>
      <c r="D50" s="912" t="inlineStr">
        <is>
          <t>[input: brief description of the project, including:</t>
        </is>
      </c>
      <c r="E50" s="518" t="inlineStr">
        <is>
          <t>thsd</t>
        </is>
      </c>
      <c r="F50" s="518" t="inlineStr">
        <is>
          <t>+</t>
        </is>
      </c>
      <c r="G50" s="576" t="n">
        <v>0</v>
      </c>
      <c r="H50" s="587" t="n"/>
      <c r="I50" s="587" t="n"/>
      <c r="J50" s="587" t="n"/>
      <c r="K50" s="587" t="n"/>
      <c r="L50" s="578" t="n">
        <v>0</v>
      </c>
      <c r="M50" s="581" t="inlineStr">
        <is>
          <t>N/A</t>
        </is>
      </c>
      <c r="N50" s="583" t="n"/>
      <c r="O50" s="587" t="n"/>
      <c r="P50" s="587" t="n"/>
      <c r="Q50" s="578" t="n">
        <v>0</v>
      </c>
      <c r="R50" s="581" t="inlineStr">
        <is>
          <t>N/A</t>
        </is>
      </c>
      <c r="S50" s="583" t="n"/>
      <c r="T50" s="30">
        <f>'[1]CAPEX&amp;INVESTMENT'!Y50</f>
        <v/>
      </c>
    </row>
    <row r="51" outlineLevel="1">
      <c r="A51" s="515" t="n"/>
      <c r="B51" s="563" t="inlineStr">
        <is>
          <t>Upstream</t>
        </is>
      </c>
      <c r="C51" s="539" t="inlineStr">
        <is>
          <t>[Input of the project name]</t>
        </is>
      </c>
      <c r="D51" s="912" t="inlineStr">
        <is>
          <t>[input: brief description of the project, including:</t>
        </is>
      </c>
      <c r="E51" s="518" t="inlineStr">
        <is>
          <t>thsd</t>
        </is>
      </c>
      <c r="F51" s="518" t="inlineStr">
        <is>
          <t>+</t>
        </is>
      </c>
      <c r="G51" s="576" t="n">
        <v>0</v>
      </c>
      <c r="H51" s="587" t="n"/>
      <c r="I51" s="587" t="n"/>
      <c r="J51" s="587" t="n"/>
      <c r="K51" s="587" t="n"/>
      <c r="L51" s="578" t="n">
        <v>0</v>
      </c>
      <c r="M51" s="581" t="inlineStr">
        <is>
          <t>N/A</t>
        </is>
      </c>
      <c r="N51" s="583" t="n"/>
      <c r="O51" s="587" t="n"/>
      <c r="P51" s="587" t="n"/>
      <c r="Q51" s="578" t="n">
        <v>0</v>
      </c>
      <c r="R51" s="581" t="inlineStr">
        <is>
          <t>N/A</t>
        </is>
      </c>
      <c r="S51" s="583" t="n"/>
      <c r="T51" s="30">
        <f>'[1]CAPEX&amp;INVESTMENT'!Y51</f>
        <v/>
      </c>
    </row>
    <row r="52" outlineLevel="1">
      <c r="A52" s="515" t="n"/>
      <c r="B52" s="563" t="inlineStr">
        <is>
          <t>Upstream</t>
        </is>
      </c>
      <c r="C52" s="539" t="inlineStr">
        <is>
          <t>[Input of the project name]</t>
        </is>
      </c>
      <c r="D52" s="912" t="inlineStr">
        <is>
          <t>[input: brief description of the project, including:</t>
        </is>
      </c>
      <c r="E52" s="518" t="inlineStr">
        <is>
          <t>thsd</t>
        </is>
      </c>
      <c r="F52" s="518" t="inlineStr">
        <is>
          <t>+</t>
        </is>
      </c>
      <c r="G52" s="576" t="n">
        <v>0</v>
      </c>
      <c r="H52" s="587" t="n"/>
      <c r="I52" s="587" t="n"/>
      <c r="J52" s="587" t="n"/>
      <c r="K52" s="587" t="n"/>
      <c r="L52" s="578" t="n">
        <v>0</v>
      </c>
      <c r="M52" s="581" t="inlineStr">
        <is>
          <t>N/A</t>
        </is>
      </c>
      <c r="N52" s="583" t="n"/>
      <c r="O52" s="587" t="n"/>
      <c r="P52" s="587" t="n"/>
      <c r="Q52" s="578" t="n">
        <v>0</v>
      </c>
      <c r="R52" s="581" t="inlineStr">
        <is>
          <t>N/A</t>
        </is>
      </c>
      <c r="S52" s="583" t="n"/>
      <c r="T52" s="30">
        <f>'[1]CAPEX&amp;INVESTMENT'!Y52</f>
        <v/>
      </c>
    </row>
    <row r="53" outlineLevel="1">
      <c r="A53" s="515" t="n"/>
      <c r="B53" s="563" t="inlineStr">
        <is>
          <t>Upstream</t>
        </is>
      </c>
      <c r="C53" s="539" t="inlineStr">
        <is>
          <t>[Input of the project name]</t>
        </is>
      </c>
      <c r="D53" s="912" t="inlineStr">
        <is>
          <t>[input: brief description of the project, including:</t>
        </is>
      </c>
      <c r="E53" s="518" t="inlineStr">
        <is>
          <t>thsd</t>
        </is>
      </c>
      <c r="F53" s="518" t="inlineStr">
        <is>
          <t>+</t>
        </is>
      </c>
      <c r="G53" s="576" t="n">
        <v>0</v>
      </c>
      <c r="H53" s="587" t="n"/>
      <c r="I53" s="587" t="n"/>
      <c r="J53" s="587" t="n"/>
      <c r="K53" s="587" t="n"/>
      <c r="L53" s="578" t="n">
        <v>0</v>
      </c>
      <c r="M53" s="581" t="inlineStr">
        <is>
          <t>N/A</t>
        </is>
      </c>
      <c r="N53" s="583" t="n"/>
      <c r="O53" s="587" t="n"/>
      <c r="P53" s="587" t="n"/>
      <c r="Q53" s="578" t="n">
        <v>0</v>
      </c>
      <c r="R53" s="581" t="inlineStr">
        <is>
          <t>N/A</t>
        </is>
      </c>
      <c r="S53" s="583" t="n"/>
      <c r="T53" s="30">
        <f>'[1]CAPEX&amp;INVESTMENT'!Y53</f>
        <v/>
      </c>
    </row>
    <row r="54" outlineLevel="1">
      <c r="A54" s="515" t="n"/>
      <c r="B54" s="563" t="inlineStr">
        <is>
          <t>Upstream</t>
        </is>
      </c>
      <c r="C54" s="539" t="inlineStr">
        <is>
          <t>[Input of the project name]</t>
        </is>
      </c>
      <c r="D54" s="912" t="inlineStr">
        <is>
          <t>[input: brief description of the project, including:</t>
        </is>
      </c>
      <c r="E54" s="518" t="inlineStr">
        <is>
          <t>thsd</t>
        </is>
      </c>
      <c r="F54" s="518" t="inlineStr">
        <is>
          <t>+</t>
        </is>
      </c>
      <c r="G54" s="576" t="n">
        <v>0</v>
      </c>
      <c r="H54" s="587" t="n"/>
      <c r="I54" s="587" t="n"/>
      <c r="J54" s="587" t="n"/>
      <c r="K54" s="587" t="n"/>
      <c r="L54" s="578" t="n">
        <v>0</v>
      </c>
      <c r="M54" s="581" t="inlineStr">
        <is>
          <t>N/A</t>
        </is>
      </c>
      <c r="N54" s="583" t="n"/>
      <c r="O54" s="587" t="n"/>
      <c r="P54" s="587" t="n"/>
      <c r="Q54" s="578" t="n">
        <v>0</v>
      </c>
      <c r="R54" s="581" t="inlineStr">
        <is>
          <t>N/A</t>
        </is>
      </c>
      <c r="S54" s="583" t="n"/>
      <c r="T54" s="30">
        <f>'[1]CAPEX&amp;INVESTMENT'!Y54</f>
        <v/>
      </c>
    </row>
    <row r="55" outlineLevel="1">
      <c r="A55" s="515" t="n"/>
      <c r="B55" s="563" t="inlineStr">
        <is>
          <t>Upstream</t>
        </is>
      </c>
      <c r="C55" s="539" t="inlineStr">
        <is>
          <t>[Input of the project name]</t>
        </is>
      </c>
      <c r="D55" s="912" t="inlineStr">
        <is>
          <t>[input: brief description of the project, including:</t>
        </is>
      </c>
      <c r="E55" s="518" t="inlineStr">
        <is>
          <t>thsd</t>
        </is>
      </c>
      <c r="F55" s="518" t="inlineStr">
        <is>
          <t>+</t>
        </is>
      </c>
      <c r="G55" s="576" t="n">
        <v>0</v>
      </c>
      <c r="H55" s="587" t="n"/>
      <c r="I55" s="587" t="n"/>
      <c r="J55" s="587" t="n"/>
      <c r="K55" s="587" t="n"/>
      <c r="L55" s="578" t="n">
        <v>0</v>
      </c>
      <c r="M55" s="581" t="inlineStr">
        <is>
          <t>N/A</t>
        </is>
      </c>
      <c r="N55" s="583" t="n"/>
      <c r="O55" s="587" t="n"/>
      <c r="P55" s="587" t="n"/>
      <c r="Q55" s="578" t="n">
        <v>0</v>
      </c>
      <c r="R55" s="581" t="inlineStr">
        <is>
          <t>N/A</t>
        </is>
      </c>
      <c r="S55" s="583" t="n"/>
      <c r="T55" s="30">
        <f>'[1]CAPEX&amp;INVESTMENT'!Y55</f>
        <v/>
      </c>
    </row>
    <row r="56" outlineLevel="1">
      <c r="A56" s="515" t="n"/>
      <c r="B56" s="563" t="inlineStr">
        <is>
          <t>Upstream</t>
        </is>
      </c>
      <c r="C56" s="539" t="inlineStr">
        <is>
          <t>[Input of the project name]</t>
        </is>
      </c>
      <c r="D56" s="912" t="inlineStr">
        <is>
          <t>[input: brief description of the project, including:</t>
        </is>
      </c>
      <c r="E56" s="518" t="inlineStr">
        <is>
          <t>thsd</t>
        </is>
      </c>
      <c r="F56" s="518" t="inlineStr">
        <is>
          <t>+</t>
        </is>
      </c>
      <c r="G56" s="576" t="n">
        <v>0</v>
      </c>
      <c r="H56" s="587" t="n"/>
      <c r="I56" s="587" t="n"/>
      <c r="J56" s="587" t="n"/>
      <c r="K56" s="587" t="n"/>
      <c r="L56" s="578" t="n">
        <v>0</v>
      </c>
      <c r="M56" s="581" t="inlineStr">
        <is>
          <t>N/A</t>
        </is>
      </c>
      <c r="N56" s="583" t="n"/>
      <c r="O56" s="587" t="n"/>
      <c r="P56" s="587" t="n"/>
      <c r="Q56" s="578" t="n">
        <v>0</v>
      </c>
      <c r="R56" s="581" t="inlineStr">
        <is>
          <t>N/A</t>
        </is>
      </c>
      <c r="S56" s="583" t="n"/>
      <c r="T56" s="30">
        <f>'[1]CAPEX&amp;INVESTMENT'!Y56</f>
        <v/>
      </c>
    </row>
    <row r="57" outlineLevel="1">
      <c r="A57" s="515" t="n"/>
      <c r="B57" s="563" t="inlineStr">
        <is>
          <t>Upstream</t>
        </is>
      </c>
      <c r="C57" s="539" t="inlineStr">
        <is>
          <t>[Input of the project name]</t>
        </is>
      </c>
      <c r="D57" s="912" t="inlineStr">
        <is>
          <t>[input: brief description of the project, including:</t>
        </is>
      </c>
      <c r="E57" s="518" t="inlineStr">
        <is>
          <t>thsd</t>
        </is>
      </c>
      <c r="F57" s="518" t="inlineStr">
        <is>
          <t>+</t>
        </is>
      </c>
      <c r="G57" s="576" t="n">
        <v>0</v>
      </c>
      <c r="H57" s="587" t="n"/>
      <c r="I57" s="587" t="n"/>
      <c r="J57" s="587" t="n"/>
      <c r="K57" s="587" t="n"/>
      <c r="L57" s="578" t="n">
        <v>0</v>
      </c>
      <c r="M57" s="581" t="inlineStr">
        <is>
          <t>N/A</t>
        </is>
      </c>
      <c r="N57" s="583" t="n"/>
      <c r="O57" s="587" t="n"/>
      <c r="P57" s="587" t="n"/>
      <c r="Q57" s="578" t="n">
        <v>0</v>
      </c>
      <c r="R57" s="581" t="inlineStr">
        <is>
          <t>N/A</t>
        </is>
      </c>
      <c r="S57" s="583" t="n"/>
      <c r="T57" s="30">
        <f>'[1]CAPEX&amp;INVESTMENT'!Y57</f>
        <v/>
      </c>
    </row>
    <row r="58" outlineLevel="1">
      <c r="A58" s="515" t="n"/>
      <c r="B58" s="563" t="inlineStr">
        <is>
          <t>Upstream</t>
        </is>
      </c>
      <c r="C58" s="539" t="inlineStr">
        <is>
          <t>[Input of the project name]</t>
        </is>
      </c>
      <c r="D58" s="912" t="inlineStr">
        <is>
          <t>[input: brief description of the project, including:</t>
        </is>
      </c>
      <c r="E58" s="518" t="inlineStr">
        <is>
          <t>thsd</t>
        </is>
      </c>
      <c r="F58" s="518" t="inlineStr">
        <is>
          <t>+</t>
        </is>
      </c>
      <c r="G58" s="576" t="n">
        <v>0</v>
      </c>
      <c r="H58" s="587" t="n"/>
      <c r="I58" s="587" t="n"/>
      <c r="J58" s="587" t="n"/>
      <c r="K58" s="587" t="n"/>
      <c r="L58" s="578" t="n">
        <v>0</v>
      </c>
      <c r="M58" s="581" t="inlineStr">
        <is>
          <t>N/A</t>
        </is>
      </c>
      <c r="N58" s="583" t="n"/>
      <c r="O58" s="587" t="n"/>
      <c r="P58" s="587" t="n"/>
      <c r="Q58" s="578" t="n">
        <v>0</v>
      </c>
      <c r="R58" s="581" t="inlineStr">
        <is>
          <t>N/A</t>
        </is>
      </c>
      <c r="S58" s="583" t="n"/>
      <c r="T58" s="30">
        <f>'[1]CAPEX&amp;INVESTMENT'!Y58</f>
        <v/>
      </c>
    </row>
    <row r="59" outlineLevel="1">
      <c r="A59" s="515" t="n"/>
      <c r="B59" s="563" t="inlineStr">
        <is>
          <t>Upstream</t>
        </is>
      </c>
      <c r="C59" s="539" t="inlineStr">
        <is>
          <t>[Input of the project name]</t>
        </is>
      </c>
      <c r="D59" s="912" t="inlineStr">
        <is>
          <t>[input: brief description of the project, including:</t>
        </is>
      </c>
      <c r="E59" s="518" t="inlineStr">
        <is>
          <t>thsd</t>
        </is>
      </c>
      <c r="F59" s="518" t="inlineStr">
        <is>
          <t>+</t>
        </is>
      </c>
      <c r="G59" s="576" t="n">
        <v>0</v>
      </c>
      <c r="H59" s="587" t="n"/>
      <c r="I59" s="587" t="n"/>
      <c r="J59" s="587" t="n"/>
      <c r="K59" s="587" t="n"/>
      <c r="L59" s="578" t="n">
        <v>0</v>
      </c>
      <c r="M59" s="581" t="inlineStr">
        <is>
          <t>N/A</t>
        </is>
      </c>
      <c r="N59" s="583" t="n"/>
      <c r="O59" s="587" t="n"/>
      <c r="P59" s="587" t="n"/>
      <c r="Q59" s="578" t="n">
        <v>0</v>
      </c>
      <c r="R59" s="581" t="inlineStr">
        <is>
          <t>N/A</t>
        </is>
      </c>
      <c r="S59" s="583" t="n"/>
      <c r="T59" s="30">
        <f>'[1]CAPEX&amp;INVESTMENT'!Y59</f>
        <v/>
      </c>
    </row>
    <row r="60" outlineLevel="1">
      <c r="A60" s="515" t="n"/>
      <c r="B60" s="563" t="inlineStr">
        <is>
          <t>Upstream</t>
        </is>
      </c>
      <c r="C60" s="539" t="inlineStr">
        <is>
          <t>[Input of the project name]</t>
        </is>
      </c>
      <c r="D60" s="912" t="inlineStr">
        <is>
          <t>[input: brief description of the project, including:</t>
        </is>
      </c>
      <c r="E60" s="518" t="inlineStr">
        <is>
          <t>thsd</t>
        </is>
      </c>
      <c r="F60" s="518" t="inlineStr">
        <is>
          <t>+</t>
        </is>
      </c>
      <c r="G60" s="576" t="n">
        <v>0</v>
      </c>
      <c r="H60" s="587" t="n"/>
      <c r="I60" s="587" t="n"/>
      <c r="J60" s="587" t="n"/>
      <c r="K60" s="587" t="n"/>
      <c r="L60" s="578" t="n">
        <v>0</v>
      </c>
      <c r="M60" s="581" t="inlineStr">
        <is>
          <t>N/A</t>
        </is>
      </c>
      <c r="N60" s="583" t="n"/>
      <c r="O60" s="587" t="n"/>
      <c r="P60" s="587" t="n"/>
      <c r="Q60" s="578" t="n">
        <v>0</v>
      </c>
      <c r="R60" s="581" t="inlineStr">
        <is>
          <t>N/A</t>
        </is>
      </c>
      <c r="S60" s="583" t="n"/>
      <c r="T60" s="30">
        <f>'[1]CAPEX&amp;INVESTMENT'!Y60</f>
        <v/>
      </c>
    </row>
    <row r="61" outlineLevel="1">
      <c r="A61" s="515" t="n"/>
      <c r="B61" s="563" t="inlineStr">
        <is>
          <t>Upstream</t>
        </is>
      </c>
      <c r="C61" s="539" t="inlineStr">
        <is>
          <t>[Input of the project name]</t>
        </is>
      </c>
      <c r="D61" s="912" t="inlineStr">
        <is>
          <t>[input: brief description of the project, including:</t>
        </is>
      </c>
      <c r="E61" s="518" t="inlineStr">
        <is>
          <t>thsd</t>
        </is>
      </c>
      <c r="F61" s="518" t="inlineStr">
        <is>
          <t>+</t>
        </is>
      </c>
      <c r="G61" s="576" t="n">
        <v>0</v>
      </c>
      <c r="H61" s="587" t="n"/>
      <c r="I61" s="587" t="n"/>
      <c r="J61" s="587" t="n"/>
      <c r="K61" s="587" t="n"/>
      <c r="L61" s="578" t="n">
        <v>0</v>
      </c>
      <c r="M61" s="581" t="inlineStr">
        <is>
          <t>N/A</t>
        </is>
      </c>
      <c r="N61" s="583" t="n"/>
      <c r="O61" s="587" t="n"/>
      <c r="P61" s="587" t="n"/>
      <c r="Q61" s="578" t="n">
        <v>0</v>
      </c>
      <c r="R61" s="581" t="inlineStr">
        <is>
          <t>N/A</t>
        </is>
      </c>
      <c r="S61" s="583" t="n"/>
      <c r="T61" s="30">
        <f>'[1]CAPEX&amp;INVESTMENT'!Y61</f>
        <v/>
      </c>
    </row>
    <row r="62" outlineLevel="1">
      <c r="A62" s="515" t="n"/>
      <c r="B62" s="563" t="inlineStr">
        <is>
          <t>Upstream (PSA)</t>
        </is>
      </c>
      <c r="C62" s="539" t="inlineStr">
        <is>
          <t>[Input of the project name]</t>
        </is>
      </c>
      <c r="D62" s="912" t="inlineStr">
        <is>
          <t>[input: brief description of the project, including:</t>
        </is>
      </c>
      <c r="E62" s="518" t="inlineStr">
        <is>
          <t>thsd</t>
        </is>
      </c>
      <c r="F62" s="518" t="inlineStr">
        <is>
          <t>+</t>
        </is>
      </c>
      <c r="G62" s="576" t="n">
        <v>0</v>
      </c>
      <c r="H62" s="587" t="n"/>
      <c r="I62" s="587" t="n"/>
      <c r="J62" s="587" t="n"/>
      <c r="K62" s="587" t="n"/>
      <c r="L62" s="578" t="n">
        <v>0</v>
      </c>
      <c r="M62" s="581" t="inlineStr">
        <is>
          <t>N/A</t>
        </is>
      </c>
      <c r="N62" s="583" t="n"/>
      <c r="O62" s="587" t="n"/>
      <c r="P62" s="587" t="n"/>
      <c r="Q62" s="578" t="n">
        <v>0</v>
      </c>
      <c r="R62" s="581" t="inlineStr">
        <is>
          <t>N/A</t>
        </is>
      </c>
      <c r="S62" s="583" t="n"/>
      <c r="T62" s="30">
        <f>'[1]CAPEX&amp;INVESTMENT'!Y62</f>
        <v/>
      </c>
    </row>
    <row r="63" outlineLevel="1">
      <c r="A63" s="515" t="n"/>
      <c r="B63" s="563" t="inlineStr">
        <is>
          <t>Upstream (PSA)</t>
        </is>
      </c>
      <c r="C63" s="539" t="inlineStr">
        <is>
          <t>[Input of the project name]</t>
        </is>
      </c>
      <c r="D63" s="912" t="inlineStr">
        <is>
          <t>[input: brief description of the project, including:</t>
        </is>
      </c>
      <c r="E63" s="518" t="inlineStr">
        <is>
          <t>thsd</t>
        </is>
      </c>
      <c r="F63" s="518" t="inlineStr">
        <is>
          <t>+</t>
        </is>
      </c>
      <c r="G63" s="576" t="n">
        <v>0</v>
      </c>
      <c r="H63" s="587" t="n"/>
      <c r="I63" s="587" t="n"/>
      <c r="J63" s="587" t="n"/>
      <c r="K63" s="587" t="n"/>
      <c r="L63" s="578" t="n">
        <v>0</v>
      </c>
      <c r="M63" s="581" t="inlineStr">
        <is>
          <t>N/A</t>
        </is>
      </c>
      <c r="N63" s="583" t="n"/>
      <c r="O63" s="587" t="n"/>
      <c r="P63" s="587" t="n"/>
      <c r="Q63" s="578" t="n">
        <v>0</v>
      </c>
      <c r="R63" s="581" t="inlineStr">
        <is>
          <t>N/A</t>
        </is>
      </c>
      <c r="S63" s="583" t="n"/>
      <c r="T63" s="30">
        <f>'[1]CAPEX&amp;INVESTMENT'!Y63</f>
        <v/>
      </c>
    </row>
    <row r="64" outlineLevel="1">
      <c r="A64" s="515" t="n"/>
      <c r="B64" s="563" t="inlineStr">
        <is>
          <t>Upstream (PSA)</t>
        </is>
      </c>
      <c r="C64" s="912" t="inlineStr">
        <is>
          <t>[Input of the project name]</t>
        </is>
      </c>
      <c r="D64" s="912" t="inlineStr">
        <is>
          <t>[input: brief description of the project, including:</t>
        </is>
      </c>
      <c r="E64" s="518" t="inlineStr">
        <is>
          <t>thsd</t>
        </is>
      </c>
      <c r="F64" s="518" t="inlineStr">
        <is>
          <t>+</t>
        </is>
      </c>
      <c r="G64" s="576" t="n">
        <v>0</v>
      </c>
      <c r="H64" s="587" t="n"/>
      <c r="I64" s="587" t="n"/>
      <c r="J64" s="587" t="n"/>
      <c r="K64" s="587" t="n"/>
      <c r="L64" s="578" t="n">
        <v>0</v>
      </c>
      <c r="M64" s="581" t="inlineStr">
        <is>
          <t>N/A</t>
        </is>
      </c>
      <c r="N64" s="583" t="n"/>
      <c r="O64" s="587" t="n"/>
      <c r="P64" s="587" t="n"/>
      <c r="Q64" s="578" t="n">
        <v>0</v>
      </c>
      <c r="R64" s="581" t="inlineStr">
        <is>
          <t>N/A</t>
        </is>
      </c>
      <c r="S64" s="583" t="n"/>
      <c r="T64" s="30">
        <f>'[1]CAPEX&amp;INVESTMENT'!Y64</f>
        <v/>
      </c>
    </row>
    <row r="65" outlineLevel="1">
      <c r="A65" s="515" t="n"/>
      <c r="B65" s="563" t="inlineStr">
        <is>
          <t>Upstream</t>
        </is>
      </c>
      <c r="C65" s="568" t="inlineStr">
        <is>
          <t>Other projects</t>
        </is>
      </c>
      <c r="D65" s="913" t="n"/>
      <c r="E65" s="518" t="inlineStr">
        <is>
          <t>thsd</t>
        </is>
      </c>
      <c r="F65" s="518" t="inlineStr">
        <is>
          <t>+</t>
        </is>
      </c>
      <c r="G65" s="575" t="n">
        <v>0</v>
      </c>
      <c r="H65" s="587" t="n"/>
      <c r="I65" s="587" t="n"/>
      <c r="J65" s="587" t="n"/>
      <c r="K65" s="587" t="n"/>
      <c r="L65" s="578" t="n">
        <v>0</v>
      </c>
      <c r="M65" s="581" t="inlineStr">
        <is>
          <t>N/A</t>
        </is>
      </c>
      <c r="N65" s="583" t="n"/>
      <c r="O65" s="587" t="n"/>
      <c r="P65" s="587" t="n"/>
      <c r="Q65" s="578" t="n">
        <v>0</v>
      </c>
      <c r="R65" s="581" t="inlineStr">
        <is>
          <t>N/A</t>
        </is>
      </c>
      <c r="S65" s="583" t="n"/>
      <c r="T65" s="30">
        <f>'[1]CAPEX&amp;INVESTMENT'!Y65</f>
        <v/>
      </c>
    </row>
    <row r="66" outlineLevel="1">
      <c r="A66" s="515" t="n"/>
      <c r="B66" s="562" t="inlineStr">
        <is>
          <t>Downstream</t>
        </is>
      </c>
      <c r="C66" s="569" t="inlineStr">
        <is>
          <t>Total</t>
        </is>
      </c>
      <c r="D66" s="914" t="inlineStr">
        <is>
          <t>Cəmi</t>
        </is>
      </c>
      <c r="E66" s="518" t="inlineStr">
        <is>
          <t>thsd</t>
        </is>
      </c>
      <c r="F66" s="518" t="inlineStr">
        <is>
          <t>+</t>
        </is>
      </c>
      <c r="G66" s="576" t="n">
        <v>0</v>
      </c>
      <c r="H66" s="576">
        <f t="array" ref="H66">SUMPRODUCT(--(($B67:$B$255)=$B66),--(_xlfn.ISFORMULA(H67:H$255)=TRUE),H67:H$255)</f>
        <v/>
      </c>
      <c r="I66" s="576">
        <f t="array" ref="I66">SUMPRODUCT(--(($B67:$B$255)=$B66),--(_xlfn.ISFORMULA(I67:I$255)=TRUE),I67:I$255)</f>
        <v/>
      </c>
      <c r="J66" s="576">
        <f t="array" ref="J66">SUMPRODUCT(--(($B67:$B$255)=$B66),--(_xlfn.ISFORMULA(J67:J$255)=TRUE),J67:J$255)</f>
        <v/>
      </c>
      <c r="K66" s="576">
        <f t="array" ref="K66">SUMPRODUCT(--(($B67:$B$255)=$B66),--(_xlfn.ISFORMULA(K67:K$255)=TRUE),K67:K$255)</f>
        <v/>
      </c>
      <c r="L66" s="577">
        <f/>
        <v/>
      </c>
      <c r="M66" s="580">
        <f/>
        <v/>
      </c>
      <c r="N66" s="583" t="n"/>
      <c r="O66" s="576">
        <f t="array" ref="O66">SUMPRODUCT(--(($B67:$B$255)=$B66),--(_xlfn.ISFORMULA(O67:O$255)=TRUE),O67:O$255)</f>
        <v/>
      </c>
      <c r="P66" s="576">
        <f t="array" ref="P66">SUMPRODUCT(--(($B67:$B$255)=$B66),--(_xlfn.ISFORMULA(P67:P$255)=TRUE),P67:P$255)</f>
        <v/>
      </c>
      <c r="Q66" s="577">
        <f/>
        <v/>
      </c>
      <c r="R66" s="580">
        <f/>
        <v/>
      </c>
      <c r="S66" s="583" t="n"/>
      <c r="T66" s="30">
        <f>'[1]CAPEX&amp;INVESTMENT'!Y66</f>
        <v/>
      </c>
    </row>
    <row r="67" outlineLevel="1">
      <c r="A67" s="515" t="n"/>
      <c r="B67" s="563" t="inlineStr">
        <is>
          <t>Downstream</t>
        </is>
      </c>
      <c r="C67" s="565" t="inlineStr">
        <is>
          <t xml:space="preserve">Modernization/construction projects </t>
        </is>
      </c>
      <c r="D67" s="911" t="inlineStr">
        <is>
          <t>Modernizasiya</t>
        </is>
      </c>
      <c r="E67" s="518" t="inlineStr">
        <is>
          <t>thsd</t>
        </is>
      </c>
      <c r="F67" s="518" t="inlineStr">
        <is>
          <t>+</t>
        </is>
      </c>
      <c r="G67" s="576" t="n">
        <v>0</v>
      </c>
      <c r="H67" s="588">
        <f>SUM(INDIRECT(CHAR(COLUMN()+64)&amp;ROW(H68)&amp;":"&amp;IF(_xlfn.ISFORMULA(INDIRECT((ADDRESS(ROW()-1+MATCH(1,$T68:$T$259,0),COLUMN(),1,1)))),(ADDRESS(ROW()+31+MATCH(1,$T68:$T$259,0),COLUMN(),1,1)),(ADDRESS(ROW()-1+MATCH(1,$T68:$T$259,0),COLUMN(),1,1)))))</f>
        <v/>
      </c>
      <c r="I67" s="588">
        <f>SUM(INDIRECT(CHAR(COLUMN()+64)&amp;ROW(I68)&amp;":"&amp;IF(_xlfn.ISFORMULA(INDIRECT((ADDRESS(ROW()-1+MATCH(1,$T68:$T$259,0),COLUMN(),1,1)))),(ADDRESS(ROW()+31+MATCH(1,$T68:$T$259,0),COLUMN(),1,1)),(ADDRESS(ROW()-1+MATCH(1,$T68:$T$259,0),COLUMN(),1,1)))))</f>
        <v/>
      </c>
      <c r="J67" s="588">
        <f>SUM(INDIRECT(CHAR(COLUMN()+64)&amp;ROW(J68)&amp;":"&amp;IF(_xlfn.ISFORMULA(INDIRECT((ADDRESS(ROW()-1+MATCH(1,$T68:$T$259,0),COLUMN(),1,1)))),(ADDRESS(ROW()+31+MATCH(1,$T68:$T$259,0),COLUMN(),1,1)),(ADDRESS(ROW()-1+MATCH(1,$T68:$T$259,0),COLUMN(),1,1)))))</f>
        <v/>
      </c>
      <c r="K67" s="588">
        <f>SUM(INDIRECT(CHAR(COLUMN()+64)&amp;ROW(K68)&amp;":"&amp;IF(_xlfn.ISFORMULA(INDIRECT((ADDRESS(ROW()-1+MATCH(1,$T68:$T$259,0),COLUMN(),1,1)))),(ADDRESS(ROW()+31+MATCH(1,$T68:$T$259,0),COLUMN(),1,1)),(ADDRESS(ROW()-1+MATCH(1,$T68:$T$259,0),COLUMN(),1,1)))))</f>
        <v/>
      </c>
      <c r="L67" s="578">
        <f/>
        <v/>
      </c>
      <c r="M67" s="581">
        <f/>
        <v/>
      </c>
      <c r="N67" s="583" t="n"/>
      <c r="O67" s="588">
        <f>SUM(INDIRECT(CHAR(COLUMN()+64)&amp;ROW(O68)&amp;":"&amp;IF(_xlfn.ISFORMULA(INDIRECT((ADDRESS(ROW()-1+MATCH(1,$T68:$T$259,0),COLUMN(),1,1)))),(ADDRESS(ROW()+31+MATCH(1,$T68:$T$259,0),COLUMN(),1,1)),(ADDRESS(ROW()-1+MATCH(1,$T68:$T$259,0),COLUMN(),1,1)))))</f>
        <v/>
      </c>
      <c r="P67" s="588">
        <f>SUM(INDIRECT(CHAR(COLUMN()+64)&amp;ROW(P68)&amp;":"&amp;IF(_xlfn.ISFORMULA(INDIRECT((ADDRESS(ROW()-1+MATCH(1,$T68:$T$259,0),COLUMN(),1,1)))),(ADDRESS(ROW()+31+MATCH(1,$T68:$T$259,0),COLUMN(),1,1)),(ADDRESS(ROW()-1+MATCH(1,$T68:$T$259,0),COLUMN(),1,1)))))</f>
        <v/>
      </c>
      <c r="Q67" s="578">
        <f/>
        <v/>
      </c>
      <c r="R67" s="581">
        <f/>
        <v/>
      </c>
      <c r="S67" s="583" t="n"/>
      <c r="T67" s="30">
        <f>'[1]CAPEX&amp;INVESTMENT'!Y67</f>
        <v/>
      </c>
    </row>
    <row r="68" outlineLevel="1">
      <c r="A68" s="515" t="n"/>
      <c r="B68" s="563" t="inlineStr">
        <is>
          <t>Downstream</t>
        </is>
      </c>
      <c r="C68" s="539" t="inlineStr">
        <is>
          <t>[Input of the project name]</t>
        </is>
      </c>
      <c r="D68" s="912" t="inlineStr">
        <is>
          <t>[input: brief description of the project, including:</t>
        </is>
      </c>
      <c r="E68" s="518" t="inlineStr">
        <is>
          <t>thsd</t>
        </is>
      </c>
      <c r="F68" s="518" t="inlineStr">
        <is>
          <t>+</t>
        </is>
      </c>
      <c r="G68" s="576" t="n">
        <v>0</v>
      </c>
      <c r="H68" s="587" t="n"/>
      <c r="I68" s="587" t="n"/>
      <c r="J68" s="587" t="n"/>
      <c r="K68" s="587" t="n"/>
      <c r="L68" s="578" t="n">
        <v>0</v>
      </c>
      <c r="M68" s="581" t="inlineStr">
        <is>
          <t>N/A</t>
        </is>
      </c>
      <c r="N68" s="583" t="n"/>
      <c r="O68" s="587" t="n"/>
      <c r="P68" s="587" t="n"/>
      <c r="Q68" s="578" t="n">
        <v>0</v>
      </c>
      <c r="R68" s="581" t="inlineStr">
        <is>
          <t>N/A</t>
        </is>
      </c>
      <c r="S68" s="583" t="n"/>
      <c r="T68" s="30">
        <f>'[1]CAPEX&amp;INVESTMENT'!Y68</f>
        <v/>
      </c>
    </row>
    <row r="69" outlineLevel="1">
      <c r="A69" s="515" t="n"/>
      <c r="B69" s="563" t="inlineStr">
        <is>
          <t>Downstream</t>
        </is>
      </c>
      <c r="C69" s="539" t="inlineStr">
        <is>
          <t>[Input of the project name]</t>
        </is>
      </c>
      <c r="D69" s="912" t="inlineStr">
        <is>
          <t>[input: brief description of the project, including:</t>
        </is>
      </c>
      <c r="E69" s="518" t="inlineStr">
        <is>
          <t>thsd</t>
        </is>
      </c>
      <c r="F69" s="518" t="inlineStr">
        <is>
          <t>+</t>
        </is>
      </c>
      <c r="G69" s="576" t="n">
        <v>0</v>
      </c>
      <c r="H69" s="587" t="n"/>
      <c r="I69" s="587" t="n"/>
      <c r="J69" s="587" t="n"/>
      <c r="K69" s="587" t="n"/>
      <c r="L69" s="578" t="n">
        <v>0</v>
      </c>
      <c r="M69" s="581" t="inlineStr">
        <is>
          <t>N/A</t>
        </is>
      </c>
      <c r="N69" s="583" t="n"/>
      <c r="O69" s="587" t="n"/>
      <c r="P69" s="587" t="n"/>
      <c r="Q69" s="578" t="n">
        <v>0</v>
      </c>
      <c r="R69" s="581" t="inlineStr">
        <is>
          <t>N/A</t>
        </is>
      </c>
      <c r="S69" s="583" t="n"/>
      <c r="T69" s="30">
        <f>'[1]CAPEX&amp;INVESTMENT'!Y69</f>
        <v/>
      </c>
    </row>
    <row r="70" outlineLevel="1">
      <c r="A70" s="515" t="n"/>
      <c r="B70" s="563" t="inlineStr">
        <is>
          <t>Downstream</t>
        </is>
      </c>
      <c r="C70" s="539" t="inlineStr">
        <is>
          <t>[Input of the project name]</t>
        </is>
      </c>
      <c r="D70" s="912" t="inlineStr">
        <is>
          <t>[input: brief description of the project, including:</t>
        </is>
      </c>
      <c r="E70" s="518" t="inlineStr">
        <is>
          <t>thsd</t>
        </is>
      </c>
      <c r="F70" s="518" t="inlineStr">
        <is>
          <t>+</t>
        </is>
      </c>
      <c r="G70" s="576" t="n">
        <v>0</v>
      </c>
      <c r="H70" s="587" t="n"/>
      <c r="I70" s="587" t="n"/>
      <c r="J70" s="587" t="n"/>
      <c r="K70" s="587" t="n"/>
      <c r="L70" s="578" t="n">
        <v>0</v>
      </c>
      <c r="M70" s="581" t="inlineStr">
        <is>
          <t>N/A</t>
        </is>
      </c>
      <c r="N70" s="583" t="n"/>
      <c r="O70" s="587" t="n"/>
      <c r="P70" s="587" t="n"/>
      <c r="Q70" s="578" t="n">
        <v>0</v>
      </c>
      <c r="R70" s="581" t="inlineStr">
        <is>
          <t>N/A</t>
        </is>
      </c>
      <c r="S70" s="583" t="n"/>
      <c r="T70" s="30">
        <f>'[1]CAPEX&amp;INVESTMENT'!Y70</f>
        <v/>
      </c>
    </row>
    <row r="71" outlineLevel="1">
      <c r="A71" s="515" t="n"/>
      <c r="B71" s="563" t="inlineStr">
        <is>
          <t>Downstream</t>
        </is>
      </c>
      <c r="C71" s="539" t="inlineStr">
        <is>
          <t>[Input of the project name]</t>
        </is>
      </c>
      <c r="D71" s="912" t="inlineStr">
        <is>
          <t>[input: brief description of the project, including:</t>
        </is>
      </c>
      <c r="E71" s="518" t="inlineStr">
        <is>
          <t>thsd</t>
        </is>
      </c>
      <c r="F71" s="518" t="inlineStr">
        <is>
          <t>+</t>
        </is>
      </c>
      <c r="G71" s="576" t="n">
        <v>0</v>
      </c>
      <c r="H71" s="587" t="n"/>
      <c r="I71" s="587" t="n"/>
      <c r="J71" s="587" t="n"/>
      <c r="K71" s="587" t="n"/>
      <c r="L71" s="578" t="n">
        <v>0</v>
      </c>
      <c r="M71" s="581" t="inlineStr">
        <is>
          <t>N/A</t>
        </is>
      </c>
      <c r="N71" s="583" t="n"/>
      <c r="O71" s="587" t="n"/>
      <c r="P71" s="587" t="n"/>
      <c r="Q71" s="578" t="n">
        <v>0</v>
      </c>
      <c r="R71" s="581" t="inlineStr">
        <is>
          <t>N/A</t>
        </is>
      </c>
      <c r="S71" s="583" t="n"/>
      <c r="T71" s="30">
        <f>'[1]CAPEX&amp;INVESTMENT'!Y71</f>
        <v/>
      </c>
    </row>
    <row r="72" outlineLevel="1">
      <c r="A72" s="515" t="n"/>
      <c r="B72" s="564" t="inlineStr">
        <is>
          <t>Downstream</t>
        </is>
      </c>
      <c r="C72" s="568" t="inlineStr">
        <is>
          <t>[Input of the project name]</t>
        </is>
      </c>
      <c r="D72" s="913" t="inlineStr">
        <is>
          <t>[input: brief description of the project, including:</t>
        </is>
      </c>
      <c r="E72" s="518" t="inlineStr">
        <is>
          <t>thsd</t>
        </is>
      </c>
      <c r="F72" s="518" t="inlineStr">
        <is>
          <t>+</t>
        </is>
      </c>
      <c r="G72" s="576" t="n">
        <v>0</v>
      </c>
      <c r="H72" s="587" t="n"/>
      <c r="I72" s="587" t="n"/>
      <c r="J72" s="587" t="n"/>
      <c r="K72" s="587" t="n"/>
      <c r="L72" s="578" t="n">
        <v>0</v>
      </c>
      <c r="M72" s="581" t="inlineStr">
        <is>
          <t>N/A</t>
        </is>
      </c>
      <c r="N72" s="583" t="n"/>
      <c r="O72" s="587" t="n"/>
      <c r="P72" s="587" t="n"/>
      <c r="Q72" s="578" t="n">
        <v>0</v>
      </c>
      <c r="R72" s="581" t="inlineStr">
        <is>
          <t>N/A</t>
        </is>
      </c>
      <c r="S72" s="583" t="n"/>
      <c r="T72" s="30">
        <f>'[1]CAPEX&amp;INVESTMENT'!Y72</f>
        <v/>
      </c>
    </row>
    <row r="73">
      <c r="A73" s="515" t="n"/>
      <c r="B73" s="564" t="inlineStr">
        <is>
          <t>Downstream</t>
        </is>
      </c>
      <c r="C73" s="568" t="inlineStr">
        <is>
          <t>[Input of the project name]</t>
        </is>
      </c>
      <c r="D73" s="913" t="inlineStr">
        <is>
          <t>[input: brief description of the project, including:</t>
        </is>
      </c>
      <c r="E73" s="518" t="inlineStr">
        <is>
          <t>thsd</t>
        </is>
      </c>
      <c r="F73" s="518" t="inlineStr">
        <is>
          <t>+</t>
        </is>
      </c>
      <c r="G73" s="576" t="n">
        <v>0</v>
      </c>
      <c r="H73" s="587" t="n"/>
      <c r="I73" s="587" t="n"/>
      <c r="J73" s="587" t="n"/>
      <c r="K73" s="587" t="n"/>
      <c r="L73" s="579" t="n">
        <v>0</v>
      </c>
      <c r="M73" s="582" t="inlineStr">
        <is>
          <t>N/A</t>
        </is>
      </c>
      <c r="N73" s="583" t="n"/>
      <c r="O73" s="587" t="n"/>
      <c r="P73" s="587" t="n"/>
      <c r="Q73" s="579" t="n">
        <v>0</v>
      </c>
      <c r="R73" s="582" t="inlineStr">
        <is>
          <t>N/A</t>
        </is>
      </c>
      <c r="S73" s="583" t="n"/>
      <c r="T73" s="30">
        <f>'[1]CAPEX&amp;INVESTMENT'!Y73</f>
        <v/>
      </c>
    </row>
    <row r="74" outlineLevel="1">
      <c r="A74" s="515" t="n"/>
      <c r="B74" s="563" t="inlineStr">
        <is>
          <t>Downstream</t>
        </is>
      </c>
      <c r="C74" s="539" t="inlineStr">
        <is>
          <t>[Input of the project name]</t>
        </is>
      </c>
      <c r="D74" s="912" t="inlineStr">
        <is>
          <t>[input: brief description of the project, including:</t>
        </is>
      </c>
      <c r="E74" s="518" t="inlineStr">
        <is>
          <t>thsd</t>
        </is>
      </c>
      <c r="F74" s="518" t="inlineStr">
        <is>
          <t>+</t>
        </is>
      </c>
      <c r="G74" s="576" t="n">
        <v>0</v>
      </c>
      <c r="H74" s="587" t="n"/>
      <c r="I74" s="587" t="n"/>
      <c r="J74" s="587" t="n"/>
      <c r="K74" s="587" t="n"/>
      <c r="L74" s="578" t="n">
        <v>0</v>
      </c>
      <c r="M74" s="581" t="inlineStr">
        <is>
          <t>N/A</t>
        </is>
      </c>
      <c r="N74" s="583" t="n"/>
      <c r="O74" s="587" t="n"/>
      <c r="P74" s="587" t="n"/>
      <c r="Q74" s="578" t="n">
        <v>0</v>
      </c>
      <c r="R74" s="581" t="inlineStr">
        <is>
          <t>N/A</t>
        </is>
      </c>
      <c r="S74" s="583" t="n"/>
      <c r="T74" s="30">
        <f>'[1]CAPEX&amp;INVESTMENT'!Y74</f>
        <v/>
      </c>
    </row>
    <row r="75" outlineLevel="1">
      <c r="A75" s="515" t="n"/>
      <c r="B75" s="563" t="inlineStr">
        <is>
          <t>Downstream</t>
        </is>
      </c>
      <c r="C75" s="539" t="inlineStr">
        <is>
          <t>[Input of the project name]</t>
        </is>
      </c>
      <c r="D75" s="912" t="inlineStr">
        <is>
          <t>[input: brief description of the project, including:</t>
        </is>
      </c>
      <c r="E75" s="518" t="inlineStr">
        <is>
          <t>thsd</t>
        </is>
      </c>
      <c r="F75" s="518" t="inlineStr">
        <is>
          <t>+</t>
        </is>
      </c>
      <c r="G75" s="576" t="n">
        <v>0</v>
      </c>
      <c r="H75" s="587" t="n"/>
      <c r="I75" s="587" t="n"/>
      <c r="J75" s="587" t="n"/>
      <c r="K75" s="587" t="n"/>
      <c r="L75" s="578" t="n">
        <v>0</v>
      </c>
      <c r="M75" s="581" t="inlineStr">
        <is>
          <t>N/A</t>
        </is>
      </c>
      <c r="N75" s="583" t="n"/>
      <c r="O75" s="587" t="n"/>
      <c r="P75" s="587" t="n"/>
      <c r="Q75" s="578" t="n">
        <v>0</v>
      </c>
      <c r="R75" s="581" t="inlineStr">
        <is>
          <t>N/A</t>
        </is>
      </c>
      <c r="S75" s="583" t="n"/>
      <c r="T75" s="30">
        <f>'[1]CAPEX&amp;INVESTMENT'!Y75</f>
        <v/>
      </c>
    </row>
    <row r="76" outlineLevel="1">
      <c r="A76" s="515" t="n"/>
      <c r="B76" s="563" t="inlineStr">
        <is>
          <t>Downstream</t>
        </is>
      </c>
      <c r="C76" s="539" t="inlineStr">
        <is>
          <t>[Input of the project name]</t>
        </is>
      </c>
      <c r="D76" s="912" t="inlineStr">
        <is>
          <t>[input: brief description of the project, including:</t>
        </is>
      </c>
      <c r="E76" s="518" t="inlineStr">
        <is>
          <t>thsd</t>
        </is>
      </c>
      <c r="F76" s="518" t="inlineStr">
        <is>
          <t>+</t>
        </is>
      </c>
      <c r="G76" s="576" t="n">
        <v>0</v>
      </c>
      <c r="H76" s="587" t="n"/>
      <c r="I76" s="587" t="n"/>
      <c r="J76" s="587" t="n"/>
      <c r="K76" s="587" t="n"/>
      <c r="L76" s="578" t="n">
        <v>0</v>
      </c>
      <c r="M76" s="581" t="inlineStr">
        <is>
          <t>N/A</t>
        </is>
      </c>
      <c r="N76" s="583" t="n"/>
      <c r="O76" s="587" t="n"/>
      <c r="P76" s="587" t="n"/>
      <c r="Q76" s="578" t="n">
        <v>0</v>
      </c>
      <c r="R76" s="581" t="inlineStr">
        <is>
          <t>N/A</t>
        </is>
      </c>
      <c r="S76" s="583" t="n"/>
      <c r="T76" s="30">
        <f>'[1]CAPEX&amp;INVESTMENT'!Y76</f>
        <v/>
      </c>
    </row>
    <row r="77" outlineLevel="1">
      <c r="A77" s="515" t="n"/>
      <c r="B77" s="563" t="inlineStr">
        <is>
          <t>Downstream</t>
        </is>
      </c>
      <c r="C77" s="539" t="inlineStr">
        <is>
          <t>[Input of the project name]</t>
        </is>
      </c>
      <c r="D77" s="912" t="inlineStr">
        <is>
          <t>[input: brief description of the project, including:</t>
        </is>
      </c>
      <c r="E77" s="518" t="inlineStr">
        <is>
          <t>thsd</t>
        </is>
      </c>
      <c r="F77" s="518" t="inlineStr">
        <is>
          <t>+</t>
        </is>
      </c>
      <c r="G77" s="576" t="n">
        <v>0</v>
      </c>
      <c r="H77" s="587" t="n"/>
      <c r="I77" s="587" t="n"/>
      <c r="J77" s="587" t="n"/>
      <c r="K77" s="587" t="n"/>
      <c r="L77" s="578" t="n">
        <v>0</v>
      </c>
      <c r="M77" s="581" t="inlineStr">
        <is>
          <t>N/A</t>
        </is>
      </c>
      <c r="N77" s="583" t="n"/>
      <c r="O77" s="587" t="n"/>
      <c r="P77" s="587" t="n"/>
      <c r="Q77" s="578" t="n">
        <v>0</v>
      </c>
      <c r="R77" s="581" t="inlineStr">
        <is>
          <t>N/A</t>
        </is>
      </c>
      <c r="S77" s="583" t="n"/>
      <c r="T77" s="30">
        <f>'[1]CAPEX&amp;INVESTMENT'!Y77</f>
        <v/>
      </c>
    </row>
    <row r="78" outlineLevel="1">
      <c r="A78" s="515" t="n"/>
      <c r="B78" s="563" t="inlineStr">
        <is>
          <t>Downstream</t>
        </is>
      </c>
      <c r="C78" s="539" t="inlineStr">
        <is>
          <t>[Input of the project name]</t>
        </is>
      </c>
      <c r="D78" s="912" t="inlineStr">
        <is>
          <t>[input: brief description of the project, including:</t>
        </is>
      </c>
      <c r="E78" s="518" t="inlineStr">
        <is>
          <t>thsd</t>
        </is>
      </c>
      <c r="F78" s="518" t="inlineStr">
        <is>
          <t>+</t>
        </is>
      </c>
      <c r="G78" s="576" t="n">
        <v>0</v>
      </c>
      <c r="H78" s="587" t="n"/>
      <c r="I78" s="587" t="n"/>
      <c r="J78" s="587" t="n"/>
      <c r="K78" s="587" t="n"/>
      <c r="L78" s="578" t="n">
        <v>0</v>
      </c>
      <c r="M78" s="581" t="inlineStr">
        <is>
          <t>N/A</t>
        </is>
      </c>
      <c r="N78" s="583" t="n"/>
      <c r="O78" s="587" t="n"/>
      <c r="P78" s="587" t="n"/>
      <c r="Q78" s="578" t="n">
        <v>0</v>
      </c>
      <c r="R78" s="581" t="inlineStr">
        <is>
          <t>N/A</t>
        </is>
      </c>
      <c r="S78" s="583" t="n"/>
      <c r="T78" s="30">
        <f>'[1]CAPEX&amp;INVESTMENT'!Y78</f>
        <v/>
      </c>
    </row>
    <row r="79" outlineLevel="1">
      <c r="A79" s="515" t="n"/>
      <c r="B79" s="563" t="inlineStr">
        <is>
          <t>Downstream</t>
        </is>
      </c>
      <c r="C79" s="539" t="inlineStr">
        <is>
          <t>[Input of the project name]</t>
        </is>
      </c>
      <c r="D79" s="912" t="inlineStr">
        <is>
          <t>[input: brief description of the project, including:</t>
        </is>
      </c>
      <c r="E79" s="518" t="inlineStr">
        <is>
          <t>thsd</t>
        </is>
      </c>
      <c r="F79" s="518" t="inlineStr">
        <is>
          <t>+</t>
        </is>
      </c>
      <c r="G79" s="576" t="n">
        <v>0</v>
      </c>
      <c r="H79" s="587" t="n"/>
      <c r="I79" s="587" t="n"/>
      <c r="J79" s="587" t="n"/>
      <c r="K79" s="587" t="n"/>
      <c r="L79" s="578" t="n">
        <v>0</v>
      </c>
      <c r="M79" s="581" t="inlineStr">
        <is>
          <t>N/A</t>
        </is>
      </c>
      <c r="N79" s="583" t="n"/>
      <c r="O79" s="587" t="n"/>
      <c r="P79" s="587" t="n"/>
      <c r="Q79" s="578" t="n">
        <v>0</v>
      </c>
      <c r="R79" s="581" t="inlineStr">
        <is>
          <t>N/A</t>
        </is>
      </c>
      <c r="S79" s="583" t="n"/>
      <c r="T79" s="30">
        <f>'[1]CAPEX&amp;INVESTMENT'!Y79</f>
        <v/>
      </c>
    </row>
    <row r="80" outlineLevel="1">
      <c r="A80" s="515" t="n"/>
      <c r="B80" s="563" t="inlineStr">
        <is>
          <t>Downstream</t>
        </is>
      </c>
      <c r="C80" s="539" t="inlineStr">
        <is>
          <t>[Input of the project name]</t>
        </is>
      </c>
      <c r="D80" s="912" t="inlineStr">
        <is>
          <t>[input: brief description of the project, including:</t>
        </is>
      </c>
      <c r="E80" s="518" t="inlineStr">
        <is>
          <t>thsd</t>
        </is>
      </c>
      <c r="F80" s="518" t="inlineStr">
        <is>
          <t>+</t>
        </is>
      </c>
      <c r="G80" s="576" t="n">
        <v>0</v>
      </c>
      <c r="H80" s="587" t="n"/>
      <c r="I80" s="587" t="n"/>
      <c r="J80" s="587" t="n"/>
      <c r="K80" s="587" t="n"/>
      <c r="L80" s="578" t="n">
        <v>0</v>
      </c>
      <c r="M80" s="581" t="inlineStr">
        <is>
          <t>N/A</t>
        </is>
      </c>
      <c r="N80" s="583" t="n"/>
      <c r="O80" s="587" t="n"/>
      <c r="P80" s="587" t="n"/>
      <c r="Q80" s="578" t="n">
        <v>0</v>
      </c>
      <c r="R80" s="581" t="inlineStr">
        <is>
          <t>N/A</t>
        </is>
      </c>
      <c r="S80" s="583" t="n"/>
      <c r="T80" s="30">
        <f>'[1]CAPEX&amp;INVESTMENT'!Y80</f>
        <v/>
      </c>
    </row>
    <row r="81" outlineLevel="1">
      <c r="A81" s="515" t="n"/>
      <c r="B81" s="563" t="inlineStr">
        <is>
          <t>Downstream</t>
        </is>
      </c>
      <c r="C81" s="539" t="inlineStr">
        <is>
          <t>[Input of the project name]</t>
        </is>
      </c>
      <c r="D81" s="912" t="inlineStr">
        <is>
          <t>[input: brief description of the project, including:</t>
        </is>
      </c>
      <c r="E81" s="518" t="inlineStr">
        <is>
          <t>thsd</t>
        </is>
      </c>
      <c r="F81" s="518" t="inlineStr">
        <is>
          <t>+</t>
        </is>
      </c>
      <c r="G81" s="576" t="n">
        <v>0</v>
      </c>
      <c r="H81" s="587" t="n"/>
      <c r="I81" s="587" t="n"/>
      <c r="J81" s="587" t="n"/>
      <c r="K81" s="587" t="n"/>
      <c r="L81" s="578" t="n">
        <v>0</v>
      </c>
      <c r="M81" s="581" t="inlineStr">
        <is>
          <t>N/A</t>
        </is>
      </c>
      <c r="N81" s="583" t="n"/>
      <c r="O81" s="587" t="n"/>
      <c r="P81" s="587" t="n"/>
      <c r="Q81" s="578" t="n">
        <v>0</v>
      </c>
      <c r="R81" s="581" t="inlineStr">
        <is>
          <t>N/A</t>
        </is>
      </c>
      <c r="S81" s="583" t="n"/>
      <c r="T81" s="30">
        <f>'[1]CAPEX&amp;INVESTMENT'!Y81</f>
        <v/>
      </c>
    </row>
    <row r="82" outlineLevel="1">
      <c r="A82" s="515" t="n"/>
      <c r="B82" s="563" t="inlineStr">
        <is>
          <t>Downstream</t>
        </is>
      </c>
      <c r="C82" s="539" t="inlineStr">
        <is>
          <t>[Input of the project name]</t>
        </is>
      </c>
      <c r="D82" s="912" t="inlineStr">
        <is>
          <t>[input: brief description of the project, including:</t>
        </is>
      </c>
      <c r="E82" s="518" t="inlineStr">
        <is>
          <t>thsd</t>
        </is>
      </c>
      <c r="F82" s="518" t="inlineStr">
        <is>
          <t>+</t>
        </is>
      </c>
      <c r="G82" s="576" t="n">
        <v>0</v>
      </c>
      <c r="H82" s="587" t="n"/>
      <c r="I82" s="587" t="n"/>
      <c r="J82" s="587" t="n"/>
      <c r="K82" s="587" t="n"/>
      <c r="L82" s="578" t="n">
        <v>0</v>
      </c>
      <c r="M82" s="581" t="inlineStr">
        <is>
          <t>N/A</t>
        </is>
      </c>
      <c r="N82" s="583" t="n"/>
      <c r="O82" s="587" t="n"/>
      <c r="P82" s="587" t="n"/>
      <c r="Q82" s="578" t="n">
        <v>0</v>
      </c>
      <c r="R82" s="581" t="inlineStr">
        <is>
          <t>N/A</t>
        </is>
      </c>
      <c r="S82" s="583" t="n"/>
      <c r="T82" s="30">
        <f>'[1]CAPEX&amp;INVESTMENT'!Y82</f>
        <v/>
      </c>
    </row>
    <row r="83" outlineLevel="1">
      <c r="A83" s="515" t="n"/>
      <c r="B83" s="563" t="inlineStr">
        <is>
          <t>Downstream</t>
        </is>
      </c>
      <c r="C83" s="539" t="inlineStr">
        <is>
          <t>[Input of the project name]</t>
        </is>
      </c>
      <c r="D83" s="912" t="inlineStr">
        <is>
          <t>[input: brief description of the project, including:</t>
        </is>
      </c>
      <c r="E83" s="518" t="inlineStr">
        <is>
          <t>thsd</t>
        </is>
      </c>
      <c r="F83" s="518" t="inlineStr">
        <is>
          <t>+</t>
        </is>
      </c>
      <c r="G83" s="576" t="n">
        <v>0</v>
      </c>
      <c r="H83" s="587" t="n"/>
      <c r="I83" s="587" t="n"/>
      <c r="J83" s="587" t="n"/>
      <c r="K83" s="587" t="n"/>
      <c r="L83" s="578" t="n">
        <v>0</v>
      </c>
      <c r="M83" s="581" t="inlineStr">
        <is>
          <t>N/A</t>
        </is>
      </c>
      <c r="N83" s="583" t="n"/>
      <c r="O83" s="587" t="n"/>
      <c r="P83" s="587" t="n"/>
      <c r="Q83" s="578" t="n">
        <v>0</v>
      </c>
      <c r="R83" s="581" t="inlineStr">
        <is>
          <t>N/A</t>
        </is>
      </c>
      <c r="S83" s="583" t="n"/>
      <c r="T83" s="30">
        <f>'[1]CAPEX&amp;INVESTMENT'!Y83</f>
        <v/>
      </c>
    </row>
    <row r="84" outlineLevel="1">
      <c r="A84" s="515" t="n"/>
      <c r="B84" s="563" t="inlineStr">
        <is>
          <t>Downstream</t>
        </is>
      </c>
      <c r="C84" s="539" t="inlineStr">
        <is>
          <t>[Input of the project name]</t>
        </is>
      </c>
      <c r="D84" s="912" t="inlineStr">
        <is>
          <t>[input: brief description of the project, including:</t>
        </is>
      </c>
      <c r="E84" s="518" t="inlineStr">
        <is>
          <t>thsd</t>
        </is>
      </c>
      <c r="F84" s="518" t="inlineStr">
        <is>
          <t>+</t>
        </is>
      </c>
      <c r="G84" s="576" t="n">
        <v>0</v>
      </c>
      <c r="H84" s="587" t="n"/>
      <c r="I84" s="587" t="n"/>
      <c r="J84" s="587" t="n"/>
      <c r="K84" s="587" t="n"/>
      <c r="L84" s="578" t="n">
        <v>0</v>
      </c>
      <c r="M84" s="581" t="inlineStr">
        <is>
          <t>N/A</t>
        </is>
      </c>
      <c r="N84" s="583" t="n"/>
      <c r="O84" s="587" t="n"/>
      <c r="P84" s="587" t="n"/>
      <c r="Q84" s="578" t="n">
        <v>0</v>
      </c>
      <c r="R84" s="581" t="inlineStr">
        <is>
          <t>N/A</t>
        </is>
      </c>
      <c r="S84" s="583" t="n"/>
      <c r="T84" s="30">
        <f>'[1]CAPEX&amp;INVESTMENT'!Y84</f>
        <v/>
      </c>
    </row>
    <row r="85" outlineLevel="1">
      <c r="A85" s="515" t="n"/>
      <c r="B85" s="563" t="inlineStr">
        <is>
          <t>Downstream</t>
        </is>
      </c>
      <c r="C85" s="539" t="inlineStr">
        <is>
          <t>[Input of the project name]</t>
        </is>
      </c>
      <c r="D85" s="912" t="inlineStr">
        <is>
          <t>[input: brief description of the project, including:</t>
        </is>
      </c>
      <c r="E85" s="518" t="inlineStr">
        <is>
          <t>thsd</t>
        </is>
      </c>
      <c r="F85" s="518" t="inlineStr">
        <is>
          <t>+</t>
        </is>
      </c>
      <c r="G85" s="576" t="n">
        <v>0</v>
      </c>
      <c r="H85" s="587" t="n"/>
      <c r="I85" s="587" t="n"/>
      <c r="J85" s="587" t="n"/>
      <c r="K85" s="587" t="n"/>
      <c r="L85" s="578" t="n">
        <v>0</v>
      </c>
      <c r="M85" s="581" t="inlineStr">
        <is>
          <t>N/A</t>
        </is>
      </c>
      <c r="N85" s="583" t="n"/>
      <c r="O85" s="587" t="n"/>
      <c r="P85" s="587" t="n"/>
      <c r="Q85" s="578" t="n">
        <v>0</v>
      </c>
      <c r="R85" s="581" t="inlineStr">
        <is>
          <t>N/A</t>
        </is>
      </c>
      <c r="S85" s="583" t="n"/>
      <c r="T85" s="30">
        <f>'[1]CAPEX&amp;INVESTMENT'!Y85</f>
        <v/>
      </c>
    </row>
    <row r="86" outlineLevel="1">
      <c r="A86" s="515" t="n"/>
      <c r="B86" s="563" t="inlineStr">
        <is>
          <t>Downstream</t>
        </is>
      </c>
      <c r="C86" s="539" t="inlineStr">
        <is>
          <t>[Input of the project name]</t>
        </is>
      </c>
      <c r="D86" s="912" t="inlineStr">
        <is>
          <t>[input: brief description of the project, including:</t>
        </is>
      </c>
      <c r="E86" s="518" t="inlineStr">
        <is>
          <t>thsd</t>
        </is>
      </c>
      <c r="F86" s="518" t="inlineStr">
        <is>
          <t>+</t>
        </is>
      </c>
      <c r="G86" s="576" t="n">
        <v>0</v>
      </c>
      <c r="H86" s="587" t="n"/>
      <c r="I86" s="587" t="n"/>
      <c r="J86" s="587" t="n"/>
      <c r="K86" s="587" t="n"/>
      <c r="L86" s="578" t="n">
        <v>0</v>
      </c>
      <c r="M86" s="581" t="inlineStr">
        <is>
          <t>N/A</t>
        </is>
      </c>
      <c r="N86" s="583" t="n"/>
      <c r="O86" s="587" t="n"/>
      <c r="P86" s="587" t="n"/>
      <c r="Q86" s="578" t="n">
        <v>0</v>
      </c>
      <c r="R86" s="581" t="inlineStr">
        <is>
          <t>N/A</t>
        </is>
      </c>
      <c r="S86" s="583" t="n"/>
      <c r="T86" s="30">
        <f>'[1]CAPEX&amp;INVESTMENT'!Y86</f>
        <v/>
      </c>
    </row>
    <row r="87" outlineLevel="1">
      <c r="A87" s="515" t="n"/>
      <c r="B87" s="563" t="inlineStr">
        <is>
          <t>Downstream</t>
        </is>
      </c>
      <c r="C87" s="539" t="inlineStr">
        <is>
          <t>[Input of the project name]</t>
        </is>
      </c>
      <c r="D87" s="912" t="inlineStr">
        <is>
          <t>[input: brief description of the project, including:</t>
        </is>
      </c>
      <c r="E87" s="518" t="inlineStr">
        <is>
          <t>thsd</t>
        </is>
      </c>
      <c r="F87" s="518" t="inlineStr">
        <is>
          <t>+</t>
        </is>
      </c>
      <c r="G87" s="576" t="n">
        <v>0</v>
      </c>
      <c r="H87" s="587" t="n"/>
      <c r="I87" s="587" t="n"/>
      <c r="J87" s="587" t="n"/>
      <c r="K87" s="587" t="n"/>
      <c r="L87" s="578" t="n">
        <v>0</v>
      </c>
      <c r="M87" s="581" t="inlineStr">
        <is>
          <t>N/A</t>
        </is>
      </c>
      <c r="N87" s="583" t="n"/>
      <c r="O87" s="587" t="n"/>
      <c r="P87" s="587" t="n"/>
      <c r="Q87" s="578" t="n">
        <v>0</v>
      </c>
      <c r="R87" s="581" t="inlineStr">
        <is>
          <t>N/A</t>
        </is>
      </c>
      <c r="S87" s="583" t="n"/>
      <c r="T87" s="30">
        <f>'[1]CAPEX&amp;INVESTMENT'!Y87</f>
        <v/>
      </c>
    </row>
    <row r="88" outlineLevel="1">
      <c r="A88" s="515" t="n"/>
      <c r="B88" s="563" t="inlineStr">
        <is>
          <t>Downstream</t>
        </is>
      </c>
      <c r="C88" s="539" t="inlineStr">
        <is>
          <t>[Input of the project name]</t>
        </is>
      </c>
      <c r="D88" s="912" t="inlineStr">
        <is>
          <t>[input: brief description of the project, including:</t>
        </is>
      </c>
      <c r="E88" s="518" t="inlineStr">
        <is>
          <t>thsd</t>
        </is>
      </c>
      <c r="F88" s="518" t="inlineStr">
        <is>
          <t>+</t>
        </is>
      </c>
      <c r="G88" s="576" t="n">
        <v>0</v>
      </c>
      <c r="H88" s="587" t="n"/>
      <c r="I88" s="587" t="n"/>
      <c r="J88" s="587" t="n"/>
      <c r="K88" s="587" t="n"/>
      <c r="L88" s="578" t="n">
        <v>0</v>
      </c>
      <c r="M88" s="581" t="inlineStr">
        <is>
          <t>N/A</t>
        </is>
      </c>
      <c r="N88" s="583" t="n"/>
      <c r="O88" s="587" t="n"/>
      <c r="P88" s="587" t="n"/>
      <c r="Q88" s="578" t="n">
        <v>0</v>
      </c>
      <c r="R88" s="581" t="inlineStr">
        <is>
          <t>N/A</t>
        </is>
      </c>
      <c r="S88" s="583" t="n"/>
      <c r="T88" s="30">
        <f>'[1]CAPEX&amp;INVESTMENT'!Y88</f>
        <v/>
      </c>
    </row>
    <row r="89" outlineLevel="1">
      <c r="A89" s="515" t="n"/>
      <c r="B89" s="563" t="inlineStr">
        <is>
          <t>Downstream</t>
        </is>
      </c>
      <c r="C89" s="539" t="inlineStr">
        <is>
          <t>[Input of the project name]</t>
        </is>
      </c>
      <c r="D89" s="912" t="inlineStr">
        <is>
          <t>[input: brief description of the project, including:</t>
        </is>
      </c>
      <c r="E89" s="518" t="inlineStr">
        <is>
          <t>thsd</t>
        </is>
      </c>
      <c r="F89" s="518" t="inlineStr">
        <is>
          <t>+</t>
        </is>
      </c>
      <c r="G89" s="576" t="n">
        <v>0</v>
      </c>
      <c r="H89" s="587" t="n"/>
      <c r="I89" s="587" t="n"/>
      <c r="J89" s="587" t="n"/>
      <c r="K89" s="587" t="n"/>
      <c r="L89" s="578" t="n">
        <v>0</v>
      </c>
      <c r="M89" s="581" t="inlineStr">
        <is>
          <t>N/A</t>
        </is>
      </c>
      <c r="N89" s="583" t="n"/>
      <c r="O89" s="587" t="n"/>
      <c r="P89" s="587" t="n"/>
      <c r="Q89" s="578" t="n">
        <v>0</v>
      </c>
      <c r="R89" s="581" t="inlineStr">
        <is>
          <t>N/A</t>
        </is>
      </c>
      <c r="S89" s="583" t="n"/>
      <c r="T89" s="30">
        <f>'[1]CAPEX&amp;INVESTMENT'!Y89</f>
        <v/>
      </c>
    </row>
    <row r="90" outlineLevel="1">
      <c r="A90" s="515" t="n"/>
      <c r="B90" s="563" t="inlineStr">
        <is>
          <t>Downstream</t>
        </is>
      </c>
      <c r="C90" s="539" t="inlineStr">
        <is>
          <t>[Input of the project name]</t>
        </is>
      </c>
      <c r="D90" s="912" t="inlineStr">
        <is>
          <t>[input: brief description of the project, including:</t>
        </is>
      </c>
      <c r="E90" s="518" t="inlineStr">
        <is>
          <t>thsd</t>
        </is>
      </c>
      <c r="F90" s="518" t="inlineStr">
        <is>
          <t>+</t>
        </is>
      </c>
      <c r="G90" s="576" t="n">
        <v>0</v>
      </c>
      <c r="H90" s="587" t="n"/>
      <c r="I90" s="587" t="n"/>
      <c r="J90" s="587" t="n"/>
      <c r="K90" s="587" t="n"/>
      <c r="L90" s="578" t="n">
        <v>0</v>
      </c>
      <c r="M90" s="581" t="inlineStr">
        <is>
          <t>N/A</t>
        </is>
      </c>
      <c r="N90" s="583" t="n"/>
      <c r="O90" s="587" t="n"/>
      <c r="P90" s="587" t="n"/>
      <c r="Q90" s="578" t="n">
        <v>0</v>
      </c>
      <c r="R90" s="581" t="inlineStr">
        <is>
          <t>N/A</t>
        </is>
      </c>
      <c r="S90" s="583" t="n"/>
      <c r="T90" s="30">
        <f>'[1]CAPEX&amp;INVESTMENT'!Y90</f>
        <v/>
      </c>
    </row>
    <row r="91" outlineLevel="1">
      <c r="A91" s="515" t="n"/>
      <c r="B91" s="563" t="inlineStr">
        <is>
          <t>Downstream</t>
        </is>
      </c>
      <c r="C91" s="539" t="inlineStr">
        <is>
          <t>[Input of the project name]</t>
        </is>
      </c>
      <c r="D91" s="912" t="inlineStr">
        <is>
          <t>[input: brief description of the project, including:</t>
        </is>
      </c>
      <c r="E91" s="518" t="inlineStr">
        <is>
          <t>thsd</t>
        </is>
      </c>
      <c r="F91" s="518" t="inlineStr">
        <is>
          <t>+</t>
        </is>
      </c>
      <c r="G91" s="576" t="n">
        <v>0</v>
      </c>
      <c r="H91" s="587" t="n"/>
      <c r="I91" s="587" t="n"/>
      <c r="J91" s="587" t="n"/>
      <c r="K91" s="587" t="n"/>
      <c r="L91" s="578" t="n">
        <v>0</v>
      </c>
      <c r="M91" s="581" t="inlineStr">
        <is>
          <t>N/A</t>
        </is>
      </c>
      <c r="N91" s="583" t="n"/>
      <c r="O91" s="587" t="n"/>
      <c r="P91" s="587" t="n"/>
      <c r="Q91" s="578" t="n">
        <v>0</v>
      </c>
      <c r="R91" s="581" t="inlineStr">
        <is>
          <t>N/A</t>
        </is>
      </c>
      <c r="S91" s="583" t="n"/>
      <c r="T91" s="30">
        <f>'[1]CAPEX&amp;INVESTMENT'!Y91</f>
        <v/>
      </c>
    </row>
    <row r="92" outlineLevel="1">
      <c r="A92" s="515" t="n"/>
      <c r="B92" s="563" t="inlineStr">
        <is>
          <t>Downstream</t>
        </is>
      </c>
      <c r="C92" s="539" t="inlineStr">
        <is>
          <t>[Input of the project name]</t>
        </is>
      </c>
      <c r="D92" s="912" t="inlineStr">
        <is>
          <t>[input: brief description of the project, including:</t>
        </is>
      </c>
      <c r="E92" s="518" t="inlineStr">
        <is>
          <t>thsd</t>
        </is>
      </c>
      <c r="F92" s="518" t="inlineStr">
        <is>
          <t>+</t>
        </is>
      </c>
      <c r="G92" s="576" t="n">
        <v>0</v>
      </c>
      <c r="H92" s="587" t="n"/>
      <c r="I92" s="587" t="n"/>
      <c r="J92" s="587" t="n"/>
      <c r="K92" s="587" t="n"/>
      <c r="L92" s="578" t="n">
        <v>0</v>
      </c>
      <c r="M92" s="581" t="inlineStr">
        <is>
          <t>N/A</t>
        </is>
      </c>
      <c r="N92" s="583" t="n"/>
      <c r="O92" s="587" t="n"/>
      <c r="P92" s="587" t="n"/>
      <c r="Q92" s="578" t="n">
        <v>0</v>
      </c>
      <c r="R92" s="581" t="inlineStr">
        <is>
          <t>N/A</t>
        </is>
      </c>
      <c r="S92" s="583" t="n"/>
      <c r="T92" s="30">
        <f>'[1]CAPEX&amp;INVESTMENT'!Y92</f>
        <v/>
      </c>
    </row>
    <row r="93" outlineLevel="1">
      <c r="A93" s="515" t="n"/>
      <c r="B93" s="563" t="inlineStr">
        <is>
          <t>Downstream</t>
        </is>
      </c>
      <c r="C93" s="539" t="inlineStr">
        <is>
          <t>[Input of the project name]</t>
        </is>
      </c>
      <c r="D93" s="912" t="inlineStr">
        <is>
          <t>[input: brief description of the project, including:</t>
        </is>
      </c>
      <c r="E93" s="518" t="inlineStr">
        <is>
          <t>thsd</t>
        </is>
      </c>
      <c r="F93" s="518" t="inlineStr">
        <is>
          <t>+</t>
        </is>
      </c>
      <c r="G93" s="576" t="n">
        <v>0</v>
      </c>
      <c r="H93" s="587" t="n"/>
      <c r="I93" s="587" t="n"/>
      <c r="J93" s="587" t="n"/>
      <c r="K93" s="587" t="n"/>
      <c r="L93" s="578" t="n">
        <v>0</v>
      </c>
      <c r="M93" s="581" t="inlineStr">
        <is>
          <t>N/A</t>
        </is>
      </c>
      <c r="N93" s="583" t="n"/>
      <c r="O93" s="587" t="n"/>
      <c r="P93" s="587" t="n"/>
      <c r="Q93" s="578" t="n">
        <v>0</v>
      </c>
      <c r="R93" s="581" t="inlineStr">
        <is>
          <t>N/A</t>
        </is>
      </c>
      <c r="S93" s="583" t="n"/>
      <c r="T93" s="30">
        <f>'[1]CAPEX&amp;INVESTMENT'!Y93</f>
        <v/>
      </c>
    </row>
    <row r="94" outlineLevel="1">
      <c r="A94" s="515" t="n"/>
      <c r="B94" s="563" t="inlineStr">
        <is>
          <t>Downstream</t>
        </is>
      </c>
      <c r="C94" s="539" t="inlineStr">
        <is>
          <t>[Input of the project name]</t>
        </is>
      </c>
      <c r="D94" s="912" t="inlineStr">
        <is>
          <t>[input: brief description of the project, including:</t>
        </is>
      </c>
      <c r="E94" s="518" t="inlineStr">
        <is>
          <t>thsd</t>
        </is>
      </c>
      <c r="F94" s="518" t="inlineStr">
        <is>
          <t>+</t>
        </is>
      </c>
      <c r="G94" s="576" t="n">
        <v>0</v>
      </c>
      <c r="H94" s="587" t="n"/>
      <c r="I94" s="587" t="n"/>
      <c r="J94" s="587" t="n"/>
      <c r="K94" s="587" t="n"/>
      <c r="L94" s="578" t="n">
        <v>0</v>
      </c>
      <c r="M94" s="581" t="inlineStr">
        <is>
          <t>N/A</t>
        </is>
      </c>
      <c r="N94" s="583" t="n"/>
      <c r="O94" s="587" t="n"/>
      <c r="P94" s="587" t="n"/>
      <c r="Q94" s="578" t="n">
        <v>0</v>
      </c>
      <c r="R94" s="581" t="inlineStr">
        <is>
          <t>N/A</t>
        </is>
      </c>
      <c r="S94" s="583" t="n"/>
      <c r="T94" s="30">
        <f>'[1]CAPEX&amp;INVESTMENT'!Y94</f>
        <v/>
      </c>
    </row>
    <row r="95" outlineLevel="1">
      <c r="A95" s="515" t="n"/>
      <c r="B95" s="563" t="inlineStr">
        <is>
          <t>Downstream</t>
        </is>
      </c>
      <c r="C95" s="539" t="inlineStr">
        <is>
          <t>[Input of the project name]</t>
        </is>
      </c>
      <c r="D95" s="912" t="inlineStr">
        <is>
          <t>[input: brief description of the project, including:</t>
        </is>
      </c>
      <c r="E95" s="518" t="inlineStr">
        <is>
          <t>thsd</t>
        </is>
      </c>
      <c r="F95" s="518" t="inlineStr">
        <is>
          <t>+</t>
        </is>
      </c>
      <c r="G95" s="576" t="n">
        <v>0</v>
      </c>
      <c r="H95" s="587" t="n"/>
      <c r="I95" s="587" t="n"/>
      <c r="J95" s="587" t="n"/>
      <c r="K95" s="587" t="n"/>
      <c r="L95" s="578" t="n">
        <v>0</v>
      </c>
      <c r="M95" s="581" t="inlineStr">
        <is>
          <t>N/A</t>
        </is>
      </c>
      <c r="N95" s="583" t="n"/>
      <c r="O95" s="587" t="n"/>
      <c r="P95" s="587" t="n"/>
      <c r="Q95" s="578" t="n">
        <v>0</v>
      </c>
      <c r="R95" s="581" t="inlineStr">
        <is>
          <t>N/A</t>
        </is>
      </c>
      <c r="S95" s="583" t="n"/>
      <c r="T95" s="30">
        <f>'[1]CAPEX&amp;INVESTMENT'!Y95</f>
        <v/>
      </c>
    </row>
    <row r="96" outlineLevel="1">
      <c r="A96" s="515" t="n"/>
      <c r="B96" s="563" t="inlineStr">
        <is>
          <t>Downstream</t>
        </is>
      </c>
      <c r="C96" s="539" t="inlineStr">
        <is>
          <t>[Input of the project name]</t>
        </is>
      </c>
      <c r="D96" s="912" t="inlineStr">
        <is>
          <t>[input: brief description of the project, including:</t>
        </is>
      </c>
      <c r="E96" s="518" t="inlineStr">
        <is>
          <t>thsd</t>
        </is>
      </c>
      <c r="F96" s="518" t="inlineStr">
        <is>
          <t>+</t>
        </is>
      </c>
      <c r="G96" s="576" t="n">
        <v>0</v>
      </c>
      <c r="H96" s="587" t="n"/>
      <c r="I96" s="587" t="n"/>
      <c r="J96" s="587" t="n"/>
      <c r="K96" s="587" t="n"/>
      <c r="L96" s="578" t="n">
        <v>0</v>
      </c>
      <c r="M96" s="581" t="inlineStr">
        <is>
          <t>N/A</t>
        </is>
      </c>
      <c r="N96" s="583" t="n"/>
      <c r="O96" s="587" t="n"/>
      <c r="P96" s="587" t="n"/>
      <c r="Q96" s="578" t="n">
        <v>0</v>
      </c>
      <c r="R96" s="581" t="inlineStr">
        <is>
          <t>N/A</t>
        </is>
      </c>
      <c r="S96" s="583" t="n"/>
      <c r="T96" s="30">
        <f>'[1]CAPEX&amp;INVESTMENT'!Y96</f>
        <v/>
      </c>
    </row>
    <row r="97" outlineLevel="1">
      <c r="A97" s="515" t="n"/>
      <c r="B97" s="563" t="inlineStr">
        <is>
          <t>Downstream</t>
        </is>
      </c>
      <c r="C97" s="539" t="inlineStr">
        <is>
          <t>[Input of the project name]</t>
        </is>
      </c>
      <c r="D97" s="912" t="inlineStr">
        <is>
          <t>[input: brief description of the project, including:</t>
        </is>
      </c>
      <c r="E97" s="518" t="inlineStr">
        <is>
          <t>thsd</t>
        </is>
      </c>
      <c r="F97" s="518" t="inlineStr">
        <is>
          <t>+</t>
        </is>
      </c>
      <c r="G97" s="576" t="n">
        <v>0</v>
      </c>
      <c r="H97" s="587" t="n"/>
      <c r="I97" s="587" t="n"/>
      <c r="J97" s="587" t="n"/>
      <c r="K97" s="587" t="n"/>
      <c r="L97" s="578" t="n">
        <v>0</v>
      </c>
      <c r="M97" s="581" t="inlineStr">
        <is>
          <t>N/A</t>
        </is>
      </c>
      <c r="N97" s="583" t="n"/>
      <c r="O97" s="587" t="n"/>
      <c r="P97" s="587" t="n"/>
      <c r="Q97" s="578" t="n">
        <v>0</v>
      </c>
      <c r="R97" s="581" t="inlineStr">
        <is>
          <t>N/A</t>
        </is>
      </c>
      <c r="S97" s="583" t="n"/>
      <c r="T97" s="30">
        <f>'[1]CAPEX&amp;INVESTMENT'!Y97</f>
        <v/>
      </c>
    </row>
    <row r="98" outlineLevel="1">
      <c r="A98" s="515" t="n"/>
      <c r="B98" s="563" t="inlineStr">
        <is>
          <t>Downstream</t>
        </is>
      </c>
      <c r="C98" s="568" t="inlineStr">
        <is>
          <t>[Input of the project name]</t>
        </is>
      </c>
      <c r="D98" s="912" t="inlineStr">
        <is>
          <t>[input: brief description of the project, including:</t>
        </is>
      </c>
      <c r="E98" s="518" t="inlineStr">
        <is>
          <t>thsd</t>
        </is>
      </c>
      <c r="F98" s="518" t="inlineStr">
        <is>
          <t>+</t>
        </is>
      </c>
      <c r="G98" s="575" t="n">
        <v>0</v>
      </c>
      <c r="H98" s="587" t="n"/>
      <c r="I98" s="587" t="n"/>
      <c r="J98" s="587" t="n"/>
      <c r="K98" s="587" t="n"/>
      <c r="L98" s="578" t="n">
        <v>0</v>
      </c>
      <c r="M98" s="581" t="inlineStr">
        <is>
          <t>N/A</t>
        </is>
      </c>
      <c r="N98" s="583" t="n"/>
      <c r="O98" s="587" t="n"/>
      <c r="P98" s="587" t="n"/>
      <c r="Q98" s="578" t="n">
        <v>0</v>
      </c>
      <c r="R98" s="581" t="inlineStr">
        <is>
          <t>N/A</t>
        </is>
      </c>
      <c r="S98" s="583" t="n"/>
      <c r="T98" s="30">
        <f>'[1]CAPEX&amp;INVESTMENT'!Y98</f>
        <v/>
      </c>
    </row>
    <row r="99" outlineLevel="1">
      <c r="A99" s="515" t="n"/>
      <c r="B99" s="563" t="inlineStr">
        <is>
          <t>Downstream</t>
        </is>
      </c>
      <c r="C99" s="539" t="inlineStr">
        <is>
          <t>Other projects</t>
        </is>
      </c>
      <c r="D99" s="912" t="n"/>
      <c r="E99" s="518" t="inlineStr">
        <is>
          <t>thsd</t>
        </is>
      </c>
      <c r="F99" s="518" t="inlineStr">
        <is>
          <t>+</t>
        </is>
      </c>
      <c r="G99" s="576" t="n">
        <v>0</v>
      </c>
      <c r="H99" s="587" t="n"/>
      <c r="I99" s="587" t="n"/>
      <c r="J99" s="587" t="n"/>
      <c r="K99" s="587" t="n"/>
      <c r="L99" s="578" t="n">
        <v>0</v>
      </c>
      <c r="M99" s="581" t="inlineStr">
        <is>
          <t>N/A</t>
        </is>
      </c>
      <c r="N99" s="583" t="n"/>
      <c r="O99" s="587" t="n"/>
      <c r="P99" s="587" t="n"/>
      <c r="Q99" s="578" t="n">
        <v>0</v>
      </c>
      <c r="R99" s="581" t="inlineStr">
        <is>
          <t>N/A</t>
        </is>
      </c>
      <c r="S99" s="583" t="n"/>
      <c r="T99" s="30">
        <f>'[1]CAPEX&amp;INVESTMENT'!Y99</f>
        <v/>
      </c>
    </row>
    <row r="100" outlineLevel="1">
      <c r="A100" s="515" t="n"/>
      <c r="B100" s="563" t="inlineStr">
        <is>
          <t>Downstream</t>
        </is>
      </c>
      <c r="C100" s="565" t="inlineStr">
        <is>
          <t>Petrochemical projects</t>
        </is>
      </c>
      <c r="D100" s="911" t="n"/>
      <c r="E100" s="518" t="inlineStr">
        <is>
          <t>thsd</t>
        </is>
      </c>
      <c r="F100" s="518" t="inlineStr">
        <is>
          <t>+</t>
        </is>
      </c>
      <c r="G100" s="576" t="n">
        <v>0</v>
      </c>
      <c r="H100" s="588">
        <f>SUM(INDIRECT(CHAR(COLUMN()+64)&amp;ROW(H101)&amp;":"&amp;IF(_xlfn.ISFORMULA(INDIRECT((ADDRESS(ROW()-1+MATCH(1,$T101:$T$259,0),COLUMN(),1,1)))),(ADDRESS(ROW()+8+MATCH(1,$T101:$T$259,0),COLUMN(),1,1)),(ADDRESS(ROW()-1+MATCH(1,$T101:$T$259,0),COLUMN(),1,1)))))</f>
        <v/>
      </c>
      <c r="I100" s="588">
        <f>SUM(INDIRECT(CHAR(COLUMN()+64)&amp;ROW(I101)&amp;":"&amp;IF(_xlfn.ISFORMULA(INDIRECT((ADDRESS(ROW()-1+MATCH(1,$T101:$T$259,0),COLUMN(),1,1)))),(ADDRESS(ROW()+8+MATCH(1,$T101:$T$259,0),COLUMN(),1,1)),(ADDRESS(ROW()-1+MATCH(1,$T101:$T$259,0),COLUMN(),1,1)))))</f>
        <v/>
      </c>
      <c r="J100" s="588">
        <f>SUM(INDIRECT(CHAR(COLUMN()+64)&amp;ROW(J101)&amp;":"&amp;IF(_xlfn.ISFORMULA(INDIRECT((ADDRESS(ROW()-1+MATCH(1,$T101:$T$259,0),COLUMN(),1,1)))),(ADDRESS(ROW()+8+MATCH(1,$T101:$T$259,0),COLUMN(),1,1)),(ADDRESS(ROW()-1+MATCH(1,$T101:$T$259,0),COLUMN(),1,1)))))</f>
        <v/>
      </c>
      <c r="K100" s="588">
        <f>SUM(INDIRECT(CHAR(COLUMN()+64)&amp;ROW(K101)&amp;":"&amp;IF(_xlfn.ISFORMULA(INDIRECT((ADDRESS(ROW()-1+MATCH(1,$T101:$T$259,0),COLUMN(),1,1)))),(ADDRESS(ROW()+8+MATCH(1,$T101:$T$259,0),COLUMN(),1,1)),(ADDRESS(ROW()-1+MATCH(1,$T101:$T$259,0),COLUMN(),1,1)))))</f>
        <v/>
      </c>
      <c r="L100" s="579">
        <f/>
        <v/>
      </c>
      <c r="M100" s="582">
        <f/>
        <v/>
      </c>
      <c r="N100" s="583" t="n"/>
      <c r="O100" s="588">
        <f>SUM(INDIRECT(CHAR(COLUMN()+64)&amp;ROW(O101)&amp;":"&amp;IF(_xlfn.ISFORMULA(INDIRECT((ADDRESS(ROW()-1+MATCH(1,$T101:$T$259,0),COLUMN(),1,1)))),(ADDRESS(ROW()+8+MATCH(1,$T101:$T$259,0),COLUMN(),1,1)),(ADDRESS(ROW()-1+MATCH(1,$T101:$T$259,0),COLUMN(),1,1)))))</f>
        <v/>
      </c>
      <c r="P100" s="588">
        <f>SUM(INDIRECT(CHAR(COLUMN()+64)&amp;ROW(P101)&amp;":"&amp;IF(_xlfn.ISFORMULA(INDIRECT((ADDRESS(ROW()-1+MATCH(1,$T101:$T$259,0),COLUMN(),1,1)))),(ADDRESS(ROW()+8+MATCH(1,$T101:$T$259,0),COLUMN(),1,1)),(ADDRESS(ROW()-1+MATCH(1,$T101:$T$259,0),COLUMN(),1,1)))))</f>
        <v/>
      </c>
      <c r="Q100" s="578">
        <f/>
        <v/>
      </c>
      <c r="R100" s="581">
        <f/>
        <v/>
      </c>
      <c r="S100" s="583" t="n"/>
      <c r="T100" s="30">
        <f>'[1]CAPEX&amp;INVESTMENT'!Y100</f>
        <v/>
      </c>
    </row>
    <row r="101">
      <c r="A101" s="515" t="n"/>
      <c r="B101" s="564" t="inlineStr">
        <is>
          <t>Downstream</t>
        </is>
      </c>
      <c r="C101" s="568" t="inlineStr">
        <is>
          <t>[Input of the project name]</t>
        </is>
      </c>
      <c r="D101" s="913" t="inlineStr">
        <is>
          <t>[input: brief description of the project, including:</t>
        </is>
      </c>
      <c r="E101" s="518" t="inlineStr">
        <is>
          <t>thsd</t>
        </is>
      </c>
      <c r="F101" s="518" t="inlineStr">
        <is>
          <t>+</t>
        </is>
      </c>
      <c r="G101" s="576" t="n">
        <v>0</v>
      </c>
      <c r="H101" s="587" t="n"/>
      <c r="I101" s="587" t="n"/>
      <c r="J101" s="587" t="n"/>
      <c r="K101" s="587" t="n"/>
      <c r="L101" s="578" t="n">
        <v>0</v>
      </c>
      <c r="M101" s="581" t="inlineStr">
        <is>
          <t>N/A</t>
        </is>
      </c>
      <c r="N101" s="583" t="n"/>
      <c r="O101" s="587" t="n"/>
      <c r="P101" s="587" t="n"/>
      <c r="Q101" s="579" t="n">
        <v>0</v>
      </c>
      <c r="R101" s="582" t="inlineStr">
        <is>
          <t>N/A</t>
        </is>
      </c>
      <c r="S101" s="583" t="n"/>
      <c r="T101" s="30">
        <f>'[1]CAPEX&amp;INVESTMENT'!Y101</f>
        <v/>
      </c>
    </row>
    <row r="102" outlineLevel="1">
      <c r="A102" s="515" t="n"/>
      <c r="B102" s="564" t="inlineStr">
        <is>
          <t>Downstream</t>
        </is>
      </c>
      <c r="C102" s="568" t="inlineStr">
        <is>
          <t>[Input of the project name]</t>
        </is>
      </c>
      <c r="D102" s="913" t="inlineStr">
        <is>
          <t>[input: brief description of the project, including:</t>
        </is>
      </c>
      <c r="E102" s="518" t="inlineStr">
        <is>
          <t>thsd</t>
        </is>
      </c>
      <c r="F102" s="518" t="inlineStr">
        <is>
          <t>+</t>
        </is>
      </c>
      <c r="G102" s="576" t="n">
        <v>0</v>
      </c>
      <c r="H102" s="587" t="n"/>
      <c r="I102" s="587" t="n"/>
      <c r="J102" s="587" t="n"/>
      <c r="K102" s="587" t="n"/>
      <c r="L102" s="578" t="n">
        <v>0</v>
      </c>
      <c r="M102" s="581" t="inlineStr">
        <is>
          <t>N/A</t>
        </is>
      </c>
      <c r="N102" s="583" t="n"/>
      <c r="O102" s="587" t="n"/>
      <c r="P102" s="587" t="n"/>
      <c r="Q102" s="578" t="n">
        <v>0</v>
      </c>
      <c r="R102" s="581" t="inlineStr">
        <is>
          <t>N/A</t>
        </is>
      </c>
      <c r="S102" s="583" t="n"/>
      <c r="T102" s="30">
        <f>'[1]CAPEX&amp;INVESTMENT'!Y102</f>
        <v/>
      </c>
    </row>
    <row r="103" outlineLevel="1">
      <c r="A103" s="515" t="n"/>
      <c r="B103" s="563" t="inlineStr">
        <is>
          <t>Downstream</t>
        </is>
      </c>
      <c r="C103" s="539" t="inlineStr">
        <is>
          <t>[Input of the project name]</t>
        </is>
      </c>
      <c r="D103" s="912" t="inlineStr">
        <is>
          <t>[input: brief description of the project, including:</t>
        </is>
      </c>
      <c r="E103" s="518" t="inlineStr">
        <is>
          <t>thsd</t>
        </is>
      </c>
      <c r="F103" s="518" t="inlineStr">
        <is>
          <t>+</t>
        </is>
      </c>
      <c r="G103" s="576" t="n">
        <v>0</v>
      </c>
      <c r="H103" s="587" t="n"/>
      <c r="I103" s="587" t="n"/>
      <c r="J103" s="587" t="n"/>
      <c r="K103" s="587" t="n"/>
      <c r="L103" s="578" t="n">
        <v>0</v>
      </c>
      <c r="M103" s="581" t="inlineStr">
        <is>
          <t>N/A</t>
        </is>
      </c>
      <c r="N103" s="583" t="n"/>
      <c r="O103" s="587" t="n"/>
      <c r="P103" s="587" t="n"/>
      <c r="Q103" s="578" t="n">
        <v>0</v>
      </c>
      <c r="R103" s="581" t="inlineStr">
        <is>
          <t>N/A</t>
        </is>
      </c>
      <c r="S103" s="583" t="n"/>
      <c r="T103" s="30">
        <f>'[1]CAPEX&amp;INVESTMENT'!Y103</f>
        <v/>
      </c>
    </row>
    <row r="104" outlineLevel="1">
      <c r="A104" s="515" t="n"/>
      <c r="B104" s="563" t="inlineStr">
        <is>
          <t>Downstream</t>
        </is>
      </c>
      <c r="C104" s="539" t="inlineStr">
        <is>
          <t>[Input of the project name]</t>
        </is>
      </c>
      <c r="D104" s="912" t="inlineStr">
        <is>
          <t>[input: brief description of the project, including:</t>
        </is>
      </c>
      <c r="E104" s="518" t="inlineStr">
        <is>
          <t>thsd</t>
        </is>
      </c>
      <c r="F104" s="518" t="inlineStr">
        <is>
          <t>+</t>
        </is>
      </c>
      <c r="G104" s="576" t="n">
        <v>0</v>
      </c>
      <c r="H104" s="587" t="n"/>
      <c r="I104" s="587" t="n"/>
      <c r="J104" s="587" t="n"/>
      <c r="K104" s="587" t="n"/>
      <c r="L104" s="578" t="n">
        <v>0</v>
      </c>
      <c r="M104" s="581" t="inlineStr">
        <is>
          <t>N/A</t>
        </is>
      </c>
      <c r="N104" s="583" t="n"/>
      <c r="O104" s="587" t="n"/>
      <c r="P104" s="587" t="n"/>
      <c r="Q104" s="578" t="n">
        <v>0</v>
      </c>
      <c r="R104" s="581" t="inlineStr">
        <is>
          <t>N/A</t>
        </is>
      </c>
      <c r="S104" s="583" t="n"/>
      <c r="T104" s="30">
        <f>'[1]CAPEX&amp;INVESTMENT'!Y104</f>
        <v/>
      </c>
    </row>
    <row r="105" outlineLevel="1">
      <c r="A105" s="515" t="n"/>
      <c r="B105" s="563" t="inlineStr">
        <is>
          <t>Downstream</t>
        </is>
      </c>
      <c r="C105" s="539" t="inlineStr">
        <is>
          <t>[Input of the project name]</t>
        </is>
      </c>
      <c r="D105" s="912" t="inlineStr">
        <is>
          <t>[input: brief description of the project, including:</t>
        </is>
      </c>
      <c r="E105" s="518" t="inlineStr">
        <is>
          <t>thsd</t>
        </is>
      </c>
      <c r="F105" s="518" t="inlineStr">
        <is>
          <t>+</t>
        </is>
      </c>
      <c r="G105" s="576" t="n">
        <v>0</v>
      </c>
      <c r="H105" s="587" t="n"/>
      <c r="I105" s="587" t="n"/>
      <c r="J105" s="587" t="n"/>
      <c r="K105" s="587" t="n"/>
      <c r="L105" s="578" t="n">
        <v>0</v>
      </c>
      <c r="M105" s="581" t="inlineStr">
        <is>
          <t>N/A</t>
        </is>
      </c>
      <c r="N105" s="583" t="n"/>
      <c r="O105" s="587" t="n"/>
      <c r="P105" s="587" t="n"/>
      <c r="Q105" s="578" t="n">
        <v>0</v>
      </c>
      <c r="R105" s="581" t="inlineStr">
        <is>
          <t>N/A</t>
        </is>
      </c>
      <c r="S105" s="583" t="n"/>
      <c r="T105" s="30">
        <f>'[1]CAPEX&amp;INVESTMENT'!Y105</f>
        <v/>
      </c>
    </row>
    <row r="106" outlineLevel="1">
      <c r="A106" s="515" t="n"/>
      <c r="B106" s="563" t="inlineStr">
        <is>
          <t>Downstream</t>
        </is>
      </c>
      <c r="C106" s="539" t="inlineStr">
        <is>
          <t>[Input of the project name]</t>
        </is>
      </c>
      <c r="D106" s="912" t="inlineStr">
        <is>
          <t>[input: brief description of the project, including:</t>
        </is>
      </c>
      <c r="E106" s="518" t="inlineStr">
        <is>
          <t>thsd</t>
        </is>
      </c>
      <c r="F106" s="518" t="inlineStr">
        <is>
          <t>+</t>
        </is>
      </c>
      <c r="G106" s="576" t="n">
        <v>0</v>
      </c>
      <c r="H106" s="587" t="n"/>
      <c r="I106" s="587" t="n"/>
      <c r="J106" s="587" t="n"/>
      <c r="K106" s="587" t="n"/>
      <c r="L106" s="578" t="n">
        <v>0</v>
      </c>
      <c r="M106" s="581" t="inlineStr">
        <is>
          <t>N/A</t>
        </is>
      </c>
      <c r="N106" s="583" t="n"/>
      <c r="O106" s="587" t="n"/>
      <c r="P106" s="587" t="n"/>
      <c r="Q106" s="578" t="n">
        <v>0</v>
      </c>
      <c r="R106" s="581" t="inlineStr">
        <is>
          <t>N/A</t>
        </is>
      </c>
      <c r="S106" s="583" t="n"/>
      <c r="T106" s="30">
        <f>'[1]CAPEX&amp;INVESTMENT'!Y106</f>
        <v/>
      </c>
    </row>
    <row r="107" outlineLevel="1">
      <c r="A107" s="515" t="n"/>
      <c r="B107" s="563" t="inlineStr">
        <is>
          <t>Downstream</t>
        </is>
      </c>
      <c r="C107" s="539" t="inlineStr">
        <is>
          <t>[Input of the project name]</t>
        </is>
      </c>
      <c r="D107" s="912" t="inlineStr">
        <is>
          <t>[input: brief description of the project, including:</t>
        </is>
      </c>
      <c r="E107" s="518" t="inlineStr">
        <is>
          <t>thsd</t>
        </is>
      </c>
      <c r="F107" s="518" t="inlineStr">
        <is>
          <t>+</t>
        </is>
      </c>
      <c r="G107" s="576" t="n">
        <v>0</v>
      </c>
      <c r="H107" s="587" t="n"/>
      <c r="I107" s="587" t="n"/>
      <c r="J107" s="587" t="n"/>
      <c r="K107" s="587" t="n"/>
      <c r="L107" s="578" t="n">
        <v>0</v>
      </c>
      <c r="M107" s="581" t="inlineStr">
        <is>
          <t>N/A</t>
        </is>
      </c>
      <c r="N107" s="583" t="n"/>
      <c r="O107" s="587" t="n"/>
      <c r="P107" s="587" t="n"/>
      <c r="Q107" s="578" t="n">
        <v>0</v>
      </c>
      <c r="R107" s="581" t="inlineStr">
        <is>
          <t>N/A</t>
        </is>
      </c>
      <c r="S107" s="583" t="n"/>
      <c r="T107" s="30">
        <f>'[1]CAPEX&amp;INVESTMENT'!Y107</f>
        <v/>
      </c>
    </row>
    <row r="108" outlineLevel="1">
      <c r="A108" s="515" t="n"/>
      <c r="B108" s="563" t="inlineStr">
        <is>
          <t>Downstream</t>
        </is>
      </c>
      <c r="C108" s="568" t="inlineStr">
        <is>
          <t>[Input of the project name]</t>
        </is>
      </c>
      <c r="D108" s="912" t="inlineStr">
        <is>
          <t>[input: brief description of the project, including:</t>
        </is>
      </c>
      <c r="E108" s="518" t="inlineStr">
        <is>
          <t>thsd</t>
        </is>
      </c>
      <c r="F108" s="518" t="inlineStr">
        <is>
          <t>+</t>
        </is>
      </c>
      <c r="G108" s="575" t="n">
        <v>0</v>
      </c>
      <c r="H108" s="587" t="n"/>
      <c r="I108" s="587" t="n"/>
      <c r="J108" s="587" t="n"/>
      <c r="K108" s="587" t="n"/>
      <c r="L108" s="578" t="n">
        <v>0</v>
      </c>
      <c r="M108" s="581" t="inlineStr">
        <is>
          <t>N/A</t>
        </is>
      </c>
      <c r="N108" s="583" t="n"/>
      <c r="O108" s="587" t="n"/>
      <c r="P108" s="587" t="n"/>
      <c r="Q108" s="578" t="n">
        <v>0</v>
      </c>
      <c r="R108" s="581" t="inlineStr">
        <is>
          <t>N/A</t>
        </is>
      </c>
      <c r="S108" s="583" t="n"/>
      <c r="T108" s="30">
        <f>'[1]CAPEX&amp;INVESTMENT'!Y108</f>
        <v/>
      </c>
    </row>
    <row r="109" outlineLevel="1">
      <c r="A109" s="515" t="n"/>
      <c r="B109" s="563" t="inlineStr">
        <is>
          <t>Downstream</t>
        </is>
      </c>
      <c r="C109" s="539" t="inlineStr">
        <is>
          <t>Other projects</t>
        </is>
      </c>
      <c r="D109" s="912" t="n"/>
      <c r="E109" s="518" t="inlineStr">
        <is>
          <t>thsd</t>
        </is>
      </c>
      <c r="F109" s="518" t="inlineStr">
        <is>
          <t>+</t>
        </is>
      </c>
      <c r="G109" s="576" t="n">
        <v>0</v>
      </c>
      <c r="H109" s="587" t="n"/>
      <c r="I109" s="587" t="n"/>
      <c r="J109" s="587" t="n"/>
      <c r="K109" s="587" t="n"/>
      <c r="L109" s="578" t="n">
        <v>0</v>
      </c>
      <c r="M109" s="581" t="inlineStr">
        <is>
          <t>N/A</t>
        </is>
      </c>
      <c r="N109" s="583" t="n"/>
      <c r="O109" s="587" t="n"/>
      <c r="P109" s="587" t="n"/>
      <c r="Q109" s="578" t="n">
        <v>0</v>
      </c>
      <c r="R109" s="581" t="inlineStr">
        <is>
          <t>N/A</t>
        </is>
      </c>
      <c r="S109" s="583" t="n"/>
      <c r="T109" s="30">
        <f>'[1]CAPEX&amp;INVESTMENT'!Y109</f>
        <v/>
      </c>
    </row>
    <row r="110" outlineLevel="1">
      <c r="A110" s="515" t="n"/>
      <c r="B110" s="563" t="inlineStr">
        <is>
          <t>Downstream</t>
        </is>
      </c>
      <c r="C110" s="565" t="inlineStr">
        <is>
          <t xml:space="preserve">Gas products projects </t>
        </is>
      </c>
      <c r="D110" s="911" t="n"/>
      <c r="E110" s="518" t="inlineStr">
        <is>
          <t>thsd</t>
        </is>
      </c>
      <c r="F110" s="518" t="inlineStr">
        <is>
          <t>+</t>
        </is>
      </c>
      <c r="G110" s="576" t="n">
        <v>0</v>
      </c>
      <c r="H110" s="588">
        <f>SUM(INDIRECT(CHAR(COLUMN()+64)&amp;ROW(H111)&amp;":"&amp;IF(_xlfn.ISFORMULA(INDIRECT((ADDRESS(ROW()-1+MATCH(1,$T111:$T$259,0),COLUMN(),1,1)))),(ADDRESS(ROW()+30+MATCH(1,$T111:$T$259,0),COLUMN(),1,1)),(ADDRESS(ROW()-1+MATCH(1,$T111:$T$259,0),COLUMN(),1,1)))))</f>
        <v/>
      </c>
      <c r="I110" s="588">
        <f>SUM(INDIRECT(CHAR(COLUMN()+64)&amp;ROW(I111)&amp;":"&amp;IF(_xlfn.ISFORMULA(INDIRECT((ADDRESS(ROW()-1+MATCH(1,$T111:$T$259,0),COLUMN(),1,1)))),(ADDRESS(ROW()+30+MATCH(1,$T111:$T$259,0),COLUMN(),1,1)),(ADDRESS(ROW()-1+MATCH(1,$T111:$T$259,0),COLUMN(),1,1)))))</f>
        <v/>
      </c>
      <c r="J110" s="588">
        <f>SUM(INDIRECT(CHAR(COLUMN()+64)&amp;ROW(J111)&amp;":"&amp;IF(_xlfn.ISFORMULA(INDIRECT((ADDRESS(ROW()-1+MATCH(1,$T111:$T$259,0),COLUMN(),1,1)))),(ADDRESS(ROW()+30+MATCH(1,$T111:$T$259,0),COLUMN(),1,1)),(ADDRESS(ROW()-1+MATCH(1,$T111:$T$259,0),COLUMN(),1,1)))))</f>
        <v/>
      </c>
      <c r="K110" s="588">
        <f>SUM(INDIRECT(CHAR(COLUMN()+64)&amp;ROW(K111)&amp;":"&amp;IF(_xlfn.ISFORMULA(INDIRECT((ADDRESS(ROW()-1+MATCH(1,$T111:$T$259,0),COLUMN(),1,1)))),(ADDRESS(ROW()+30+MATCH(1,$T111:$T$259,0),COLUMN(),1,1)),(ADDRESS(ROW()-1+MATCH(1,$T111:$T$259,0),COLUMN(),1,1)))))</f>
        <v/>
      </c>
      <c r="L110" s="578">
        <f/>
        <v/>
      </c>
      <c r="M110" s="581">
        <f/>
        <v/>
      </c>
      <c r="N110" s="583" t="n"/>
      <c r="O110" s="588">
        <f>SUM(INDIRECT(CHAR(COLUMN()+64)&amp;ROW(O111)&amp;":"&amp;IF(_xlfn.ISFORMULA(INDIRECT((ADDRESS(ROW()-1+MATCH(1,$T111:$T$259,0),COLUMN(),1,1)))),(ADDRESS(ROW()+30+MATCH(1,$T111:$T$259,0),COLUMN(),1,1)),(ADDRESS(ROW()-1+MATCH(1,$T111:$T$259,0),COLUMN(),1,1)))))</f>
        <v/>
      </c>
      <c r="P110" s="588">
        <f>SUM(INDIRECT(CHAR(COLUMN()+64)&amp;ROW(P111)&amp;":"&amp;IF(_xlfn.ISFORMULA(INDIRECT((ADDRESS(ROW()-1+MATCH(1,$T111:$T$259,0),COLUMN(),1,1)))),(ADDRESS(ROW()+30+MATCH(1,$T111:$T$259,0),COLUMN(),1,1)),(ADDRESS(ROW()-1+MATCH(1,$T111:$T$259,0),COLUMN(),1,1)))))</f>
        <v/>
      </c>
      <c r="Q110" s="578">
        <f/>
        <v/>
      </c>
      <c r="R110" s="581">
        <f/>
        <v/>
      </c>
      <c r="S110" s="583" t="n"/>
      <c r="T110" s="30">
        <f>'[1]CAPEX&amp;INVESTMENT'!Y110</f>
        <v/>
      </c>
    </row>
    <row r="111" outlineLevel="1">
      <c r="A111" s="515" t="n"/>
      <c r="B111" s="563" t="inlineStr">
        <is>
          <t>Downstream</t>
        </is>
      </c>
      <c r="C111" s="539" t="inlineStr">
        <is>
          <t>[Input of the project name]</t>
        </is>
      </c>
      <c r="D111" s="912" t="inlineStr">
        <is>
          <t>[input: brief description of the project, including:</t>
        </is>
      </c>
      <c r="E111" s="518" t="inlineStr">
        <is>
          <t>thsd</t>
        </is>
      </c>
      <c r="F111" s="518" t="inlineStr">
        <is>
          <t>+</t>
        </is>
      </c>
      <c r="G111" s="576" t="n">
        <v>0</v>
      </c>
      <c r="H111" s="587" t="n"/>
      <c r="I111" s="587" t="n"/>
      <c r="J111" s="587" t="n"/>
      <c r="K111" s="587" t="n"/>
      <c r="L111" s="578" t="n">
        <v>0</v>
      </c>
      <c r="M111" s="581" t="inlineStr">
        <is>
          <t>N/A</t>
        </is>
      </c>
      <c r="N111" s="583" t="n"/>
      <c r="O111" s="587" t="n"/>
      <c r="P111" s="587" t="n"/>
      <c r="Q111" s="578" t="n">
        <v>0</v>
      </c>
      <c r="R111" s="581" t="inlineStr">
        <is>
          <t>N/A</t>
        </is>
      </c>
      <c r="S111" s="583" t="n"/>
      <c r="T111" s="30">
        <f>'[1]CAPEX&amp;INVESTMENT'!Y111</f>
        <v/>
      </c>
    </row>
    <row r="112" outlineLevel="1">
      <c r="A112" s="515" t="n"/>
      <c r="B112" s="563" t="inlineStr">
        <is>
          <t>Downstream</t>
        </is>
      </c>
      <c r="C112" s="539" t="inlineStr">
        <is>
          <t>[Input of the project name]</t>
        </is>
      </c>
      <c r="D112" s="912" t="inlineStr">
        <is>
          <t>[input: brief description of the project, including:</t>
        </is>
      </c>
      <c r="E112" s="518" t="inlineStr">
        <is>
          <t>thsd</t>
        </is>
      </c>
      <c r="F112" s="518" t="inlineStr">
        <is>
          <t>+</t>
        </is>
      </c>
      <c r="G112" s="576" t="n">
        <v>0</v>
      </c>
      <c r="H112" s="587" t="n"/>
      <c r="I112" s="587" t="n"/>
      <c r="J112" s="587" t="n"/>
      <c r="K112" s="587" t="n"/>
      <c r="L112" s="578" t="n">
        <v>0</v>
      </c>
      <c r="M112" s="581" t="inlineStr">
        <is>
          <t>N/A</t>
        </is>
      </c>
      <c r="N112" s="583" t="n"/>
      <c r="O112" s="587" t="n"/>
      <c r="P112" s="587" t="n"/>
      <c r="Q112" s="578" t="n">
        <v>0</v>
      </c>
      <c r="R112" s="581" t="inlineStr">
        <is>
          <t>N/A</t>
        </is>
      </c>
      <c r="S112" s="583" t="n"/>
      <c r="T112" s="30">
        <f>'[1]CAPEX&amp;INVESTMENT'!Y112</f>
        <v/>
      </c>
    </row>
    <row r="113" outlineLevel="1">
      <c r="A113" s="515" t="n"/>
      <c r="B113" s="563" t="inlineStr">
        <is>
          <t>Downstream</t>
        </is>
      </c>
      <c r="C113" s="539" t="inlineStr">
        <is>
          <t>[Input of the project name]</t>
        </is>
      </c>
      <c r="D113" s="912" t="inlineStr">
        <is>
          <t>[input: brief description of the project, including:</t>
        </is>
      </c>
      <c r="E113" s="518" t="inlineStr">
        <is>
          <t>thsd</t>
        </is>
      </c>
      <c r="F113" s="518" t="inlineStr">
        <is>
          <t>+</t>
        </is>
      </c>
      <c r="G113" s="576" t="n">
        <v>0</v>
      </c>
      <c r="H113" s="587" t="n"/>
      <c r="I113" s="587" t="n"/>
      <c r="J113" s="587" t="n"/>
      <c r="K113" s="587" t="n"/>
      <c r="L113" s="578" t="n">
        <v>0</v>
      </c>
      <c r="M113" s="581" t="inlineStr">
        <is>
          <t>N/A</t>
        </is>
      </c>
      <c r="N113" s="583" t="n"/>
      <c r="O113" s="587" t="n"/>
      <c r="P113" s="587" t="n"/>
      <c r="Q113" s="578" t="n">
        <v>0</v>
      </c>
      <c r="R113" s="581" t="inlineStr">
        <is>
          <t>N/A</t>
        </is>
      </c>
      <c r="S113" s="583" t="n"/>
      <c r="T113" s="30">
        <f>'[1]CAPEX&amp;INVESTMENT'!Y113</f>
        <v/>
      </c>
    </row>
    <row r="114" outlineLevel="1">
      <c r="A114" s="515" t="n"/>
      <c r="B114" s="563" t="inlineStr">
        <is>
          <t>Downstream</t>
        </is>
      </c>
      <c r="C114" s="539" t="inlineStr">
        <is>
          <t>[Input of the project name]</t>
        </is>
      </c>
      <c r="D114" s="912" t="inlineStr">
        <is>
          <t>[input: brief description of the project, including:</t>
        </is>
      </c>
      <c r="E114" s="518" t="inlineStr">
        <is>
          <t>thsd</t>
        </is>
      </c>
      <c r="F114" s="518" t="inlineStr">
        <is>
          <t>+</t>
        </is>
      </c>
      <c r="G114" s="576" t="n">
        <v>0</v>
      </c>
      <c r="H114" s="587" t="n"/>
      <c r="I114" s="587" t="n"/>
      <c r="J114" s="587" t="n"/>
      <c r="K114" s="587" t="n"/>
      <c r="L114" s="578" t="n">
        <v>0</v>
      </c>
      <c r="M114" s="581" t="inlineStr">
        <is>
          <t>N/A</t>
        </is>
      </c>
      <c r="N114" s="583" t="n"/>
      <c r="O114" s="587" t="n"/>
      <c r="P114" s="587" t="n"/>
      <c r="Q114" s="578" t="n">
        <v>0</v>
      </c>
      <c r="R114" s="581" t="inlineStr">
        <is>
          <t>N/A</t>
        </is>
      </c>
      <c r="S114" s="583" t="n"/>
      <c r="T114" s="30">
        <f>'[1]CAPEX&amp;INVESTMENT'!Y114</f>
        <v/>
      </c>
    </row>
    <row r="115" outlineLevel="1">
      <c r="A115" s="515" t="n"/>
      <c r="B115" s="563" t="inlineStr">
        <is>
          <t>Downstream</t>
        </is>
      </c>
      <c r="C115" s="539" t="inlineStr">
        <is>
          <t>[Input of the project name]</t>
        </is>
      </c>
      <c r="D115" s="912" t="inlineStr">
        <is>
          <t>[input: brief description of the project, including:</t>
        </is>
      </c>
      <c r="E115" s="518" t="inlineStr">
        <is>
          <t>thsd</t>
        </is>
      </c>
      <c r="F115" s="518" t="inlineStr">
        <is>
          <t>+</t>
        </is>
      </c>
      <c r="G115" s="576" t="n">
        <v>0</v>
      </c>
      <c r="H115" s="587" t="n"/>
      <c r="I115" s="587" t="n"/>
      <c r="J115" s="587" t="n"/>
      <c r="K115" s="587" t="n"/>
      <c r="L115" s="578" t="n">
        <v>0</v>
      </c>
      <c r="M115" s="581" t="inlineStr">
        <is>
          <t>N/A</t>
        </is>
      </c>
      <c r="N115" s="583" t="n"/>
      <c r="O115" s="587" t="n"/>
      <c r="P115" s="587" t="n"/>
      <c r="Q115" s="578" t="n">
        <v>0</v>
      </c>
      <c r="R115" s="581" t="inlineStr">
        <is>
          <t>N/A</t>
        </is>
      </c>
      <c r="S115" s="583" t="n"/>
      <c r="T115" s="30">
        <f>'[1]CAPEX&amp;INVESTMENT'!Y115</f>
        <v/>
      </c>
    </row>
    <row r="116" outlineLevel="1">
      <c r="A116" s="515" t="n"/>
      <c r="B116" s="563" t="inlineStr">
        <is>
          <t>Downstream</t>
        </is>
      </c>
      <c r="C116" s="539" t="inlineStr">
        <is>
          <t>[Input of the project name]</t>
        </is>
      </c>
      <c r="D116" s="912" t="inlineStr">
        <is>
          <t>[input: brief description of the project, including:</t>
        </is>
      </c>
      <c r="E116" s="518" t="inlineStr">
        <is>
          <t>thsd</t>
        </is>
      </c>
      <c r="F116" s="518" t="inlineStr">
        <is>
          <t>+</t>
        </is>
      </c>
      <c r="G116" s="576" t="n">
        <v>0</v>
      </c>
      <c r="H116" s="587" t="n"/>
      <c r="I116" s="587" t="n"/>
      <c r="J116" s="587" t="n"/>
      <c r="K116" s="587" t="n"/>
      <c r="L116" s="578" t="n">
        <v>0</v>
      </c>
      <c r="M116" s="581" t="inlineStr">
        <is>
          <t>N/A</t>
        </is>
      </c>
      <c r="N116" s="583" t="n"/>
      <c r="O116" s="587" t="n"/>
      <c r="P116" s="587" t="n"/>
      <c r="Q116" s="578" t="n">
        <v>0</v>
      </c>
      <c r="R116" s="581" t="inlineStr">
        <is>
          <t>N/A</t>
        </is>
      </c>
      <c r="S116" s="583" t="n"/>
      <c r="T116" s="30">
        <f>'[1]CAPEX&amp;INVESTMENT'!Y116</f>
        <v/>
      </c>
    </row>
    <row r="117" outlineLevel="1">
      <c r="A117" s="515" t="n"/>
      <c r="B117" s="563" t="inlineStr">
        <is>
          <t>Downstream</t>
        </is>
      </c>
      <c r="C117" s="539" t="inlineStr">
        <is>
          <t>[Input of the project name]</t>
        </is>
      </c>
      <c r="D117" s="912" t="inlineStr">
        <is>
          <t>[input: brief description of the project, including:</t>
        </is>
      </c>
      <c r="E117" s="518" t="inlineStr">
        <is>
          <t>thsd</t>
        </is>
      </c>
      <c r="F117" s="518" t="inlineStr">
        <is>
          <t>+</t>
        </is>
      </c>
      <c r="G117" s="576" t="n">
        <v>0</v>
      </c>
      <c r="H117" s="587" t="n"/>
      <c r="I117" s="587" t="n"/>
      <c r="J117" s="587" t="n"/>
      <c r="K117" s="587" t="n"/>
      <c r="L117" s="578" t="n">
        <v>0</v>
      </c>
      <c r="M117" s="581" t="inlineStr">
        <is>
          <t>N/A</t>
        </is>
      </c>
      <c r="N117" s="583" t="n"/>
      <c r="O117" s="587" t="n"/>
      <c r="P117" s="587" t="n"/>
      <c r="Q117" s="578" t="n">
        <v>0</v>
      </c>
      <c r="R117" s="581" t="inlineStr">
        <is>
          <t>N/A</t>
        </is>
      </c>
      <c r="S117" s="583" t="n"/>
      <c r="T117" s="30">
        <f>'[1]CAPEX&amp;INVESTMENT'!Y117</f>
        <v/>
      </c>
    </row>
    <row r="118" outlineLevel="1">
      <c r="A118" s="515" t="n"/>
      <c r="B118" s="563" t="inlineStr">
        <is>
          <t>Downstream</t>
        </is>
      </c>
      <c r="C118" s="539" t="inlineStr">
        <is>
          <t>[Input of the project name]</t>
        </is>
      </c>
      <c r="D118" s="912" t="inlineStr">
        <is>
          <t>[input: brief description of the project, including:</t>
        </is>
      </c>
      <c r="E118" s="518" t="inlineStr">
        <is>
          <t>thsd</t>
        </is>
      </c>
      <c r="F118" s="518" t="inlineStr">
        <is>
          <t>+</t>
        </is>
      </c>
      <c r="G118" s="576" t="n">
        <v>0</v>
      </c>
      <c r="H118" s="587" t="n"/>
      <c r="I118" s="587" t="n"/>
      <c r="J118" s="587" t="n"/>
      <c r="K118" s="587" t="n"/>
      <c r="L118" s="578" t="n">
        <v>0</v>
      </c>
      <c r="M118" s="581" t="inlineStr">
        <is>
          <t>N/A</t>
        </is>
      </c>
      <c r="N118" s="583" t="n"/>
      <c r="O118" s="587" t="n"/>
      <c r="P118" s="587" t="n"/>
      <c r="Q118" s="578" t="n">
        <v>0</v>
      </c>
      <c r="R118" s="581" t="inlineStr">
        <is>
          <t>N/A</t>
        </is>
      </c>
      <c r="S118" s="583" t="n"/>
      <c r="T118" s="30">
        <f>'[1]CAPEX&amp;INVESTMENT'!Y118</f>
        <v/>
      </c>
    </row>
    <row r="119" outlineLevel="1">
      <c r="A119" s="515" t="n"/>
      <c r="B119" s="563" t="inlineStr">
        <is>
          <t>Downstream</t>
        </is>
      </c>
      <c r="C119" s="539" t="inlineStr">
        <is>
          <t>[Input of the project name]</t>
        </is>
      </c>
      <c r="D119" s="912" t="inlineStr">
        <is>
          <t>[input: brief description of the project, including:</t>
        </is>
      </c>
      <c r="E119" s="518" t="inlineStr">
        <is>
          <t>thsd</t>
        </is>
      </c>
      <c r="F119" s="518" t="inlineStr">
        <is>
          <t>+</t>
        </is>
      </c>
      <c r="G119" s="576" t="n">
        <v>0</v>
      </c>
      <c r="H119" s="587" t="n"/>
      <c r="I119" s="587" t="n"/>
      <c r="J119" s="587" t="n"/>
      <c r="K119" s="587" t="n"/>
      <c r="L119" s="578" t="n">
        <v>0</v>
      </c>
      <c r="M119" s="581" t="inlineStr">
        <is>
          <t>N/A</t>
        </is>
      </c>
      <c r="N119" s="583" t="n"/>
      <c r="O119" s="587" t="n"/>
      <c r="P119" s="587" t="n"/>
      <c r="Q119" s="578" t="n">
        <v>0</v>
      </c>
      <c r="R119" s="581" t="inlineStr">
        <is>
          <t>N/A</t>
        </is>
      </c>
      <c r="S119" s="583" t="n"/>
      <c r="T119" s="30">
        <f>'[1]CAPEX&amp;INVESTMENT'!Y119</f>
        <v/>
      </c>
    </row>
    <row r="120" outlineLevel="1">
      <c r="A120" s="515" t="n"/>
      <c r="B120" s="563" t="inlineStr">
        <is>
          <t>Downstream</t>
        </is>
      </c>
      <c r="C120" s="539" t="inlineStr">
        <is>
          <t>[Input of the project name]</t>
        </is>
      </c>
      <c r="D120" s="912" t="inlineStr">
        <is>
          <t>[input: brief description of the project, including:</t>
        </is>
      </c>
      <c r="E120" s="518" t="inlineStr">
        <is>
          <t>thsd</t>
        </is>
      </c>
      <c r="F120" s="518" t="inlineStr">
        <is>
          <t>+</t>
        </is>
      </c>
      <c r="G120" s="576" t="n">
        <v>0</v>
      </c>
      <c r="H120" s="587" t="n"/>
      <c r="I120" s="587" t="n"/>
      <c r="J120" s="587" t="n"/>
      <c r="K120" s="587" t="n"/>
      <c r="L120" s="578" t="n">
        <v>0</v>
      </c>
      <c r="M120" s="581" t="inlineStr">
        <is>
          <t>N/A</t>
        </is>
      </c>
      <c r="N120" s="583" t="n"/>
      <c r="O120" s="587" t="n"/>
      <c r="P120" s="587" t="n"/>
      <c r="Q120" s="578" t="n">
        <v>0</v>
      </c>
      <c r="R120" s="581" t="inlineStr">
        <is>
          <t>N/A</t>
        </is>
      </c>
      <c r="S120" s="583" t="n"/>
      <c r="T120" s="30">
        <f>'[1]CAPEX&amp;INVESTMENT'!Y120</f>
        <v/>
      </c>
    </row>
    <row r="121" outlineLevel="1">
      <c r="A121" s="515" t="n"/>
      <c r="B121" s="563" t="inlineStr">
        <is>
          <t>Downstream</t>
        </is>
      </c>
      <c r="C121" s="539" t="inlineStr">
        <is>
          <t>[Input of the project name]</t>
        </is>
      </c>
      <c r="D121" s="912" t="inlineStr">
        <is>
          <t>[input: brief description of the project, including:</t>
        </is>
      </c>
      <c r="E121" s="518" t="inlineStr">
        <is>
          <t>thsd</t>
        </is>
      </c>
      <c r="F121" s="518" t="inlineStr">
        <is>
          <t>+</t>
        </is>
      </c>
      <c r="G121" s="576" t="n">
        <v>0</v>
      </c>
      <c r="H121" s="587" t="n"/>
      <c r="I121" s="587" t="n"/>
      <c r="J121" s="587" t="n"/>
      <c r="K121" s="587" t="n"/>
      <c r="L121" s="578" t="n">
        <v>0</v>
      </c>
      <c r="M121" s="581" t="inlineStr">
        <is>
          <t>N/A</t>
        </is>
      </c>
      <c r="N121" s="583" t="n"/>
      <c r="O121" s="587" t="n"/>
      <c r="P121" s="587" t="n"/>
      <c r="Q121" s="578" t="n">
        <v>0</v>
      </c>
      <c r="R121" s="581" t="inlineStr">
        <is>
          <t>N/A</t>
        </is>
      </c>
      <c r="S121" s="583" t="n"/>
      <c r="T121" s="30">
        <f>'[1]CAPEX&amp;INVESTMENT'!Y121</f>
        <v/>
      </c>
    </row>
    <row r="122" outlineLevel="1">
      <c r="A122" s="515" t="n"/>
      <c r="B122" s="563" t="inlineStr">
        <is>
          <t>Downstream</t>
        </is>
      </c>
      <c r="C122" s="539" t="inlineStr">
        <is>
          <t>[Input of the project name]</t>
        </is>
      </c>
      <c r="D122" s="912" t="inlineStr">
        <is>
          <t>[input: brief description of the project, including:</t>
        </is>
      </c>
      <c r="E122" s="518" t="inlineStr">
        <is>
          <t>thsd</t>
        </is>
      </c>
      <c r="F122" s="518" t="inlineStr">
        <is>
          <t>+</t>
        </is>
      </c>
      <c r="G122" s="576" t="n">
        <v>0</v>
      </c>
      <c r="H122" s="587" t="n"/>
      <c r="I122" s="587" t="n"/>
      <c r="J122" s="587" t="n"/>
      <c r="K122" s="587" t="n"/>
      <c r="L122" s="578" t="n">
        <v>0</v>
      </c>
      <c r="M122" s="581" t="inlineStr">
        <is>
          <t>N/A</t>
        </is>
      </c>
      <c r="N122" s="583" t="n"/>
      <c r="O122" s="587" t="n"/>
      <c r="P122" s="587" t="n"/>
      <c r="Q122" s="578" t="n">
        <v>0</v>
      </c>
      <c r="R122" s="581" t="inlineStr">
        <is>
          <t>N/A</t>
        </is>
      </c>
      <c r="S122" s="583" t="n"/>
      <c r="T122" s="30">
        <f>'[1]CAPEX&amp;INVESTMENT'!Y122</f>
        <v/>
      </c>
    </row>
    <row r="123" outlineLevel="1">
      <c r="A123" s="515" t="n"/>
      <c r="B123" s="563" t="inlineStr">
        <is>
          <t>Downstream</t>
        </is>
      </c>
      <c r="C123" s="539" t="inlineStr">
        <is>
          <t>[Input of the project name]</t>
        </is>
      </c>
      <c r="D123" s="912" t="inlineStr">
        <is>
          <t>[input: brief description of the project, including:</t>
        </is>
      </c>
      <c r="E123" s="518" t="inlineStr">
        <is>
          <t>thsd</t>
        </is>
      </c>
      <c r="F123" s="518" t="inlineStr">
        <is>
          <t>+</t>
        </is>
      </c>
      <c r="G123" s="576" t="n">
        <v>0</v>
      </c>
      <c r="H123" s="587" t="n"/>
      <c r="I123" s="587" t="n"/>
      <c r="J123" s="587" t="n"/>
      <c r="K123" s="587" t="n"/>
      <c r="L123" s="578" t="n">
        <v>0</v>
      </c>
      <c r="M123" s="581" t="inlineStr">
        <is>
          <t>N/A</t>
        </is>
      </c>
      <c r="N123" s="583" t="n"/>
      <c r="O123" s="587" t="n"/>
      <c r="P123" s="587" t="n"/>
      <c r="Q123" s="578" t="n">
        <v>0</v>
      </c>
      <c r="R123" s="581" t="inlineStr">
        <is>
          <t>N/A</t>
        </is>
      </c>
      <c r="S123" s="583" t="n"/>
      <c r="T123" s="30">
        <f>'[1]CAPEX&amp;INVESTMENT'!Y123</f>
        <v/>
      </c>
    </row>
    <row r="124" outlineLevel="1">
      <c r="A124" s="515" t="n"/>
      <c r="B124" s="563" t="inlineStr">
        <is>
          <t>Downstream</t>
        </is>
      </c>
      <c r="C124" s="539" t="inlineStr">
        <is>
          <t>[Input of the project name]</t>
        </is>
      </c>
      <c r="D124" s="912" t="inlineStr">
        <is>
          <t>[input: brief description of the project, including:</t>
        </is>
      </c>
      <c r="E124" s="518" t="inlineStr">
        <is>
          <t>thsd</t>
        </is>
      </c>
      <c r="F124" s="518" t="inlineStr">
        <is>
          <t>+</t>
        </is>
      </c>
      <c r="G124" s="576" t="n">
        <v>0</v>
      </c>
      <c r="H124" s="587" t="n"/>
      <c r="I124" s="587" t="n"/>
      <c r="J124" s="587" t="n"/>
      <c r="K124" s="587" t="n"/>
      <c r="L124" s="578" t="n">
        <v>0</v>
      </c>
      <c r="M124" s="581" t="inlineStr">
        <is>
          <t>N/A</t>
        </is>
      </c>
      <c r="N124" s="583" t="n"/>
      <c r="O124" s="587" t="n"/>
      <c r="P124" s="587" t="n"/>
      <c r="Q124" s="578" t="n">
        <v>0</v>
      </c>
      <c r="R124" s="581" t="inlineStr">
        <is>
          <t>N/A</t>
        </is>
      </c>
      <c r="S124" s="583" t="n"/>
      <c r="T124" s="30">
        <f>'[1]CAPEX&amp;INVESTMENT'!Y124</f>
        <v/>
      </c>
    </row>
    <row r="125" outlineLevel="1">
      <c r="A125" s="515" t="n"/>
      <c r="B125" s="563" t="inlineStr">
        <is>
          <t>Downstream</t>
        </is>
      </c>
      <c r="C125" s="539" t="inlineStr">
        <is>
          <t>[Input of the project name]</t>
        </is>
      </c>
      <c r="D125" s="912" t="inlineStr">
        <is>
          <t>[input: brief description of the project, including:</t>
        </is>
      </c>
      <c r="E125" s="518" t="inlineStr">
        <is>
          <t>thsd</t>
        </is>
      </c>
      <c r="F125" s="518" t="inlineStr">
        <is>
          <t>+</t>
        </is>
      </c>
      <c r="G125" s="576" t="n">
        <v>0</v>
      </c>
      <c r="H125" s="587" t="n"/>
      <c r="I125" s="587" t="n"/>
      <c r="J125" s="587" t="n"/>
      <c r="K125" s="587" t="n"/>
      <c r="L125" s="578" t="n">
        <v>0</v>
      </c>
      <c r="M125" s="581" t="inlineStr">
        <is>
          <t>N/A</t>
        </is>
      </c>
      <c r="N125" s="583" t="n"/>
      <c r="O125" s="587" t="n"/>
      <c r="P125" s="587" t="n"/>
      <c r="Q125" s="578" t="n">
        <v>0</v>
      </c>
      <c r="R125" s="581" t="inlineStr">
        <is>
          <t>N/A</t>
        </is>
      </c>
      <c r="S125" s="583" t="n"/>
      <c r="T125" s="30">
        <f>'[1]CAPEX&amp;INVESTMENT'!Y125</f>
        <v/>
      </c>
    </row>
    <row r="126" outlineLevel="1">
      <c r="A126" s="515" t="n"/>
      <c r="B126" s="563" t="inlineStr">
        <is>
          <t>Downstream</t>
        </is>
      </c>
      <c r="C126" s="539" t="inlineStr">
        <is>
          <t>[Input of the project name]</t>
        </is>
      </c>
      <c r="D126" s="912" t="inlineStr">
        <is>
          <t>[input: brief description of the project, including:</t>
        </is>
      </c>
      <c r="E126" s="518" t="inlineStr">
        <is>
          <t>thsd</t>
        </is>
      </c>
      <c r="F126" s="518" t="inlineStr">
        <is>
          <t>+</t>
        </is>
      </c>
      <c r="G126" s="576" t="n">
        <v>0</v>
      </c>
      <c r="H126" s="587" t="n"/>
      <c r="I126" s="587" t="n"/>
      <c r="J126" s="587" t="n"/>
      <c r="K126" s="587" t="n"/>
      <c r="L126" s="578" t="n">
        <v>0</v>
      </c>
      <c r="M126" s="581" t="inlineStr">
        <is>
          <t>N/A</t>
        </is>
      </c>
      <c r="N126" s="583" t="n"/>
      <c r="O126" s="587" t="n"/>
      <c r="P126" s="587" t="n"/>
      <c r="Q126" s="578" t="n">
        <v>0</v>
      </c>
      <c r="R126" s="581" t="inlineStr">
        <is>
          <t>N/A</t>
        </is>
      </c>
      <c r="S126" s="583" t="n"/>
      <c r="T126" s="30">
        <f>'[1]CAPEX&amp;INVESTMENT'!Y126</f>
        <v/>
      </c>
    </row>
    <row r="127" outlineLevel="1">
      <c r="A127" s="515" t="n"/>
      <c r="B127" s="563" t="inlineStr">
        <is>
          <t>Downstream</t>
        </is>
      </c>
      <c r="C127" s="539" t="inlineStr">
        <is>
          <t>[Input of the project name]</t>
        </is>
      </c>
      <c r="D127" s="912" t="inlineStr">
        <is>
          <t>[input: brief description of the project, including:</t>
        </is>
      </c>
      <c r="E127" s="518" t="inlineStr">
        <is>
          <t>thsd</t>
        </is>
      </c>
      <c r="F127" s="518" t="inlineStr">
        <is>
          <t>+</t>
        </is>
      </c>
      <c r="G127" s="576" t="n">
        <v>0</v>
      </c>
      <c r="H127" s="587" t="n"/>
      <c r="I127" s="587" t="n"/>
      <c r="J127" s="587" t="n"/>
      <c r="K127" s="587" t="n"/>
      <c r="L127" s="578" t="n">
        <v>0</v>
      </c>
      <c r="M127" s="581" t="inlineStr">
        <is>
          <t>N/A</t>
        </is>
      </c>
      <c r="N127" s="583" t="n"/>
      <c r="O127" s="587" t="n"/>
      <c r="P127" s="587" t="n"/>
      <c r="Q127" s="578" t="n">
        <v>0</v>
      </c>
      <c r="R127" s="581" t="inlineStr">
        <is>
          <t>N/A</t>
        </is>
      </c>
      <c r="S127" s="583" t="n"/>
      <c r="T127" s="30">
        <f>'[1]CAPEX&amp;INVESTMENT'!Y127</f>
        <v/>
      </c>
    </row>
    <row r="128" outlineLevel="1">
      <c r="A128" s="515" t="n"/>
      <c r="B128" s="563" t="inlineStr">
        <is>
          <t>Downstream</t>
        </is>
      </c>
      <c r="C128" s="539" t="inlineStr">
        <is>
          <t>[Input of the project name]</t>
        </is>
      </c>
      <c r="D128" s="912" t="inlineStr">
        <is>
          <t>[input: brief description of the project, including:</t>
        </is>
      </c>
      <c r="E128" s="518" t="inlineStr">
        <is>
          <t>thsd</t>
        </is>
      </c>
      <c r="F128" s="518" t="inlineStr">
        <is>
          <t>+</t>
        </is>
      </c>
      <c r="G128" s="576" t="n">
        <v>0</v>
      </c>
      <c r="H128" s="587" t="n"/>
      <c r="I128" s="587" t="n"/>
      <c r="J128" s="587" t="n"/>
      <c r="K128" s="587" t="n"/>
      <c r="L128" s="578" t="n">
        <v>0</v>
      </c>
      <c r="M128" s="581" t="inlineStr">
        <is>
          <t>N/A</t>
        </is>
      </c>
      <c r="N128" s="583" t="n"/>
      <c r="O128" s="587" t="n"/>
      <c r="P128" s="587" t="n"/>
      <c r="Q128" s="578" t="n">
        <v>0</v>
      </c>
      <c r="R128" s="581" t="inlineStr">
        <is>
          <t>N/A</t>
        </is>
      </c>
      <c r="S128" s="583" t="n"/>
      <c r="T128" s="30">
        <f>'[1]CAPEX&amp;INVESTMENT'!Y128</f>
        <v/>
      </c>
    </row>
    <row r="129" outlineLevel="1">
      <c r="A129" s="515" t="n"/>
      <c r="B129" s="563" t="inlineStr">
        <is>
          <t>Downstream</t>
        </is>
      </c>
      <c r="C129" s="539" t="inlineStr">
        <is>
          <t>[Input of the project name]</t>
        </is>
      </c>
      <c r="D129" s="912" t="inlineStr">
        <is>
          <t>[input: brief description of the project, including:</t>
        </is>
      </c>
      <c r="E129" s="518" t="inlineStr">
        <is>
          <t>thsd</t>
        </is>
      </c>
      <c r="F129" s="518" t="inlineStr">
        <is>
          <t>+</t>
        </is>
      </c>
      <c r="G129" s="576" t="n">
        <v>0</v>
      </c>
      <c r="H129" s="587" t="n"/>
      <c r="I129" s="587" t="n"/>
      <c r="J129" s="587" t="n"/>
      <c r="K129" s="587" t="n"/>
      <c r="L129" s="578" t="n">
        <v>0</v>
      </c>
      <c r="M129" s="581" t="inlineStr">
        <is>
          <t>N/A</t>
        </is>
      </c>
      <c r="N129" s="583" t="n"/>
      <c r="O129" s="587" t="n"/>
      <c r="P129" s="587" t="n"/>
      <c r="Q129" s="578" t="n">
        <v>0</v>
      </c>
      <c r="R129" s="581" t="inlineStr">
        <is>
          <t>N/A</t>
        </is>
      </c>
      <c r="S129" s="583" t="n"/>
      <c r="T129" s="30">
        <f>'[1]CAPEX&amp;INVESTMENT'!Y129</f>
        <v/>
      </c>
    </row>
    <row r="130" outlineLevel="1">
      <c r="A130" s="515" t="n"/>
      <c r="B130" s="563" t="inlineStr">
        <is>
          <t>Downstream</t>
        </is>
      </c>
      <c r="C130" s="539" t="inlineStr">
        <is>
          <t>[Input of the project name]</t>
        </is>
      </c>
      <c r="D130" s="912" t="inlineStr">
        <is>
          <t>[input: brief description of the project, including:</t>
        </is>
      </c>
      <c r="E130" s="518" t="inlineStr">
        <is>
          <t>thsd</t>
        </is>
      </c>
      <c r="F130" s="518" t="inlineStr">
        <is>
          <t>+</t>
        </is>
      </c>
      <c r="G130" s="576" t="n">
        <v>0</v>
      </c>
      <c r="H130" s="587" t="n"/>
      <c r="I130" s="587" t="n"/>
      <c r="J130" s="587" t="n"/>
      <c r="K130" s="587" t="n"/>
      <c r="L130" s="578" t="n">
        <v>0</v>
      </c>
      <c r="M130" s="581" t="inlineStr">
        <is>
          <t>N/A</t>
        </is>
      </c>
      <c r="N130" s="583" t="n"/>
      <c r="O130" s="587" t="n"/>
      <c r="P130" s="587" t="n"/>
      <c r="Q130" s="578" t="n">
        <v>0</v>
      </c>
      <c r="R130" s="581" t="inlineStr">
        <is>
          <t>N/A</t>
        </is>
      </c>
      <c r="S130" s="583" t="n"/>
      <c r="T130" s="30">
        <f>'[1]CAPEX&amp;INVESTMENT'!Y130</f>
        <v/>
      </c>
    </row>
    <row r="131" outlineLevel="1">
      <c r="A131" s="515" t="n"/>
      <c r="B131" s="563" t="inlineStr">
        <is>
          <t>Downstream</t>
        </is>
      </c>
      <c r="C131" s="539" t="inlineStr">
        <is>
          <t>[Input of the project name]</t>
        </is>
      </c>
      <c r="D131" s="912" t="inlineStr">
        <is>
          <t>[input: brief description of the project, including:</t>
        </is>
      </c>
      <c r="E131" s="518" t="inlineStr">
        <is>
          <t>thsd</t>
        </is>
      </c>
      <c r="F131" s="518" t="inlineStr">
        <is>
          <t>+</t>
        </is>
      </c>
      <c r="G131" s="576" t="n">
        <v>0</v>
      </c>
      <c r="H131" s="587" t="n"/>
      <c r="I131" s="587" t="n"/>
      <c r="J131" s="587" t="n"/>
      <c r="K131" s="587" t="n"/>
      <c r="L131" s="578" t="n">
        <v>0</v>
      </c>
      <c r="M131" s="581" t="inlineStr">
        <is>
          <t>N/A</t>
        </is>
      </c>
      <c r="N131" s="583" t="n"/>
      <c r="O131" s="587" t="n"/>
      <c r="P131" s="587" t="n"/>
      <c r="Q131" s="578" t="n">
        <v>0</v>
      </c>
      <c r="R131" s="581" t="inlineStr">
        <is>
          <t>N/A</t>
        </is>
      </c>
      <c r="S131" s="583" t="n"/>
      <c r="T131" s="30">
        <f>'[1]CAPEX&amp;INVESTMENT'!Y131</f>
        <v/>
      </c>
    </row>
    <row r="132" outlineLevel="1">
      <c r="A132" s="515" t="n"/>
      <c r="B132" s="563" t="inlineStr">
        <is>
          <t>Downstream</t>
        </is>
      </c>
      <c r="C132" s="539" t="inlineStr">
        <is>
          <t>[Input of the project name]</t>
        </is>
      </c>
      <c r="D132" s="912" t="inlineStr">
        <is>
          <t>[input: brief description of the project, including:</t>
        </is>
      </c>
      <c r="E132" s="518" t="inlineStr">
        <is>
          <t>thsd</t>
        </is>
      </c>
      <c r="F132" s="518" t="inlineStr">
        <is>
          <t>+</t>
        </is>
      </c>
      <c r="G132" s="576" t="n">
        <v>0</v>
      </c>
      <c r="H132" s="587" t="n"/>
      <c r="I132" s="587" t="n"/>
      <c r="J132" s="587" t="n"/>
      <c r="K132" s="587" t="n"/>
      <c r="L132" s="578" t="n">
        <v>0</v>
      </c>
      <c r="M132" s="581" t="inlineStr">
        <is>
          <t>N/A</t>
        </is>
      </c>
      <c r="N132" s="583" t="n"/>
      <c r="O132" s="587" t="n"/>
      <c r="P132" s="587" t="n"/>
      <c r="Q132" s="578" t="n">
        <v>0</v>
      </c>
      <c r="R132" s="581" t="inlineStr">
        <is>
          <t>N/A</t>
        </is>
      </c>
      <c r="S132" s="583" t="n"/>
      <c r="T132" s="30">
        <f>'[1]CAPEX&amp;INVESTMENT'!Y132</f>
        <v/>
      </c>
    </row>
    <row r="133" outlineLevel="1">
      <c r="A133" s="515" t="n"/>
      <c r="B133" s="563" t="inlineStr">
        <is>
          <t>Downstream</t>
        </is>
      </c>
      <c r="C133" s="539" t="inlineStr">
        <is>
          <t>[Input of the project name]</t>
        </is>
      </c>
      <c r="D133" s="912" t="inlineStr">
        <is>
          <t>[input: brief description of the project, including:</t>
        </is>
      </c>
      <c r="E133" s="518" t="inlineStr">
        <is>
          <t>thsd</t>
        </is>
      </c>
      <c r="F133" s="518" t="inlineStr">
        <is>
          <t>+</t>
        </is>
      </c>
      <c r="G133" s="576" t="n">
        <v>0</v>
      </c>
      <c r="H133" s="587" t="n"/>
      <c r="I133" s="587" t="n"/>
      <c r="J133" s="587" t="n"/>
      <c r="K133" s="587" t="n"/>
      <c r="L133" s="578" t="n">
        <v>0</v>
      </c>
      <c r="M133" s="581" t="inlineStr">
        <is>
          <t>N/A</t>
        </is>
      </c>
      <c r="N133" s="583" t="n"/>
      <c r="O133" s="587" t="n"/>
      <c r="P133" s="587" t="n"/>
      <c r="Q133" s="578" t="n">
        <v>0</v>
      </c>
      <c r="R133" s="581" t="inlineStr">
        <is>
          <t>N/A</t>
        </is>
      </c>
      <c r="S133" s="583" t="n"/>
      <c r="T133" s="30">
        <f>'[1]CAPEX&amp;INVESTMENT'!Y133</f>
        <v/>
      </c>
    </row>
    <row r="134" outlineLevel="1">
      <c r="A134" s="515" t="n"/>
      <c r="B134" s="563" t="inlineStr">
        <is>
          <t>Downstream</t>
        </is>
      </c>
      <c r="C134" s="539" t="inlineStr">
        <is>
          <t>[Input of the project name]</t>
        </is>
      </c>
      <c r="D134" s="912" t="inlineStr">
        <is>
          <t>[input: brief description of the project, including:</t>
        </is>
      </c>
      <c r="E134" s="518" t="inlineStr">
        <is>
          <t>thsd</t>
        </is>
      </c>
      <c r="F134" s="518" t="inlineStr">
        <is>
          <t>+</t>
        </is>
      </c>
      <c r="G134" s="576" t="n">
        <v>0</v>
      </c>
      <c r="H134" s="587" t="n"/>
      <c r="I134" s="587" t="n"/>
      <c r="J134" s="587" t="n"/>
      <c r="K134" s="587" t="n"/>
      <c r="L134" s="578" t="n">
        <v>0</v>
      </c>
      <c r="M134" s="581" t="inlineStr">
        <is>
          <t>N/A</t>
        </is>
      </c>
      <c r="N134" s="583" t="n"/>
      <c r="O134" s="587" t="n"/>
      <c r="P134" s="587" t="n"/>
      <c r="Q134" s="578" t="n">
        <v>0</v>
      </c>
      <c r="R134" s="581" t="inlineStr">
        <is>
          <t>N/A</t>
        </is>
      </c>
      <c r="S134" s="583" t="n"/>
      <c r="T134" s="30">
        <f>'[1]CAPEX&amp;INVESTMENT'!Y134</f>
        <v/>
      </c>
    </row>
    <row r="135" outlineLevel="1">
      <c r="A135" s="515" t="n"/>
      <c r="B135" s="563" t="inlineStr">
        <is>
          <t>Downstream</t>
        </is>
      </c>
      <c r="C135" s="539" t="inlineStr">
        <is>
          <t>[Input of the project name]</t>
        </is>
      </c>
      <c r="D135" s="912" t="inlineStr">
        <is>
          <t>[input: brief description of the project, including:</t>
        </is>
      </c>
      <c r="E135" s="518" t="inlineStr">
        <is>
          <t>thsd</t>
        </is>
      </c>
      <c r="F135" s="518" t="inlineStr">
        <is>
          <t>+</t>
        </is>
      </c>
      <c r="G135" s="576" t="n">
        <v>0</v>
      </c>
      <c r="H135" s="587" t="n"/>
      <c r="I135" s="587" t="n"/>
      <c r="J135" s="587" t="n"/>
      <c r="K135" s="587" t="n"/>
      <c r="L135" s="578" t="n">
        <v>0</v>
      </c>
      <c r="M135" s="581" t="inlineStr">
        <is>
          <t>N/A</t>
        </is>
      </c>
      <c r="N135" s="583" t="n"/>
      <c r="O135" s="587" t="n"/>
      <c r="P135" s="587" t="n"/>
      <c r="Q135" s="578" t="n">
        <v>0</v>
      </c>
      <c r="R135" s="581" t="inlineStr">
        <is>
          <t>N/A</t>
        </is>
      </c>
      <c r="S135" s="583" t="n"/>
      <c r="T135" s="30">
        <f>'[1]CAPEX&amp;INVESTMENT'!Y135</f>
        <v/>
      </c>
    </row>
    <row r="136" outlineLevel="1">
      <c r="A136" s="515" t="n"/>
      <c r="B136" s="563" t="inlineStr">
        <is>
          <t>Downstream</t>
        </is>
      </c>
      <c r="C136" s="539" t="inlineStr">
        <is>
          <t>[Input of the project name]</t>
        </is>
      </c>
      <c r="D136" s="912" t="inlineStr">
        <is>
          <t>[input: brief description of the project, including:</t>
        </is>
      </c>
      <c r="E136" s="518" t="inlineStr">
        <is>
          <t>thsd</t>
        </is>
      </c>
      <c r="F136" s="518" t="inlineStr">
        <is>
          <t>+</t>
        </is>
      </c>
      <c r="G136" s="576" t="n">
        <v>0</v>
      </c>
      <c r="H136" s="587" t="n"/>
      <c r="I136" s="587" t="n"/>
      <c r="J136" s="587" t="n"/>
      <c r="K136" s="587" t="n"/>
      <c r="L136" s="578" t="n">
        <v>0</v>
      </c>
      <c r="M136" s="581" t="inlineStr">
        <is>
          <t>N/A</t>
        </is>
      </c>
      <c r="N136" s="583" t="n"/>
      <c r="O136" s="587" t="n"/>
      <c r="P136" s="587" t="n"/>
      <c r="Q136" s="578" t="n">
        <v>0</v>
      </c>
      <c r="R136" s="581" t="inlineStr">
        <is>
          <t>N/A</t>
        </is>
      </c>
      <c r="S136" s="583" t="n"/>
      <c r="T136" s="30">
        <f>'[1]CAPEX&amp;INVESTMENT'!Y136</f>
        <v/>
      </c>
    </row>
    <row r="137" outlineLevel="1">
      <c r="A137" s="515" t="n"/>
      <c r="B137" s="563" t="inlineStr">
        <is>
          <t>Downstream</t>
        </is>
      </c>
      <c r="C137" s="539" t="inlineStr">
        <is>
          <t>[Input of the project name]</t>
        </is>
      </c>
      <c r="D137" s="912" t="inlineStr">
        <is>
          <t>[input: brief description of the project, including:</t>
        </is>
      </c>
      <c r="E137" s="518" t="inlineStr">
        <is>
          <t>thsd</t>
        </is>
      </c>
      <c r="F137" s="518" t="inlineStr">
        <is>
          <t>+</t>
        </is>
      </c>
      <c r="G137" s="576" t="n">
        <v>0</v>
      </c>
      <c r="H137" s="587" t="n"/>
      <c r="I137" s="587" t="n"/>
      <c r="J137" s="587" t="n"/>
      <c r="K137" s="587" t="n"/>
      <c r="L137" s="578" t="n">
        <v>0</v>
      </c>
      <c r="M137" s="581" t="inlineStr">
        <is>
          <t>N/A</t>
        </is>
      </c>
      <c r="N137" s="583" t="n"/>
      <c r="O137" s="587" t="n"/>
      <c r="P137" s="587" t="n"/>
      <c r="Q137" s="578" t="n">
        <v>0</v>
      </c>
      <c r="R137" s="581" t="inlineStr">
        <is>
          <t>N/A</t>
        </is>
      </c>
      <c r="S137" s="583" t="n"/>
      <c r="T137" s="30">
        <f>'[1]CAPEX&amp;INVESTMENT'!Y137</f>
        <v/>
      </c>
    </row>
    <row r="138" outlineLevel="1">
      <c r="A138" s="515" t="n"/>
      <c r="B138" s="563" t="inlineStr">
        <is>
          <t>Downstream</t>
        </is>
      </c>
      <c r="C138" s="539" t="inlineStr">
        <is>
          <t>[Input of the project name]</t>
        </is>
      </c>
      <c r="D138" s="912" t="inlineStr">
        <is>
          <t>[input: brief description of the project, including:</t>
        </is>
      </c>
      <c r="E138" s="518" t="inlineStr">
        <is>
          <t>thsd</t>
        </is>
      </c>
      <c r="F138" s="518" t="inlineStr">
        <is>
          <t>+</t>
        </is>
      </c>
      <c r="G138" s="576" t="n">
        <v>0</v>
      </c>
      <c r="H138" s="587" t="n"/>
      <c r="I138" s="587" t="n"/>
      <c r="J138" s="587" t="n"/>
      <c r="K138" s="587" t="n"/>
      <c r="L138" s="578" t="n">
        <v>0</v>
      </c>
      <c r="M138" s="581" t="inlineStr">
        <is>
          <t>N/A</t>
        </is>
      </c>
      <c r="N138" s="583" t="n"/>
      <c r="O138" s="587" t="n"/>
      <c r="P138" s="587" t="n"/>
      <c r="Q138" s="578" t="n">
        <v>0</v>
      </c>
      <c r="R138" s="581" t="inlineStr">
        <is>
          <t>N/A</t>
        </is>
      </c>
      <c r="S138" s="583" t="n"/>
      <c r="T138" s="30">
        <f>'[1]CAPEX&amp;INVESTMENT'!Y138</f>
        <v/>
      </c>
    </row>
    <row r="139" outlineLevel="1">
      <c r="A139" s="515" t="n"/>
      <c r="B139" s="563" t="inlineStr">
        <is>
          <t>Downstream</t>
        </is>
      </c>
      <c r="C139" s="539" t="inlineStr">
        <is>
          <t>[Input of the project name]</t>
        </is>
      </c>
      <c r="D139" s="912" t="inlineStr">
        <is>
          <t>[input: brief description of the project, including:</t>
        </is>
      </c>
      <c r="E139" s="518" t="inlineStr">
        <is>
          <t>thsd</t>
        </is>
      </c>
      <c r="F139" s="518" t="inlineStr">
        <is>
          <t>+</t>
        </is>
      </c>
      <c r="G139" s="576" t="n">
        <v>0</v>
      </c>
      <c r="H139" s="587" t="n"/>
      <c r="I139" s="587" t="n"/>
      <c r="J139" s="587" t="n"/>
      <c r="K139" s="587" t="n"/>
      <c r="L139" s="578" t="n">
        <v>0</v>
      </c>
      <c r="M139" s="581" t="inlineStr">
        <is>
          <t>N/A</t>
        </is>
      </c>
      <c r="N139" s="583" t="n"/>
      <c r="O139" s="587" t="n"/>
      <c r="P139" s="587" t="n"/>
      <c r="Q139" s="578" t="n">
        <v>0</v>
      </c>
      <c r="R139" s="581" t="inlineStr">
        <is>
          <t>N/A</t>
        </is>
      </c>
      <c r="S139" s="583" t="n"/>
      <c r="T139" s="30">
        <f>'[1]CAPEX&amp;INVESTMENT'!Y139</f>
        <v/>
      </c>
    </row>
    <row r="140" outlineLevel="1">
      <c r="A140" s="515" t="n"/>
      <c r="B140" s="563" t="inlineStr">
        <is>
          <t>Downstream</t>
        </is>
      </c>
      <c r="C140" s="539" t="inlineStr">
        <is>
          <t>[Input of the project name]</t>
        </is>
      </c>
      <c r="D140" s="912" t="inlineStr">
        <is>
          <t>[input: brief description of the project, including:</t>
        </is>
      </c>
      <c r="E140" s="518" t="inlineStr">
        <is>
          <t>thsd</t>
        </is>
      </c>
      <c r="F140" s="518" t="inlineStr">
        <is>
          <t>+</t>
        </is>
      </c>
      <c r="G140" s="575" t="n">
        <v>0</v>
      </c>
      <c r="H140" s="587" t="n"/>
      <c r="I140" s="587" t="n"/>
      <c r="J140" s="587" t="n"/>
      <c r="K140" s="587" t="n"/>
      <c r="L140" s="578" t="n">
        <v>0</v>
      </c>
      <c r="M140" s="581" t="inlineStr">
        <is>
          <t>N/A</t>
        </is>
      </c>
      <c r="N140" s="583" t="n"/>
      <c r="O140" s="587" t="n"/>
      <c r="P140" s="587" t="n"/>
      <c r="Q140" s="578" t="n">
        <v>0</v>
      </c>
      <c r="R140" s="581" t="inlineStr">
        <is>
          <t>N/A</t>
        </is>
      </c>
      <c r="S140" s="583" t="n"/>
      <c r="T140" s="30">
        <f>'[1]CAPEX&amp;INVESTMENT'!Y140</f>
        <v/>
      </c>
    </row>
    <row r="141" outlineLevel="1">
      <c r="A141" s="515" t="n"/>
      <c r="B141" s="563" t="inlineStr">
        <is>
          <t>Downstream</t>
        </is>
      </c>
      <c r="C141" s="539" t="inlineStr">
        <is>
          <t>Other projects</t>
        </is>
      </c>
      <c r="D141" s="912" t="n"/>
      <c r="E141" s="518" t="inlineStr">
        <is>
          <t>thsd</t>
        </is>
      </c>
      <c r="F141" s="518" t="inlineStr">
        <is>
          <t>+</t>
        </is>
      </c>
      <c r="G141" s="576" t="n">
        <v>0</v>
      </c>
      <c r="H141" s="587" t="n"/>
      <c r="I141" s="587" t="n"/>
      <c r="J141" s="587" t="n"/>
      <c r="K141" s="587" t="n"/>
      <c r="L141" s="578" t="n">
        <v>0</v>
      </c>
      <c r="M141" s="581" t="inlineStr">
        <is>
          <t>N/A</t>
        </is>
      </c>
      <c r="N141" s="583" t="n"/>
      <c r="O141" s="587" t="n"/>
      <c r="P141" s="587" t="n"/>
      <c r="Q141" s="578" t="n">
        <v>0</v>
      </c>
      <c r="R141" s="581" t="inlineStr">
        <is>
          <t>N/A</t>
        </is>
      </c>
      <c r="S141" s="583" t="n"/>
      <c r="T141" s="30">
        <f>'[1]CAPEX&amp;INVESTMENT'!Y141</f>
        <v/>
      </c>
    </row>
    <row r="142" outlineLevel="1">
      <c r="A142" s="515" t="n"/>
      <c r="B142" s="563" t="inlineStr">
        <is>
          <t>Downstream</t>
        </is>
      </c>
      <c r="C142" s="565" t="inlineStr">
        <is>
          <t xml:space="preserve">Other type of projects </t>
        </is>
      </c>
      <c r="D142" s="911" t="n"/>
      <c r="E142" s="518" t="inlineStr">
        <is>
          <t>thsd</t>
        </is>
      </c>
      <c r="F142" s="518" t="inlineStr">
        <is>
          <t>+</t>
        </is>
      </c>
      <c r="G142" s="576" t="n">
        <v>0</v>
      </c>
      <c r="H142" s="588">
        <f>SUM(INDIRECT(CHAR(COLUMN()+64)&amp;ROW(H143)&amp;":"&amp;IF(_xlfn.ISFORMULA(INDIRECT((ADDRESS(ROW()-1+MATCH(1,$T143:$T$259,0),COLUMN(),1,1)))),(ADDRESS(ROW()+30+MATCH(1,$T143:$T$259,0),COLUMN(),1,1)),(ADDRESS(ROW()-1+MATCH(1,$T143:$T$259,0),COLUMN(),1,1)))))</f>
        <v/>
      </c>
      <c r="I142" s="588">
        <f>SUM(INDIRECT(CHAR(COLUMN()+64)&amp;ROW(I143)&amp;":"&amp;IF(_xlfn.ISFORMULA(INDIRECT((ADDRESS(ROW()-1+MATCH(1,$T143:$T$259,0),COLUMN(),1,1)))),(ADDRESS(ROW()+30+MATCH(1,$T143:$T$259,0),COLUMN(),1,1)),(ADDRESS(ROW()-1+MATCH(1,$T143:$T$259,0),COLUMN(),1,1)))))</f>
        <v/>
      </c>
      <c r="J142" s="588">
        <f>SUM(INDIRECT(CHAR(COLUMN()+64)&amp;ROW(J143)&amp;":"&amp;IF(_xlfn.ISFORMULA(INDIRECT((ADDRESS(ROW()-1+MATCH(1,$T143:$T$259,0),COLUMN(),1,1)))),(ADDRESS(ROW()+30+MATCH(1,$T143:$T$259,0),COLUMN(),1,1)),(ADDRESS(ROW()-1+MATCH(1,$T143:$T$259,0),COLUMN(),1,1)))))</f>
        <v/>
      </c>
      <c r="K142" s="588">
        <f>SUM(INDIRECT(CHAR(COLUMN()+64)&amp;ROW(K143)&amp;":"&amp;IF(_xlfn.ISFORMULA(INDIRECT((ADDRESS(ROW()-1+MATCH(1,$T143:$T$259,0),COLUMN(),1,1)))),(ADDRESS(ROW()+30+MATCH(1,$T143:$T$259,0),COLUMN(),1,1)),(ADDRESS(ROW()-1+MATCH(1,$T143:$T$259,0),COLUMN(),1,1)))))</f>
        <v/>
      </c>
      <c r="L142" s="578">
        <f/>
        <v/>
      </c>
      <c r="M142" s="581">
        <f/>
        <v/>
      </c>
      <c r="N142" s="583" t="n"/>
      <c r="O142" s="588">
        <f>SUM(INDIRECT(CHAR(COLUMN()+64)&amp;ROW(O143)&amp;":"&amp;IF(_xlfn.ISFORMULA(INDIRECT((ADDRESS(ROW()-1+MATCH(1,$T143:$T$259,0),COLUMN(),1,1)))),(ADDRESS(ROW()+30+MATCH(1,$T143:$T$259,0),COLUMN(),1,1)),(ADDRESS(ROW()-1+MATCH(1,$T143:$T$259,0),COLUMN(),1,1)))))</f>
        <v/>
      </c>
      <c r="P142" s="588">
        <f>SUM(INDIRECT(CHAR(COLUMN()+64)&amp;ROW(P143)&amp;":"&amp;IF(_xlfn.ISFORMULA(INDIRECT((ADDRESS(ROW()-1+MATCH(1,$T143:$T$259,0),COLUMN(),1,1)))),(ADDRESS(ROW()+30+MATCH(1,$T143:$T$259,0),COLUMN(),1,1)),(ADDRESS(ROW()-1+MATCH(1,$T143:$T$259,0),COLUMN(),1,1)))))</f>
        <v/>
      </c>
      <c r="Q142" s="578">
        <f/>
        <v/>
      </c>
      <c r="R142" s="581">
        <f/>
        <v/>
      </c>
      <c r="S142" s="583" t="n"/>
      <c r="T142" s="30">
        <f>'[1]CAPEX&amp;INVESTMENT'!Y142</f>
        <v/>
      </c>
    </row>
    <row r="143" outlineLevel="1">
      <c r="A143" s="515" t="n"/>
      <c r="B143" s="563" t="inlineStr">
        <is>
          <t>Downstream</t>
        </is>
      </c>
      <c r="C143" s="539" t="inlineStr">
        <is>
          <t>[Input of the project name]</t>
        </is>
      </c>
      <c r="D143" s="912" t="inlineStr">
        <is>
          <t>[input: brief description of the project, including:</t>
        </is>
      </c>
      <c r="E143" s="518" t="inlineStr">
        <is>
          <t>thsd</t>
        </is>
      </c>
      <c r="F143" s="518" t="inlineStr">
        <is>
          <t>+</t>
        </is>
      </c>
      <c r="G143" s="576" t="n">
        <v>0</v>
      </c>
      <c r="H143" s="587" t="n"/>
      <c r="I143" s="587" t="n"/>
      <c r="J143" s="587" t="n"/>
      <c r="K143" s="587" t="n"/>
      <c r="L143" s="578" t="n">
        <v>0</v>
      </c>
      <c r="M143" s="581" t="inlineStr">
        <is>
          <t>N/A</t>
        </is>
      </c>
      <c r="N143" s="583" t="n"/>
      <c r="O143" s="587" t="n"/>
      <c r="P143" s="587" t="n"/>
      <c r="Q143" s="578" t="n">
        <v>0</v>
      </c>
      <c r="R143" s="581" t="inlineStr">
        <is>
          <t>N/A</t>
        </is>
      </c>
      <c r="S143" s="583" t="n"/>
      <c r="T143" s="30">
        <f>'[1]CAPEX&amp;INVESTMENT'!Y143</f>
        <v/>
      </c>
    </row>
    <row r="144">
      <c r="A144" s="515" t="n"/>
      <c r="B144" s="564" t="inlineStr">
        <is>
          <t>Downstream</t>
        </is>
      </c>
      <c r="C144" s="568" t="inlineStr">
        <is>
          <t>[Input of the project name]</t>
        </is>
      </c>
      <c r="D144" s="913" t="inlineStr">
        <is>
          <t>[input: brief description of the project, including:</t>
        </is>
      </c>
      <c r="E144" s="518" t="inlineStr">
        <is>
          <t>thsd</t>
        </is>
      </c>
      <c r="F144" s="518" t="inlineStr">
        <is>
          <t>+</t>
        </is>
      </c>
      <c r="G144" s="576" t="n">
        <v>0</v>
      </c>
      <c r="H144" s="587" t="n"/>
      <c r="I144" s="587" t="n"/>
      <c r="J144" s="587" t="n"/>
      <c r="K144" s="587" t="n"/>
      <c r="L144" s="579" t="n">
        <v>0</v>
      </c>
      <c r="M144" s="582" t="inlineStr">
        <is>
          <t>N/A</t>
        </is>
      </c>
      <c r="N144" s="583" t="n"/>
      <c r="O144" s="587" t="n"/>
      <c r="P144" s="587" t="n"/>
      <c r="Q144" s="579" t="n">
        <v>0</v>
      </c>
      <c r="R144" s="582" t="inlineStr">
        <is>
          <t>N/A</t>
        </is>
      </c>
      <c r="S144" s="583" t="n"/>
      <c r="T144" s="30">
        <f>'[1]CAPEX&amp;INVESTMENT'!Y144</f>
        <v/>
      </c>
    </row>
    <row r="145" outlineLevel="1">
      <c r="A145" s="515" t="n"/>
      <c r="B145" s="564" t="inlineStr">
        <is>
          <t>Downstream</t>
        </is>
      </c>
      <c r="C145" s="568" t="inlineStr">
        <is>
          <t>[Input of the project name]</t>
        </is>
      </c>
      <c r="D145" s="913" t="inlineStr">
        <is>
          <t>[input: brief description of the project, including:</t>
        </is>
      </c>
      <c r="E145" s="518" t="inlineStr">
        <is>
          <t>thsd</t>
        </is>
      </c>
      <c r="F145" s="518" t="inlineStr">
        <is>
          <t>+</t>
        </is>
      </c>
      <c r="G145" s="576" t="n">
        <v>0</v>
      </c>
      <c r="H145" s="587" t="n"/>
      <c r="I145" s="587" t="n"/>
      <c r="J145" s="587" t="n"/>
      <c r="K145" s="587" t="n"/>
      <c r="L145" s="578" t="n">
        <v>0</v>
      </c>
      <c r="M145" s="581" t="inlineStr">
        <is>
          <t>N/A</t>
        </is>
      </c>
      <c r="N145" s="583" t="n"/>
      <c r="O145" s="587" t="n"/>
      <c r="P145" s="587" t="n"/>
      <c r="Q145" s="578" t="n">
        <v>0</v>
      </c>
      <c r="R145" s="581" t="inlineStr">
        <is>
          <t>N/A</t>
        </is>
      </c>
      <c r="S145" s="583" t="n"/>
      <c r="T145" s="30">
        <f>'[1]CAPEX&amp;INVESTMENT'!Y145</f>
        <v/>
      </c>
    </row>
    <row r="146" outlineLevel="1">
      <c r="A146" s="515" t="n"/>
      <c r="B146" s="563" t="inlineStr">
        <is>
          <t>Downstream</t>
        </is>
      </c>
      <c r="C146" s="539" t="inlineStr">
        <is>
          <t>[Input of the project name]</t>
        </is>
      </c>
      <c r="D146" s="912" t="inlineStr">
        <is>
          <t>[input: brief description of the project, including:</t>
        </is>
      </c>
      <c r="E146" s="518" t="inlineStr">
        <is>
          <t>thsd</t>
        </is>
      </c>
      <c r="F146" s="518" t="inlineStr">
        <is>
          <t>+</t>
        </is>
      </c>
      <c r="G146" s="576" t="n">
        <v>0</v>
      </c>
      <c r="H146" s="587" t="n"/>
      <c r="I146" s="587" t="n"/>
      <c r="J146" s="587" t="n"/>
      <c r="K146" s="587" t="n"/>
      <c r="L146" s="578" t="n">
        <v>0</v>
      </c>
      <c r="M146" s="581" t="inlineStr">
        <is>
          <t>N/A</t>
        </is>
      </c>
      <c r="N146" s="583" t="n"/>
      <c r="O146" s="587" t="n"/>
      <c r="P146" s="587" t="n"/>
      <c r="Q146" s="578" t="n">
        <v>0</v>
      </c>
      <c r="R146" s="581" t="inlineStr">
        <is>
          <t>N/A</t>
        </is>
      </c>
      <c r="S146" s="583" t="n"/>
      <c r="T146" s="30">
        <f>'[1]CAPEX&amp;INVESTMENT'!Y146</f>
        <v/>
      </c>
    </row>
    <row r="147" outlineLevel="1">
      <c r="A147" s="515" t="n"/>
      <c r="B147" s="563" t="inlineStr">
        <is>
          <t>Downstream</t>
        </is>
      </c>
      <c r="C147" s="539" t="inlineStr">
        <is>
          <t>[Input of the project name]</t>
        </is>
      </c>
      <c r="D147" s="912" t="inlineStr">
        <is>
          <t>[input: brief description of the project, including:</t>
        </is>
      </c>
      <c r="E147" s="518" t="inlineStr">
        <is>
          <t>thsd</t>
        </is>
      </c>
      <c r="F147" s="518" t="inlineStr">
        <is>
          <t>+</t>
        </is>
      </c>
      <c r="G147" s="576" t="n">
        <v>0</v>
      </c>
      <c r="H147" s="587" t="n"/>
      <c r="I147" s="587" t="n"/>
      <c r="J147" s="587" t="n"/>
      <c r="K147" s="587" t="n"/>
      <c r="L147" s="578" t="n">
        <v>0</v>
      </c>
      <c r="M147" s="581" t="inlineStr">
        <is>
          <t>N/A</t>
        </is>
      </c>
      <c r="N147" s="583" t="n"/>
      <c r="O147" s="587" t="n"/>
      <c r="P147" s="587" t="n"/>
      <c r="Q147" s="578" t="n">
        <v>0</v>
      </c>
      <c r="R147" s="581" t="inlineStr">
        <is>
          <t>N/A</t>
        </is>
      </c>
      <c r="S147" s="583" t="n"/>
      <c r="T147" s="30">
        <f>'[1]CAPEX&amp;INVESTMENT'!Y147</f>
        <v/>
      </c>
    </row>
    <row r="148" outlineLevel="1">
      <c r="A148" s="515" t="n"/>
      <c r="B148" s="563" t="inlineStr">
        <is>
          <t>Downstream</t>
        </is>
      </c>
      <c r="C148" s="539" t="inlineStr">
        <is>
          <t>[Input of the project name]</t>
        </is>
      </c>
      <c r="D148" s="912" t="inlineStr">
        <is>
          <t>[input: brief description of the project, including:</t>
        </is>
      </c>
      <c r="E148" s="518" t="inlineStr">
        <is>
          <t>thsd</t>
        </is>
      </c>
      <c r="F148" s="518" t="inlineStr">
        <is>
          <t>+</t>
        </is>
      </c>
      <c r="G148" s="576" t="n">
        <v>0</v>
      </c>
      <c r="H148" s="587" t="n"/>
      <c r="I148" s="587" t="n"/>
      <c r="J148" s="587" t="n"/>
      <c r="K148" s="587" t="n"/>
      <c r="L148" s="578" t="n">
        <v>0</v>
      </c>
      <c r="M148" s="581" t="inlineStr">
        <is>
          <t>N/A</t>
        </is>
      </c>
      <c r="N148" s="583" t="n"/>
      <c r="O148" s="587" t="n"/>
      <c r="P148" s="587" t="n"/>
      <c r="Q148" s="578" t="n">
        <v>0</v>
      </c>
      <c r="R148" s="581" t="inlineStr">
        <is>
          <t>N/A</t>
        </is>
      </c>
      <c r="S148" s="583" t="n"/>
      <c r="T148" s="30">
        <f>'[1]CAPEX&amp;INVESTMENT'!Y148</f>
        <v/>
      </c>
    </row>
    <row r="149" outlineLevel="1">
      <c r="A149" s="515" t="n"/>
      <c r="B149" s="563" t="inlineStr">
        <is>
          <t>Downstream</t>
        </is>
      </c>
      <c r="C149" s="539" t="inlineStr">
        <is>
          <t>[Input of the project name]</t>
        </is>
      </c>
      <c r="D149" s="912" t="inlineStr">
        <is>
          <t>[input: brief description of the project, including:</t>
        </is>
      </c>
      <c r="E149" s="518" t="inlineStr">
        <is>
          <t>thsd</t>
        </is>
      </c>
      <c r="F149" s="518" t="inlineStr">
        <is>
          <t>+</t>
        </is>
      </c>
      <c r="G149" s="576" t="n">
        <v>0</v>
      </c>
      <c r="H149" s="587" t="n"/>
      <c r="I149" s="587" t="n"/>
      <c r="J149" s="587" t="n"/>
      <c r="K149" s="587" t="n"/>
      <c r="L149" s="578" t="n">
        <v>0</v>
      </c>
      <c r="M149" s="581" t="inlineStr">
        <is>
          <t>N/A</t>
        </is>
      </c>
      <c r="N149" s="583" t="n"/>
      <c r="O149" s="587" t="n"/>
      <c r="P149" s="587" t="n"/>
      <c r="Q149" s="578" t="n">
        <v>0</v>
      </c>
      <c r="R149" s="581" t="inlineStr">
        <is>
          <t>N/A</t>
        </is>
      </c>
      <c r="S149" s="583" t="n"/>
      <c r="T149" s="30">
        <f>'[1]CAPEX&amp;INVESTMENT'!Y149</f>
        <v/>
      </c>
    </row>
    <row r="150" outlineLevel="1">
      <c r="A150" s="515" t="n"/>
      <c r="B150" s="563" t="inlineStr">
        <is>
          <t>Downstream</t>
        </is>
      </c>
      <c r="C150" s="539" t="inlineStr">
        <is>
          <t>[Input of the project name]</t>
        </is>
      </c>
      <c r="D150" s="912" t="inlineStr">
        <is>
          <t>[input: brief description of the project, including:</t>
        </is>
      </c>
      <c r="E150" s="518" t="inlineStr">
        <is>
          <t>thsd</t>
        </is>
      </c>
      <c r="F150" s="518" t="inlineStr">
        <is>
          <t>+</t>
        </is>
      </c>
      <c r="G150" s="576" t="n">
        <v>0</v>
      </c>
      <c r="H150" s="587" t="n"/>
      <c r="I150" s="587" t="n"/>
      <c r="J150" s="587" t="n"/>
      <c r="K150" s="587" t="n"/>
      <c r="L150" s="578" t="n">
        <v>0</v>
      </c>
      <c r="M150" s="581" t="inlineStr">
        <is>
          <t>N/A</t>
        </is>
      </c>
      <c r="N150" s="583" t="n"/>
      <c r="O150" s="587" t="n"/>
      <c r="P150" s="587" t="n"/>
      <c r="Q150" s="578" t="n">
        <v>0</v>
      </c>
      <c r="R150" s="581" t="inlineStr">
        <is>
          <t>N/A</t>
        </is>
      </c>
      <c r="S150" s="583" t="n"/>
      <c r="T150" s="30">
        <f>'[1]CAPEX&amp;INVESTMENT'!Y150</f>
        <v/>
      </c>
    </row>
    <row r="151" outlineLevel="1">
      <c r="A151" s="515" t="n"/>
      <c r="B151" s="563" t="inlineStr">
        <is>
          <t>Downstream</t>
        </is>
      </c>
      <c r="C151" s="539" t="inlineStr">
        <is>
          <t>[Input of the project name]</t>
        </is>
      </c>
      <c r="D151" s="912" t="inlineStr">
        <is>
          <t>[input: brief description of the project, including:</t>
        </is>
      </c>
      <c r="E151" s="518" t="inlineStr">
        <is>
          <t>thsd</t>
        </is>
      </c>
      <c r="F151" s="518" t="inlineStr">
        <is>
          <t>+</t>
        </is>
      </c>
      <c r="G151" s="576" t="n">
        <v>0</v>
      </c>
      <c r="H151" s="587" t="n"/>
      <c r="I151" s="587" t="n"/>
      <c r="J151" s="587" t="n"/>
      <c r="K151" s="587" t="n"/>
      <c r="L151" s="578" t="n">
        <v>0</v>
      </c>
      <c r="M151" s="581" t="inlineStr">
        <is>
          <t>N/A</t>
        </is>
      </c>
      <c r="N151" s="583" t="n"/>
      <c r="O151" s="587" t="n"/>
      <c r="P151" s="587" t="n"/>
      <c r="Q151" s="578" t="n">
        <v>0</v>
      </c>
      <c r="R151" s="581" t="inlineStr">
        <is>
          <t>N/A</t>
        </is>
      </c>
      <c r="S151" s="583" t="n"/>
      <c r="T151" s="30">
        <f>'[1]CAPEX&amp;INVESTMENT'!Y151</f>
        <v/>
      </c>
    </row>
    <row r="152" outlineLevel="1">
      <c r="A152" s="515" t="n"/>
      <c r="B152" s="563" t="inlineStr">
        <is>
          <t>Downstream</t>
        </is>
      </c>
      <c r="C152" s="539" t="inlineStr">
        <is>
          <t>[Input of the project name]</t>
        </is>
      </c>
      <c r="D152" s="912" t="inlineStr">
        <is>
          <t>[input: brief description of the project, including:</t>
        </is>
      </c>
      <c r="E152" s="518" t="inlineStr">
        <is>
          <t>thsd</t>
        </is>
      </c>
      <c r="F152" s="518" t="inlineStr">
        <is>
          <t>+</t>
        </is>
      </c>
      <c r="G152" s="576" t="n">
        <v>0</v>
      </c>
      <c r="H152" s="587" t="n"/>
      <c r="I152" s="587" t="n"/>
      <c r="J152" s="587" t="n"/>
      <c r="K152" s="587" t="n"/>
      <c r="L152" s="578" t="n">
        <v>0</v>
      </c>
      <c r="M152" s="581" t="inlineStr">
        <is>
          <t>N/A</t>
        </is>
      </c>
      <c r="N152" s="583" t="n"/>
      <c r="O152" s="587" t="n"/>
      <c r="P152" s="587" t="n"/>
      <c r="Q152" s="578" t="n">
        <v>0</v>
      </c>
      <c r="R152" s="581" t="inlineStr">
        <is>
          <t>N/A</t>
        </is>
      </c>
      <c r="S152" s="583" t="n"/>
      <c r="T152" s="30">
        <f>'[1]CAPEX&amp;INVESTMENT'!Y152</f>
        <v/>
      </c>
    </row>
    <row r="153" outlineLevel="1">
      <c r="A153" s="515" t="n"/>
      <c r="B153" s="563" t="inlineStr">
        <is>
          <t>Downstream</t>
        </is>
      </c>
      <c r="C153" s="539" t="inlineStr">
        <is>
          <t>[Input of the project name]</t>
        </is>
      </c>
      <c r="D153" s="912" t="inlineStr">
        <is>
          <t>[input: brief description of the project, including:</t>
        </is>
      </c>
      <c r="E153" s="518" t="inlineStr">
        <is>
          <t>thsd</t>
        </is>
      </c>
      <c r="F153" s="518" t="inlineStr">
        <is>
          <t>+</t>
        </is>
      </c>
      <c r="G153" s="576" t="n">
        <v>0</v>
      </c>
      <c r="H153" s="587" t="n"/>
      <c r="I153" s="587" t="n"/>
      <c r="J153" s="587" t="n"/>
      <c r="K153" s="587" t="n"/>
      <c r="L153" s="578" t="n">
        <v>0</v>
      </c>
      <c r="M153" s="581" t="inlineStr">
        <is>
          <t>N/A</t>
        </is>
      </c>
      <c r="N153" s="583" t="n"/>
      <c r="O153" s="587" t="n"/>
      <c r="P153" s="587" t="n"/>
      <c r="Q153" s="578" t="n">
        <v>0</v>
      </c>
      <c r="R153" s="581" t="inlineStr">
        <is>
          <t>N/A</t>
        </is>
      </c>
      <c r="S153" s="583" t="n"/>
      <c r="T153" s="30">
        <f>'[1]CAPEX&amp;INVESTMENT'!Y153</f>
        <v/>
      </c>
    </row>
    <row r="154" outlineLevel="1">
      <c r="A154" s="515" t="n"/>
      <c r="B154" s="563" t="inlineStr">
        <is>
          <t>Downstream</t>
        </is>
      </c>
      <c r="C154" s="539" t="inlineStr">
        <is>
          <t>[Input of the project name]</t>
        </is>
      </c>
      <c r="D154" s="912" t="inlineStr">
        <is>
          <t>[input: brief description of the project, including:</t>
        </is>
      </c>
      <c r="E154" s="518" t="inlineStr">
        <is>
          <t>thsd</t>
        </is>
      </c>
      <c r="F154" s="518" t="inlineStr">
        <is>
          <t>+</t>
        </is>
      </c>
      <c r="G154" s="576" t="n">
        <v>0</v>
      </c>
      <c r="H154" s="587" t="n"/>
      <c r="I154" s="587" t="n"/>
      <c r="J154" s="587" t="n"/>
      <c r="K154" s="587" t="n"/>
      <c r="L154" s="578" t="n">
        <v>0</v>
      </c>
      <c r="M154" s="581" t="inlineStr">
        <is>
          <t>N/A</t>
        </is>
      </c>
      <c r="N154" s="583" t="n"/>
      <c r="O154" s="587" t="n"/>
      <c r="P154" s="587" t="n"/>
      <c r="Q154" s="578" t="n">
        <v>0</v>
      </c>
      <c r="R154" s="581" t="inlineStr">
        <is>
          <t>N/A</t>
        </is>
      </c>
      <c r="S154" s="583" t="n"/>
      <c r="T154" s="30">
        <f>'[1]CAPEX&amp;INVESTMENT'!Y154</f>
        <v/>
      </c>
    </row>
    <row r="155" outlineLevel="1">
      <c r="A155" s="515" t="n"/>
      <c r="B155" s="563" t="inlineStr">
        <is>
          <t>Downstream</t>
        </is>
      </c>
      <c r="C155" s="539" t="inlineStr">
        <is>
          <t>[Input of the project name]</t>
        </is>
      </c>
      <c r="D155" s="912" t="inlineStr">
        <is>
          <t>[input: brief description of the project, including:</t>
        </is>
      </c>
      <c r="E155" s="518" t="inlineStr">
        <is>
          <t>thsd</t>
        </is>
      </c>
      <c r="F155" s="518" t="inlineStr">
        <is>
          <t>+</t>
        </is>
      </c>
      <c r="G155" s="576" t="n">
        <v>0</v>
      </c>
      <c r="H155" s="587" t="n"/>
      <c r="I155" s="587" t="n"/>
      <c r="J155" s="587" t="n"/>
      <c r="K155" s="587" t="n"/>
      <c r="L155" s="578" t="n">
        <v>0</v>
      </c>
      <c r="M155" s="581" t="inlineStr">
        <is>
          <t>N/A</t>
        </is>
      </c>
      <c r="N155" s="583" t="n"/>
      <c r="O155" s="587" t="n"/>
      <c r="P155" s="587" t="n"/>
      <c r="Q155" s="578" t="n">
        <v>0</v>
      </c>
      <c r="R155" s="581" t="inlineStr">
        <is>
          <t>N/A</t>
        </is>
      </c>
      <c r="S155" s="583" t="n"/>
      <c r="T155" s="30">
        <f>'[1]CAPEX&amp;INVESTMENT'!Y155</f>
        <v/>
      </c>
    </row>
    <row r="156" outlineLevel="1">
      <c r="A156" s="515" t="n"/>
      <c r="B156" s="563" t="inlineStr">
        <is>
          <t>Downstream</t>
        </is>
      </c>
      <c r="C156" s="539" t="inlineStr">
        <is>
          <t>[Input of the project name]</t>
        </is>
      </c>
      <c r="D156" s="912" t="inlineStr">
        <is>
          <t>[input: brief description of the project, including:</t>
        </is>
      </c>
      <c r="E156" s="518" t="inlineStr">
        <is>
          <t>thsd</t>
        </is>
      </c>
      <c r="F156" s="518" t="inlineStr">
        <is>
          <t>+</t>
        </is>
      </c>
      <c r="G156" s="576" t="n">
        <v>0</v>
      </c>
      <c r="H156" s="587" t="n"/>
      <c r="I156" s="587" t="n"/>
      <c r="J156" s="587" t="n"/>
      <c r="K156" s="587" t="n"/>
      <c r="L156" s="578" t="n">
        <v>0</v>
      </c>
      <c r="M156" s="581" t="inlineStr">
        <is>
          <t>N/A</t>
        </is>
      </c>
      <c r="N156" s="583" t="n"/>
      <c r="O156" s="587" t="n"/>
      <c r="P156" s="587" t="n"/>
      <c r="Q156" s="578" t="n">
        <v>0</v>
      </c>
      <c r="R156" s="581" t="inlineStr">
        <is>
          <t>N/A</t>
        </is>
      </c>
      <c r="S156" s="583" t="n"/>
      <c r="T156" s="30">
        <f>'[1]CAPEX&amp;INVESTMENT'!Y156</f>
        <v/>
      </c>
    </row>
    <row r="157" outlineLevel="1">
      <c r="A157" s="515" t="n"/>
      <c r="B157" s="563" t="inlineStr">
        <is>
          <t>Downstream</t>
        </is>
      </c>
      <c r="C157" s="539" t="inlineStr">
        <is>
          <t>[Input of the project name]</t>
        </is>
      </c>
      <c r="D157" s="912" t="inlineStr">
        <is>
          <t>[input: brief description of the project, including:</t>
        </is>
      </c>
      <c r="E157" s="518" t="inlineStr">
        <is>
          <t>thsd</t>
        </is>
      </c>
      <c r="F157" s="518" t="inlineStr">
        <is>
          <t>+</t>
        </is>
      </c>
      <c r="G157" s="576" t="n">
        <v>0</v>
      </c>
      <c r="H157" s="587" t="n"/>
      <c r="I157" s="587" t="n"/>
      <c r="J157" s="587" t="n"/>
      <c r="K157" s="587" t="n"/>
      <c r="L157" s="578" t="n">
        <v>0</v>
      </c>
      <c r="M157" s="581" t="inlineStr">
        <is>
          <t>N/A</t>
        </is>
      </c>
      <c r="N157" s="583" t="n"/>
      <c r="O157" s="587" t="n"/>
      <c r="P157" s="587" t="n"/>
      <c r="Q157" s="578" t="n">
        <v>0</v>
      </c>
      <c r="R157" s="581" t="inlineStr">
        <is>
          <t>N/A</t>
        </is>
      </c>
      <c r="S157" s="583" t="n"/>
      <c r="T157" s="30">
        <f>'[1]CAPEX&amp;INVESTMENT'!Y157</f>
        <v/>
      </c>
    </row>
    <row r="158" outlineLevel="1">
      <c r="A158" s="515" t="n"/>
      <c r="B158" s="563" t="inlineStr">
        <is>
          <t>Downstream</t>
        </is>
      </c>
      <c r="C158" s="539" t="inlineStr">
        <is>
          <t>[Input of the project name]</t>
        </is>
      </c>
      <c r="D158" s="912" t="inlineStr">
        <is>
          <t>[input: brief description of the project, including:</t>
        </is>
      </c>
      <c r="E158" s="518" t="inlineStr">
        <is>
          <t>thsd</t>
        </is>
      </c>
      <c r="F158" s="518" t="inlineStr">
        <is>
          <t>+</t>
        </is>
      </c>
      <c r="G158" s="576" t="n">
        <v>0</v>
      </c>
      <c r="H158" s="587" t="n"/>
      <c r="I158" s="587" t="n"/>
      <c r="J158" s="587" t="n"/>
      <c r="K158" s="587" t="n"/>
      <c r="L158" s="578" t="n">
        <v>0</v>
      </c>
      <c r="M158" s="581" t="inlineStr">
        <is>
          <t>N/A</t>
        </is>
      </c>
      <c r="N158" s="583" t="n"/>
      <c r="O158" s="587" t="n"/>
      <c r="P158" s="587" t="n"/>
      <c r="Q158" s="578" t="n">
        <v>0</v>
      </c>
      <c r="R158" s="581" t="inlineStr">
        <is>
          <t>N/A</t>
        </is>
      </c>
      <c r="S158" s="583" t="n"/>
      <c r="T158" s="30">
        <f>'[1]CAPEX&amp;INVESTMENT'!Y158</f>
        <v/>
      </c>
    </row>
    <row r="159" outlineLevel="1">
      <c r="A159" s="515" t="n"/>
      <c r="B159" s="563" t="inlineStr">
        <is>
          <t>Downstream</t>
        </is>
      </c>
      <c r="C159" s="539" t="inlineStr">
        <is>
          <t>[Input of the project name]</t>
        </is>
      </c>
      <c r="D159" s="912" t="inlineStr">
        <is>
          <t>[input: brief description of the project, including:</t>
        </is>
      </c>
      <c r="E159" s="518" t="inlineStr">
        <is>
          <t>thsd</t>
        </is>
      </c>
      <c r="F159" s="518" t="inlineStr">
        <is>
          <t>+</t>
        </is>
      </c>
      <c r="G159" s="576" t="n">
        <v>0</v>
      </c>
      <c r="H159" s="587" t="n"/>
      <c r="I159" s="587" t="n"/>
      <c r="J159" s="587" t="n"/>
      <c r="K159" s="587" t="n"/>
      <c r="L159" s="578" t="n">
        <v>0</v>
      </c>
      <c r="M159" s="581" t="inlineStr">
        <is>
          <t>N/A</t>
        </is>
      </c>
      <c r="N159" s="583" t="n"/>
      <c r="O159" s="587" t="n"/>
      <c r="P159" s="587" t="n"/>
      <c r="Q159" s="578" t="n">
        <v>0</v>
      </c>
      <c r="R159" s="581" t="inlineStr">
        <is>
          <t>N/A</t>
        </is>
      </c>
      <c r="S159" s="583" t="n"/>
      <c r="T159" s="30">
        <f>'[1]CAPEX&amp;INVESTMENT'!Y159</f>
        <v/>
      </c>
    </row>
    <row r="160" outlineLevel="1">
      <c r="A160" s="515" t="n"/>
      <c r="B160" s="563" t="inlineStr">
        <is>
          <t>Downstream</t>
        </is>
      </c>
      <c r="C160" s="539" t="inlineStr">
        <is>
          <t>[Input of the project name]</t>
        </is>
      </c>
      <c r="D160" s="912" t="inlineStr">
        <is>
          <t>[input: brief description of the project, including:</t>
        </is>
      </c>
      <c r="E160" s="518" t="inlineStr">
        <is>
          <t>thsd</t>
        </is>
      </c>
      <c r="F160" s="518" t="inlineStr">
        <is>
          <t>+</t>
        </is>
      </c>
      <c r="G160" s="576" t="n">
        <v>0</v>
      </c>
      <c r="H160" s="587" t="n"/>
      <c r="I160" s="587" t="n"/>
      <c r="J160" s="587" t="n"/>
      <c r="K160" s="587" t="n"/>
      <c r="L160" s="578" t="n">
        <v>0</v>
      </c>
      <c r="M160" s="581" t="inlineStr">
        <is>
          <t>N/A</t>
        </is>
      </c>
      <c r="N160" s="583" t="n"/>
      <c r="O160" s="587" t="n"/>
      <c r="P160" s="587" t="n"/>
      <c r="Q160" s="578" t="n">
        <v>0</v>
      </c>
      <c r="R160" s="581" t="inlineStr">
        <is>
          <t>N/A</t>
        </is>
      </c>
      <c r="S160" s="583" t="n"/>
      <c r="T160" s="30">
        <f>'[1]CAPEX&amp;INVESTMENT'!Y160</f>
        <v/>
      </c>
    </row>
    <row r="161" outlineLevel="1">
      <c r="A161" s="515" t="n"/>
      <c r="B161" s="563" t="inlineStr">
        <is>
          <t>Downstream</t>
        </is>
      </c>
      <c r="C161" s="539" t="inlineStr">
        <is>
          <t>[Input of the project name]</t>
        </is>
      </c>
      <c r="D161" s="912" t="inlineStr">
        <is>
          <t>[input: brief description of the project, including:</t>
        </is>
      </c>
      <c r="E161" s="518" t="inlineStr">
        <is>
          <t>thsd</t>
        </is>
      </c>
      <c r="F161" s="518" t="inlineStr">
        <is>
          <t>+</t>
        </is>
      </c>
      <c r="G161" s="576" t="n">
        <v>0</v>
      </c>
      <c r="H161" s="587" t="n"/>
      <c r="I161" s="587" t="n"/>
      <c r="J161" s="587" t="n"/>
      <c r="K161" s="587" t="n"/>
      <c r="L161" s="578" t="n">
        <v>0</v>
      </c>
      <c r="M161" s="581" t="inlineStr">
        <is>
          <t>N/A</t>
        </is>
      </c>
      <c r="N161" s="583" t="n"/>
      <c r="O161" s="587" t="n"/>
      <c r="P161" s="587" t="n"/>
      <c r="Q161" s="578" t="n">
        <v>0</v>
      </c>
      <c r="R161" s="581" t="inlineStr">
        <is>
          <t>N/A</t>
        </is>
      </c>
      <c r="S161" s="583" t="n"/>
      <c r="T161" s="30">
        <f>'[1]CAPEX&amp;INVESTMENT'!Y161</f>
        <v/>
      </c>
    </row>
    <row r="162" outlineLevel="1">
      <c r="A162" s="515" t="n"/>
      <c r="B162" s="563" t="inlineStr">
        <is>
          <t>Downstream</t>
        </is>
      </c>
      <c r="C162" s="539" t="inlineStr">
        <is>
          <t>[Input of the project name]</t>
        </is>
      </c>
      <c r="D162" s="912" t="inlineStr">
        <is>
          <t>[input: brief description of the project, including:</t>
        </is>
      </c>
      <c r="E162" s="518" t="inlineStr">
        <is>
          <t>thsd</t>
        </is>
      </c>
      <c r="F162" s="518" t="inlineStr">
        <is>
          <t>+</t>
        </is>
      </c>
      <c r="G162" s="576" t="n">
        <v>0</v>
      </c>
      <c r="H162" s="587" t="n"/>
      <c r="I162" s="587" t="n"/>
      <c r="J162" s="587" t="n"/>
      <c r="K162" s="587" t="n"/>
      <c r="L162" s="578" t="n">
        <v>0</v>
      </c>
      <c r="M162" s="581" t="inlineStr">
        <is>
          <t>N/A</t>
        </is>
      </c>
      <c r="N162" s="583" t="n"/>
      <c r="O162" s="587" t="n"/>
      <c r="P162" s="587" t="n"/>
      <c r="Q162" s="578" t="n">
        <v>0</v>
      </c>
      <c r="R162" s="581" t="inlineStr">
        <is>
          <t>N/A</t>
        </is>
      </c>
      <c r="S162" s="583" t="n"/>
      <c r="T162" s="30">
        <f>'[1]CAPEX&amp;INVESTMENT'!Y162</f>
        <v/>
      </c>
    </row>
    <row r="163" outlineLevel="1">
      <c r="A163" s="515" t="n"/>
      <c r="B163" s="563" t="inlineStr">
        <is>
          <t>Downstream</t>
        </is>
      </c>
      <c r="C163" s="539" t="inlineStr">
        <is>
          <t>[Input of the project name]</t>
        </is>
      </c>
      <c r="D163" s="912" t="inlineStr">
        <is>
          <t>[input: brief description of the project, including:</t>
        </is>
      </c>
      <c r="E163" s="518" t="inlineStr">
        <is>
          <t>thsd</t>
        </is>
      </c>
      <c r="F163" s="518" t="inlineStr">
        <is>
          <t>+</t>
        </is>
      </c>
      <c r="G163" s="576" t="n">
        <v>0</v>
      </c>
      <c r="H163" s="587" t="n"/>
      <c r="I163" s="587" t="n"/>
      <c r="J163" s="587" t="n"/>
      <c r="K163" s="587" t="n"/>
      <c r="L163" s="578" t="n">
        <v>0</v>
      </c>
      <c r="M163" s="581" t="inlineStr">
        <is>
          <t>N/A</t>
        </is>
      </c>
      <c r="N163" s="583" t="n"/>
      <c r="O163" s="587" t="n"/>
      <c r="P163" s="587" t="n"/>
      <c r="Q163" s="578" t="n">
        <v>0</v>
      </c>
      <c r="R163" s="581" t="inlineStr">
        <is>
          <t>N/A</t>
        </is>
      </c>
      <c r="S163" s="583" t="n"/>
      <c r="T163" s="30">
        <f>'[1]CAPEX&amp;INVESTMENT'!Y163</f>
        <v/>
      </c>
    </row>
    <row r="164" outlineLevel="1">
      <c r="A164" s="515" t="n"/>
      <c r="B164" s="563" t="inlineStr">
        <is>
          <t>Downstream</t>
        </is>
      </c>
      <c r="C164" s="539" t="inlineStr">
        <is>
          <t>[Input of the project name]</t>
        </is>
      </c>
      <c r="D164" s="912" t="inlineStr">
        <is>
          <t>[input: brief description of the project, including:</t>
        </is>
      </c>
      <c r="E164" s="518" t="inlineStr">
        <is>
          <t>thsd</t>
        </is>
      </c>
      <c r="F164" s="518" t="inlineStr">
        <is>
          <t>+</t>
        </is>
      </c>
      <c r="G164" s="576" t="n">
        <v>0</v>
      </c>
      <c r="H164" s="587" t="n"/>
      <c r="I164" s="587" t="n"/>
      <c r="J164" s="587" t="n"/>
      <c r="K164" s="587" t="n"/>
      <c r="L164" s="578" t="n">
        <v>0</v>
      </c>
      <c r="M164" s="581" t="inlineStr">
        <is>
          <t>N/A</t>
        </is>
      </c>
      <c r="N164" s="583" t="n"/>
      <c r="O164" s="587" t="n"/>
      <c r="P164" s="587" t="n"/>
      <c r="Q164" s="578" t="n">
        <v>0</v>
      </c>
      <c r="R164" s="581" t="inlineStr">
        <is>
          <t>N/A</t>
        </is>
      </c>
      <c r="S164" s="583" t="n"/>
      <c r="T164" s="30">
        <f>'[1]CAPEX&amp;INVESTMENT'!Y164</f>
        <v/>
      </c>
    </row>
    <row r="165" outlineLevel="1">
      <c r="A165" s="515" t="n"/>
      <c r="B165" s="563" t="inlineStr">
        <is>
          <t>Downstream</t>
        </is>
      </c>
      <c r="C165" s="539" t="inlineStr">
        <is>
          <t>[Input of the project name]</t>
        </is>
      </c>
      <c r="D165" s="912" t="inlineStr">
        <is>
          <t>[input: brief description of the project, including:</t>
        </is>
      </c>
      <c r="E165" s="518" t="inlineStr">
        <is>
          <t>thsd</t>
        </is>
      </c>
      <c r="F165" s="518" t="inlineStr">
        <is>
          <t>+</t>
        </is>
      </c>
      <c r="G165" s="576" t="n">
        <v>0</v>
      </c>
      <c r="H165" s="587" t="n"/>
      <c r="I165" s="587" t="n"/>
      <c r="J165" s="587" t="n"/>
      <c r="K165" s="587" t="n"/>
      <c r="L165" s="578" t="n">
        <v>0</v>
      </c>
      <c r="M165" s="581" t="inlineStr">
        <is>
          <t>N/A</t>
        </is>
      </c>
      <c r="N165" s="583" t="n"/>
      <c r="O165" s="587" t="n"/>
      <c r="P165" s="587" t="n"/>
      <c r="Q165" s="578" t="n">
        <v>0</v>
      </c>
      <c r="R165" s="581" t="inlineStr">
        <is>
          <t>N/A</t>
        </is>
      </c>
      <c r="S165" s="583" t="n"/>
      <c r="T165" s="30">
        <f>'[1]CAPEX&amp;INVESTMENT'!Y165</f>
        <v/>
      </c>
    </row>
    <row r="166" outlineLevel="1">
      <c r="A166" s="515" t="n"/>
      <c r="B166" s="563" t="inlineStr">
        <is>
          <t>Downstream</t>
        </is>
      </c>
      <c r="C166" s="539" t="inlineStr">
        <is>
          <t>[Input of the project name]</t>
        </is>
      </c>
      <c r="D166" s="912" t="inlineStr">
        <is>
          <t>[input: brief description of the project, including:</t>
        </is>
      </c>
      <c r="E166" s="518" t="inlineStr">
        <is>
          <t>thsd</t>
        </is>
      </c>
      <c r="F166" s="518" t="inlineStr">
        <is>
          <t>+</t>
        </is>
      </c>
      <c r="G166" s="576" t="n">
        <v>0</v>
      </c>
      <c r="H166" s="587" t="n"/>
      <c r="I166" s="587" t="n"/>
      <c r="J166" s="587" t="n"/>
      <c r="K166" s="587" t="n"/>
      <c r="L166" s="578" t="n">
        <v>0</v>
      </c>
      <c r="M166" s="581" t="inlineStr">
        <is>
          <t>N/A</t>
        </is>
      </c>
      <c r="N166" s="583" t="n"/>
      <c r="O166" s="587" t="n"/>
      <c r="P166" s="587" t="n"/>
      <c r="Q166" s="578" t="n">
        <v>0</v>
      </c>
      <c r="R166" s="581" t="inlineStr">
        <is>
          <t>N/A</t>
        </is>
      </c>
      <c r="S166" s="583" t="n"/>
      <c r="T166" s="30">
        <f>'[1]CAPEX&amp;INVESTMENT'!Y166</f>
        <v/>
      </c>
    </row>
    <row r="167" outlineLevel="1">
      <c r="A167" s="515" t="n"/>
      <c r="B167" s="563" t="inlineStr">
        <is>
          <t>Downstream</t>
        </is>
      </c>
      <c r="C167" s="539" t="inlineStr">
        <is>
          <t>[Input of the project name]</t>
        </is>
      </c>
      <c r="D167" s="912" t="inlineStr">
        <is>
          <t>[input: brief description of the project, including:</t>
        </is>
      </c>
      <c r="E167" s="518" t="inlineStr">
        <is>
          <t>thsd</t>
        </is>
      </c>
      <c r="F167" s="518" t="inlineStr">
        <is>
          <t>+</t>
        </is>
      </c>
      <c r="G167" s="576" t="n">
        <v>0</v>
      </c>
      <c r="H167" s="587" t="n"/>
      <c r="I167" s="587" t="n"/>
      <c r="J167" s="587" t="n"/>
      <c r="K167" s="587" t="n"/>
      <c r="L167" s="578" t="n">
        <v>0</v>
      </c>
      <c r="M167" s="581" t="inlineStr">
        <is>
          <t>N/A</t>
        </is>
      </c>
      <c r="N167" s="583" t="n"/>
      <c r="O167" s="587" t="n"/>
      <c r="P167" s="587" t="n"/>
      <c r="Q167" s="578" t="n">
        <v>0</v>
      </c>
      <c r="R167" s="581" t="inlineStr">
        <is>
          <t>N/A</t>
        </is>
      </c>
      <c r="S167" s="583" t="n"/>
      <c r="T167" s="30">
        <f>'[1]CAPEX&amp;INVESTMENT'!Y167</f>
        <v/>
      </c>
    </row>
    <row r="168" outlineLevel="1">
      <c r="A168" s="515" t="n"/>
      <c r="B168" s="563" t="inlineStr">
        <is>
          <t>Downstream</t>
        </is>
      </c>
      <c r="C168" s="539" t="inlineStr">
        <is>
          <t>[Input of the project name]</t>
        </is>
      </c>
      <c r="D168" s="912" t="inlineStr">
        <is>
          <t>[input: brief description of the project, including:</t>
        </is>
      </c>
      <c r="E168" s="518" t="inlineStr">
        <is>
          <t>thsd</t>
        </is>
      </c>
      <c r="F168" s="518" t="inlineStr">
        <is>
          <t>+</t>
        </is>
      </c>
      <c r="G168" s="576" t="n">
        <v>0</v>
      </c>
      <c r="H168" s="587" t="n"/>
      <c r="I168" s="587" t="n"/>
      <c r="J168" s="587" t="n"/>
      <c r="K168" s="587" t="n"/>
      <c r="L168" s="578" t="n">
        <v>0</v>
      </c>
      <c r="M168" s="581" t="inlineStr">
        <is>
          <t>N/A</t>
        </is>
      </c>
      <c r="N168" s="583" t="n"/>
      <c r="O168" s="587" t="n"/>
      <c r="P168" s="587" t="n"/>
      <c r="Q168" s="578" t="n">
        <v>0</v>
      </c>
      <c r="R168" s="581" t="inlineStr">
        <is>
          <t>N/A</t>
        </is>
      </c>
      <c r="S168" s="583" t="n"/>
      <c r="T168" s="30">
        <f>'[1]CAPEX&amp;INVESTMENT'!Y168</f>
        <v/>
      </c>
    </row>
    <row r="169" outlineLevel="1">
      <c r="A169" s="515" t="n"/>
      <c r="B169" s="563" t="inlineStr">
        <is>
          <t>Downstream</t>
        </is>
      </c>
      <c r="C169" s="539" t="inlineStr">
        <is>
          <t>[Input of the project name]</t>
        </is>
      </c>
      <c r="D169" s="912" t="inlineStr">
        <is>
          <t>[input: brief description of the project, including:</t>
        </is>
      </c>
      <c r="E169" s="518" t="inlineStr">
        <is>
          <t>thsd</t>
        </is>
      </c>
      <c r="F169" s="518" t="inlineStr">
        <is>
          <t>+</t>
        </is>
      </c>
      <c r="G169" s="576" t="n">
        <v>0</v>
      </c>
      <c r="H169" s="587" t="n"/>
      <c r="I169" s="587" t="n"/>
      <c r="J169" s="587" t="n"/>
      <c r="K169" s="587" t="n"/>
      <c r="L169" s="578" t="n">
        <v>0</v>
      </c>
      <c r="M169" s="581" t="inlineStr">
        <is>
          <t>N/A</t>
        </is>
      </c>
      <c r="N169" s="583" t="n"/>
      <c r="O169" s="587" t="n"/>
      <c r="P169" s="587" t="n"/>
      <c r="Q169" s="578" t="n">
        <v>0</v>
      </c>
      <c r="R169" s="581" t="inlineStr">
        <is>
          <t>N/A</t>
        </is>
      </c>
      <c r="S169" s="583" t="n"/>
      <c r="T169" s="30">
        <f>'[1]CAPEX&amp;INVESTMENT'!Y169</f>
        <v/>
      </c>
    </row>
    <row r="170" outlineLevel="1">
      <c r="A170" s="515" t="n"/>
      <c r="B170" s="563" t="inlineStr">
        <is>
          <t>Downstream</t>
        </is>
      </c>
      <c r="C170" s="539" t="inlineStr">
        <is>
          <t>[Input of the project name]</t>
        </is>
      </c>
      <c r="D170" s="912" t="inlineStr">
        <is>
          <t>[input: brief description of the project, including:</t>
        </is>
      </c>
      <c r="E170" s="518" t="inlineStr">
        <is>
          <t>thsd</t>
        </is>
      </c>
      <c r="F170" s="518" t="inlineStr">
        <is>
          <t>+</t>
        </is>
      </c>
      <c r="G170" s="576" t="n">
        <v>0</v>
      </c>
      <c r="H170" s="587" t="n"/>
      <c r="I170" s="587" t="n"/>
      <c r="J170" s="587" t="n"/>
      <c r="K170" s="587" t="n"/>
      <c r="L170" s="578" t="n">
        <v>0</v>
      </c>
      <c r="M170" s="581" t="inlineStr">
        <is>
          <t>N/A</t>
        </is>
      </c>
      <c r="N170" s="583" t="n"/>
      <c r="O170" s="587" t="n"/>
      <c r="P170" s="587" t="n"/>
      <c r="Q170" s="578" t="n">
        <v>0</v>
      </c>
      <c r="R170" s="581" t="inlineStr">
        <is>
          <t>N/A</t>
        </is>
      </c>
      <c r="S170" s="583" t="n"/>
      <c r="T170" s="30">
        <f>'[1]CAPEX&amp;INVESTMENT'!Y170</f>
        <v/>
      </c>
    </row>
    <row r="171" outlineLevel="1">
      <c r="A171" s="515" t="n"/>
      <c r="B171" s="563" t="inlineStr">
        <is>
          <t>Downstream</t>
        </is>
      </c>
      <c r="C171" s="539" t="inlineStr">
        <is>
          <t>[Input of the project name]</t>
        </is>
      </c>
      <c r="D171" s="912" t="inlineStr">
        <is>
          <t>[input: brief description of the project, including:</t>
        </is>
      </c>
      <c r="E171" s="518" t="inlineStr">
        <is>
          <t>thsd</t>
        </is>
      </c>
      <c r="F171" s="518" t="inlineStr">
        <is>
          <t>+</t>
        </is>
      </c>
      <c r="G171" s="576" t="n">
        <v>0</v>
      </c>
      <c r="H171" s="587" t="n"/>
      <c r="I171" s="587" t="n"/>
      <c r="J171" s="587" t="n"/>
      <c r="K171" s="587" t="n"/>
      <c r="L171" s="578" t="n">
        <v>0</v>
      </c>
      <c r="M171" s="581" t="inlineStr">
        <is>
          <t>N/A</t>
        </is>
      </c>
      <c r="N171" s="583" t="n"/>
      <c r="O171" s="587" t="n"/>
      <c r="P171" s="587" t="n"/>
      <c r="Q171" s="578" t="n">
        <v>0</v>
      </c>
      <c r="R171" s="581" t="inlineStr">
        <is>
          <t>N/A</t>
        </is>
      </c>
      <c r="S171" s="583" t="n"/>
      <c r="T171" s="30">
        <f>'[1]CAPEX&amp;INVESTMENT'!Y171</f>
        <v/>
      </c>
    </row>
    <row r="172" outlineLevel="1">
      <c r="A172" s="515" t="n"/>
      <c r="B172" s="563" t="inlineStr">
        <is>
          <t>Downstream</t>
        </is>
      </c>
      <c r="C172" s="568" t="inlineStr">
        <is>
          <t>[Input of the project name]</t>
        </is>
      </c>
      <c r="D172" s="912" t="inlineStr">
        <is>
          <t>[input: brief description of the project, including:</t>
        </is>
      </c>
      <c r="E172" s="518" t="inlineStr">
        <is>
          <t>thsd</t>
        </is>
      </c>
      <c r="F172" s="518" t="inlineStr">
        <is>
          <t>+</t>
        </is>
      </c>
      <c r="G172" s="576" t="n">
        <v>0</v>
      </c>
      <c r="H172" s="587" t="n"/>
      <c r="I172" s="587" t="n"/>
      <c r="J172" s="587" t="n"/>
      <c r="K172" s="587" t="n"/>
      <c r="L172" s="578" t="n">
        <v>0</v>
      </c>
      <c r="M172" s="581" t="inlineStr">
        <is>
          <t>N/A</t>
        </is>
      </c>
      <c r="N172" s="583" t="n"/>
      <c r="O172" s="587" t="n"/>
      <c r="P172" s="587" t="n"/>
      <c r="Q172" s="578" t="n">
        <v>0</v>
      </c>
      <c r="R172" s="581" t="inlineStr">
        <is>
          <t>N/A</t>
        </is>
      </c>
      <c r="S172" s="583" t="n"/>
      <c r="T172" s="30">
        <f>'[1]CAPEX&amp;INVESTMENT'!Y172</f>
        <v/>
      </c>
    </row>
    <row r="173" outlineLevel="1">
      <c r="A173" s="515" t="n"/>
      <c r="B173" s="564" t="inlineStr">
        <is>
          <t>Downstream</t>
        </is>
      </c>
      <c r="C173" s="568" t="inlineStr">
        <is>
          <t>Other projects</t>
        </is>
      </c>
      <c r="D173" s="913" t="n"/>
      <c r="E173" s="518" t="inlineStr">
        <is>
          <t>thsd</t>
        </is>
      </c>
      <c r="F173" s="518" t="inlineStr">
        <is>
          <t>+</t>
        </is>
      </c>
      <c r="G173" s="575" t="n">
        <v>0</v>
      </c>
      <c r="H173" s="587" t="n"/>
      <c r="I173" s="587" t="n"/>
      <c r="J173" s="587" t="n"/>
      <c r="K173" s="587" t="n"/>
      <c r="L173" s="578" t="n">
        <v>0</v>
      </c>
      <c r="M173" s="581" t="inlineStr">
        <is>
          <t>N/A</t>
        </is>
      </c>
      <c r="N173" s="583" t="n"/>
      <c r="O173" s="587" t="n"/>
      <c r="P173" s="587" t="n"/>
      <c r="Q173" s="578" t="n">
        <v>0</v>
      </c>
      <c r="R173" s="581" t="inlineStr">
        <is>
          <t>N/A</t>
        </is>
      </c>
      <c r="S173" s="583" t="n"/>
      <c r="T173" s="30">
        <f>'[1]CAPEX&amp;INVESTMENT'!Y173</f>
        <v/>
      </c>
    </row>
    <row r="174" outlineLevel="1">
      <c r="A174" s="515" t="n"/>
      <c r="B174" s="562" t="inlineStr">
        <is>
          <t>Midstream</t>
        </is>
      </c>
      <c r="C174" s="569" t="inlineStr">
        <is>
          <t>Total</t>
        </is>
      </c>
      <c r="D174" s="914" t="inlineStr">
        <is>
          <t>Cəmi</t>
        </is>
      </c>
      <c r="E174" s="518" t="inlineStr">
        <is>
          <t>thsd</t>
        </is>
      </c>
      <c r="F174" s="518" t="inlineStr">
        <is>
          <t>+</t>
        </is>
      </c>
      <c r="G174" s="576" t="n">
        <v>0</v>
      </c>
      <c r="H174" s="576">
        <f t="array" ref="H174">SUMPRODUCT(--(($B175:$B$255)=$B174),--(_xlfn.ISFORMULA(H175:H$255)=TRUE),H175:H$255)</f>
        <v/>
      </c>
      <c r="I174" s="576">
        <f t="array" ref="I174">SUMPRODUCT(--(($B175:$B$255)=$B174),--(_xlfn.ISFORMULA(I175:I$255)=TRUE),I175:I$255)</f>
        <v/>
      </c>
      <c r="J174" s="576">
        <f t="array" ref="J174">SUMPRODUCT(--(($B175:$B$255)=$B174),--(_xlfn.ISFORMULA(J175:J$255)=TRUE),J175:J$255)</f>
        <v/>
      </c>
      <c r="K174" s="576">
        <f t="array" ref="K174">SUMPRODUCT(--(($B175:$B$255)=$B174),--(_xlfn.ISFORMULA(K175:K$255)=TRUE),K175:K$255)</f>
        <v/>
      </c>
      <c r="L174" s="577">
        <f/>
        <v/>
      </c>
      <c r="M174" s="580">
        <f/>
        <v/>
      </c>
      <c r="N174" s="583" t="n"/>
      <c r="O174" s="576">
        <f t="array" ref="O174">SUMPRODUCT(--(($B175:$B$255)=$B174),--(_xlfn.ISFORMULA(O175:O$255)=TRUE),O175:O$255)</f>
        <v/>
      </c>
      <c r="P174" s="576">
        <f t="array" ref="P174">SUMPRODUCT(--(($B175:$B$255)=$B174),--(_xlfn.ISFORMULA(P175:P$255)=TRUE),P175:P$255)</f>
        <v/>
      </c>
      <c r="Q174" s="577">
        <f/>
        <v/>
      </c>
      <c r="R174" s="580">
        <f/>
        <v/>
      </c>
      <c r="S174" s="583" t="n"/>
      <c r="T174" s="30">
        <f>'[1]CAPEX&amp;INVESTMENT'!Y174</f>
        <v/>
      </c>
    </row>
    <row r="175" outlineLevel="1">
      <c r="A175" s="515" t="n"/>
      <c r="B175" s="563" t="inlineStr">
        <is>
          <t>Midstream</t>
        </is>
      </c>
      <c r="C175" s="565" t="inlineStr">
        <is>
          <t>Projects of replacement or new pipeline (for oil)</t>
        </is>
      </c>
      <c r="D175" s="911" t="n"/>
      <c r="E175" s="518" t="inlineStr">
        <is>
          <t>thsd</t>
        </is>
      </c>
      <c r="F175" s="518" t="inlineStr">
        <is>
          <t>+</t>
        </is>
      </c>
      <c r="G175" s="576" t="n">
        <v>0</v>
      </c>
      <c r="H175" s="588">
        <f>SUM(INDIRECT(CHAR(COLUMN()+64)&amp;ROW(H176)&amp;":"&amp;IF(_xlfn.ISFORMULA(INDIRECT((ADDRESS(ROW()-1+MATCH(1,$T176:$T$259,0),COLUMN(),1,1)))),(ADDRESS(ROW()+10+MATCH(1,$T176:$T$259,0),COLUMN(),1,1)),(ADDRESS(ROW()-1+MATCH(1,$T176:$T$259,0),COLUMN(),1,1)))))</f>
        <v/>
      </c>
      <c r="I175" s="588">
        <f>SUM(INDIRECT(CHAR(COLUMN()+64)&amp;ROW(I176)&amp;":"&amp;IF(_xlfn.ISFORMULA(INDIRECT((ADDRESS(ROW()-1+MATCH(1,$T176:$T$259,0),COLUMN(),1,1)))),(ADDRESS(ROW()+10+MATCH(1,$T176:$T$259,0),COLUMN(),1,1)),(ADDRESS(ROW()-1+MATCH(1,$T176:$T$259,0),COLUMN(),1,1)))))</f>
        <v/>
      </c>
      <c r="J175" s="588">
        <f>SUM(INDIRECT(CHAR(COLUMN()+64)&amp;ROW(J176)&amp;":"&amp;IF(_xlfn.ISFORMULA(INDIRECT((ADDRESS(ROW()-1+MATCH(1,$T176:$T$259,0),COLUMN(),1,1)))),(ADDRESS(ROW()+10+MATCH(1,$T176:$T$259,0),COLUMN(),1,1)),(ADDRESS(ROW()-1+MATCH(1,$T176:$T$259,0),COLUMN(),1,1)))))</f>
        <v/>
      </c>
      <c r="K175" s="588">
        <f>SUM(INDIRECT(CHAR(COLUMN()+64)&amp;ROW(K176)&amp;":"&amp;IF(_xlfn.ISFORMULA(INDIRECT((ADDRESS(ROW()-1+MATCH(1,$T176:$T$259,0),COLUMN(),1,1)))),(ADDRESS(ROW()+10+MATCH(1,$T176:$T$259,0),COLUMN(),1,1)),(ADDRESS(ROW()-1+MATCH(1,$T176:$T$259,0),COLUMN(),1,1)))))</f>
        <v/>
      </c>
      <c r="L175" s="578">
        <f/>
        <v/>
      </c>
      <c r="M175" s="581">
        <f/>
        <v/>
      </c>
      <c r="N175" s="583" t="n"/>
      <c r="O175" s="588">
        <f>SUM(INDIRECT(CHAR(COLUMN()+64)&amp;ROW(O176)&amp;":"&amp;IF(_xlfn.ISFORMULA(INDIRECT((ADDRESS(ROW()-1+MATCH(1,$T176:$T$259,0),COLUMN(),1,1)))),(ADDRESS(ROW()+10+MATCH(1,$T176:$T$259,0),COLUMN(),1,1)),(ADDRESS(ROW()-1+MATCH(1,$T176:$T$259,0),COLUMN(),1,1)))))</f>
        <v/>
      </c>
      <c r="P175" s="588">
        <f>SUM(INDIRECT(CHAR(COLUMN()+64)&amp;ROW(P176)&amp;":"&amp;IF(_xlfn.ISFORMULA(INDIRECT((ADDRESS(ROW()-1+MATCH(1,$T176:$T$259,0),COLUMN(),1,1)))),(ADDRESS(ROW()+10+MATCH(1,$T176:$T$259,0),COLUMN(),1,1)),(ADDRESS(ROW()-1+MATCH(1,$T176:$T$259,0),COLUMN(),1,1)))))</f>
        <v/>
      </c>
      <c r="Q175" s="578">
        <f/>
        <v/>
      </c>
      <c r="R175" s="581">
        <f/>
        <v/>
      </c>
      <c r="S175" s="583" t="n"/>
      <c r="T175" s="30">
        <f>'[1]CAPEX&amp;INVESTMENT'!Y175</f>
        <v/>
      </c>
    </row>
    <row r="176" outlineLevel="1">
      <c r="A176" s="515" t="n"/>
      <c r="B176" s="563" t="inlineStr">
        <is>
          <t>Midstream</t>
        </is>
      </c>
      <c r="C176" s="539" t="inlineStr">
        <is>
          <t>[Input of the project name]</t>
        </is>
      </c>
      <c r="D176" s="912" t="inlineStr">
        <is>
          <t>[input: brief description of the project, including:</t>
        </is>
      </c>
      <c r="E176" s="518" t="inlineStr">
        <is>
          <t>thsd</t>
        </is>
      </c>
      <c r="F176" s="518" t="inlineStr">
        <is>
          <t>+</t>
        </is>
      </c>
      <c r="G176" s="576" t="n">
        <v>0</v>
      </c>
      <c r="H176" s="587" t="n"/>
      <c r="I176" s="587" t="n"/>
      <c r="J176" s="587" t="n"/>
      <c r="K176" s="587" t="n"/>
      <c r="L176" s="578" t="n">
        <v>0</v>
      </c>
      <c r="M176" s="581" t="inlineStr">
        <is>
          <t>N/A</t>
        </is>
      </c>
      <c r="N176" s="583" t="n"/>
      <c r="O176" s="587" t="n"/>
      <c r="P176" s="587" t="n"/>
      <c r="Q176" s="578" t="n">
        <v>0</v>
      </c>
      <c r="R176" s="581" t="inlineStr">
        <is>
          <t>N/A</t>
        </is>
      </c>
      <c r="S176" s="583" t="n"/>
      <c r="T176" s="30">
        <f>'[1]CAPEX&amp;INVESTMENT'!Y176</f>
        <v/>
      </c>
    </row>
    <row r="177" outlineLevel="1">
      <c r="A177" s="515" t="n"/>
      <c r="B177" s="563" t="inlineStr">
        <is>
          <t>Midstream</t>
        </is>
      </c>
      <c r="C177" s="539" t="inlineStr">
        <is>
          <t>[Input of the project name]</t>
        </is>
      </c>
      <c r="D177" s="912" t="inlineStr">
        <is>
          <t>[input: brief description of the project, including:</t>
        </is>
      </c>
      <c r="E177" s="518" t="inlineStr">
        <is>
          <t>thsd</t>
        </is>
      </c>
      <c r="F177" s="518" t="inlineStr">
        <is>
          <t>+</t>
        </is>
      </c>
      <c r="G177" s="576" t="n">
        <v>0</v>
      </c>
      <c r="H177" s="587" t="n"/>
      <c r="I177" s="587" t="n"/>
      <c r="J177" s="587" t="n"/>
      <c r="K177" s="587" t="n"/>
      <c r="L177" s="578" t="n">
        <v>0</v>
      </c>
      <c r="M177" s="581" t="inlineStr">
        <is>
          <t>N/A</t>
        </is>
      </c>
      <c r="N177" s="583" t="n"/>
      <c r="O177" s="587" t="n"/>
      <c r="P177" s="587" t="n"/>
      <c r="Q177" s="578" t="n">
        <v>0</v>
      </c>
      <c r="R177" s="581" t="inlineStr">
        <is>
          <t>N/A</t>
        </is>
      </c>
      <c r="S177" s="583" t="n"/>
      <c r="T177" s="30">
        <f>'[1]CAPEX&amp;INVESTMENT'!Y177</f>
        <v/>
      </c>
    </row>
    <row r="178" outlineLevel="1">
      <c r="A178" s="515" t="n"/>
      <c r="B178" s="563" t="inlineStr">
        <is>
          <t>Midstream</t>
        </is>
      </c>
      <c r="C178" s="539" t="inlineStr">
        <is>
          <t>[Input of the project name]</t>
        </is>
      </c>
      <c r="D178" s="912" t="inlineStr">
        <is>
          <t>[input: brief description of the project, including:</t>
        </is>
      </c>
      <c r="E178" s="518" t="inlineStr">
        <is>
          <t>thsd</t>
        </is>
      </c>
      <c r="F178" s="518" t="inlineStr">
        <is>
          <t>+</t>
        </is>
      </c>
      <c r="G178" s="576" t="n">
        <v>0</v>
      </c>
      <c r="H178" s="587" t="n"/>
      <c r="I178" s="587" t="n"/>
      <c r="J178" s="587" t="n"/>
      <c r="K178" s="587" t="n"/>
      <c r="L178" s="578" t="n">
        <v>0</v>
      </c>
      <c r="M178" s="581" t="inlineStr">
        <is>
          <t>N/A</t>
        </is>
      </c>
      <c r="N178" s="583" t="n"/>
      <c r="O178" s="587" t="n"/>
      <c r="P178" s="587" t="n"/>
      <c r="Q178" s="578" t="n">
        <v>0</v>
      </c>
      <c r="R178" s="581" t="inlineStr">
        <is>
          <t>N/A</t>
        </is>
      </c>
      <c r="S178" s="583" t="n"/>
      <c r="T178" s="30">
        <f>'[1]CAPEX&amp;INVESTMENT'!Y178</f>
        <v/>
      </c>
    </row>
    <row r="179" outlineLevel="1">
      <c r="A179" s="515" t="n"/>
      <c r="B179" s="563" t="inlineStr">
        <is>
          <t>Midstream</t>
        </is>
      </c>
      <c r="C179" s="539" t="inlineStr">
        <is>
          <t>[Input of the project name]</t>
        </is>
      </c>
      <c r="D179" s="912" t="inlineStr">
        <is>
          <t>[input: brief description of the project, including:</t>
        </is>
      </c>
      <c r="E179" s="518" t="inlineStr">
        <is>
          <t>thsd</t>
        </is>
      </c>
      <c r="F179" s="518" t="inlineStr">
        <is>
          <t>+</t>
        </is>
      </c>
      <c r="G179" s="576" t="n">
        <v>0</v>
      </c>
      <c r="H179" s="587" t="n"/>
      <c r="I179" s="587" t="n"/>
      <c r="J179" s="587" t="n"/>
      <c r="K179" s="587" t="n"/>
      <c r="L179" s="578" t="n">
        <v>0</v>
      </c>
      <c r="M179" s="581" t="inlineStr">
        <is>
          <t>N/A</t>
        </is>
      </c>
      <c r="N179" s="583" t="n"/>
      <c r="O179" s="587" t="n"/>
      <c r="P179" s="587" t="n"/>
      <c r="Q179" s="578" t="n">
        <v>0</v>
      </c>
      <c r="R179" s="581" t="inlineStr">
        <is>
          <t>N/A</t>
        </is>
      </c>
      <c r="S179" s="583" t="n"/>
      <c r="T179" s="30">
        <f>'[1]CAPEX&amp;INVESTMENT'!Y179</f>
        <v/>
      </c>
    </row>
    <row r="180" outlineLevel="1">
      <c r="A180" s="515" t="n"/>
      <c r="B180" s="563" t="inlineStr">
        <is>
          <t>Midstream</t>
        </is>
      </c>
      <c r="C180" s="539" t="inlineStr">
        <is>
          <t>[Input of the project name]</t>
        </is>
      </c>
      <c r="D180" s="912" t="inlineStr">
        <is>
          <t>[input: brief description of the project, including:</t>
        </is>
      </c>
      <c r="E180" s="518" t="inlineStr">
        <is>
          <t>thsd</t>
        </is>
      </c>
      <c r="F180" s="518" t="inlineStr">
        <is>
          <t>+</t>
        </is>
      </c>
      <c r="G180" s="576" t="n">
        <v>0</v>
      </c>
      <c r="H180" s="587" t="n"/>
      <c r="I180" s="587" t="n"/>
      <c r="J180" s="587" t="n"/>
      <c r="K180" s="587" t="n"/>
      <c r="L180" s="578" t="n">
        <v>0</v>
      </c>
      <c r="M180" s="581" t="inlineStr">
        <is>
          <t>N/A</t>
        </is>
      </c>
      <c r="N180" s="583" t="n"/>
      <c r="O180" s="587" t="n"/>
      <c r="P180" s="587" t="n"/>
      <c r="Q180" s="578" t="n">
        <v>0</v>
      </c>
      <c r="R180" s="581" t="inlineStr">
        <is>
          <t>N/A</t>
        </is>
      </c>
      <c r="S180" s="583" t="n"/>
      <c r="T180" s="30">
        <f>'[1]CAPEX&amp;INVESTMENT'!Y180</f>
        <v/>
      </c>
    </row>
    <row r="181" outlineLevel="1">
      <c r="A181" s="515" t="n"/>
      <c r="B181" s="563" t="inlineStr">
        <is>
          <t>Midstream</t>
        </is>
      </c>
      <c r="C181" s="539" t="inlineStr">
        <is>
          <t>[Input of the project name]</t>
        </is>
      </c>
      <c r="D181" s="912" t="inlineStr">
        <is>
          <t>[input: brief description of the project, including:</t>
        </is>
      </c>
      <c r="E181" s="518" t="inlineStr">
        <is>
          <t>thsd</t>
        </is>
      </c>
      <c r="F181" s="518" t="inlineStr">
        <is>
          <t>+</t>
        </is>
      </c>
      <c r="G181" s="576" t="n">
        <v>0</v>
      </c>
      <c r="H181" s="587" t="n"/>
      <c r="I181" s="587" t="n"/>
      <c r="J181" s="587" t="n"/>
      <c r="K181" s="587" t="n"/>
      <c r="L181" s="578" t="n">
        <v>0</v>
      </c>
      <c r="M181" s="581" t="inlineStr">
        <is>
          <t>N/A</t>
        </is>
      </c>
      <c r="N181" s="583" t="n"/>
      <c r="O181" s="587" t="n"/>
      <c r="P181" s="587" t="n"/>
      <c r="Q181" s="578" t="n">
        <v>0</v>
      </c>
      <c r="R181" s="581" t="inlineStr">
        <is>
          <t>N/A</t>
        </is>
      </c>
      <c r="S181" s="583" t="n"/>
      <c r="T181" s="30">
        <f>'[1]CAPEX&amp;INVESTMENT'!Y181</f>
        <v/>
      </c>
    </row>
    <row r="182" outlineLevel="1">
      <c r="A182" s="515" t="n"/>
      <c r="B182" s="563" t="inlineStr">
        <is>
          <t>Midstream</t>
        </is>
      </c>
      <c r="C182" s="539" t="inlineStr">
        <is>
          <t>[Input of the project name]</t>
        </is>
      </c>
      <c r="D182" s="912" t="inlineStr">
        <is>
          <t>[input: brief description of the project, including:</t>
        </is>
      </c>
      <c r="E182" s="518" t="inlineStr">
        <is>
          <t>thsd</t>
        </is>
      </c>
      <c r="F182" s="518" t="inlineStr">
        <is>
          <t>+</t>
        </is>
      </c>
      <c r="G182" s="576" t="n">
        <v>0</v>
      </c>
      <c r="H182" s="587" t="n"/>
      <c r="I182" s="587" t="n"/>
      <c r="J182" s="587" t="n"/>
      <c r="K182" s="587" t="n"/>
      <c r="L182" s="578" t="n">
        <v>0</v>
      </c>
      <c r="M182" s="581" t="inlineStr">
        <is>
          <t>N/A</t>
        </is>
      </c>
      <c r="N182" s="583" t="n"/>
      <c r="O182" s="587" t="n"/>
      <c r="P182" s="587" t="n"/>
      <c r="Q182" s="578" t="n">
        <v>0</v>
      </c>
      <c r="R182" s="581" t="inlineStr">
        <is>
          <t>N/A</t>
        </is>
      </c>
      <c r="S182" s="583" t="n"/>
      <c r="T182" s="30">
        <f>'[1]CAPEX&amp;INVESTMENT'!Y182</f>
        <v/>
      </c>
    </row>
    <row r="183" outlineLevel="1">
      <c r="A183" s="515" t="n"/>
      <c r="B183" s="563" t="inlineStr">
        <is>
          <t>Midstream</t>
        </is>
      </c>
      <c r="C183" s="539" t="inlineStr">
        <is>
          <t>[Input of the project name]</t>
        </is>
      </c>
      <c r="D183" s="912" t="inlineStr">
        <is>
          <t>[input: brief description of the project, including:</t>
        </is>
      </c>
      <c r="E183" s="518" t="inlineStr">
        <is>
          <t>thsd</t>
        </is>
      </c>
      <c r="F183" s="518" t="inlineStr">
        <is>
          <t>+</t>
        </is>
      </c>
      <c r="G183" s="576" t="n">
        <v>0</v>
      </c>
      <c r="H183" s="587" t="n"/>
      <c r="I183" s="587" t="n"/>
      <c r="J183" s="587" t="n"/>
      <c r="K183" s="587" t="n"/>
      <c r="L183" s="578" t="n">
        <v>0</v>
      </c>
      <c r="M183" s="581" t="inlineStr">
        <is>
          <t>N/A</t>
        </is>
      </c>
      <c r="N183" s="583" t="n"/>
      <c r="O183" s="587" t="n"/>
      <c r="P183" s="587" t="n"/>
      <c r="Q183" s="578" t="n">
        <v>0</v>
      </c>
      <c r="R183" s="581" t="inlineStr">
        <is>
          <t>N/A</t>
        </is>
      </c>
      <c r="S183" s="583" t="n"/>
      <c r="T183" s="30">
        <f>'[1]CAPEX&amp;INVESTMENT'!Y183</f>
        <v/>
      </c>
    </row>
    <row r="184" outlineLevel="1">
      <c r="A184" s="515" t="n"/>
      <c r="B184" s="563" t="inlineStr">
        <is>
          <t>Midstream</t>
        </is>
      </c>
      <c r="C184" s="539" t="inlineStr">
        <is>
          <t>[Input of the project name]</t>
        </is>
      </c>
      <c r="D184" s="912" t="inlineStr">
        <is>
          <t>[input: brief description of the project, including:</t>
        </is>
      </c>
      <c r="E184" s="518" t="inlineStr">
        <is>
          <t>thsd</t>
        </is>
      </c>
      <c r="F184" s="518" t="inlineStr">
        <is>
          <t>+</t>
        </is>
      </c>
      <c r="G184" s="576" t="n">
        <v>0</v>
      </c>
      <c r="H184" s="587" t="n"/>
      <c r="I184" s="587" t="n"/>
      <c r="J184" s="587" t="n"/>
      <c r="K184" s="587" t="n"/>
      <c r="L184" s="578" t="n">
        <v>0</v>
      </c>
      <c r="M184" s="581" t="inlineStr">
        <is>
          <t>N/A</t>
        </is>
      </c>
      <c r="N184" s="583" t="n"/>
      <c r="O184" s="587" t="n"/>
      <c r="P184" s="587" t="n"/>
      <c r="Q184" s="578" t="n">
        <v>0</v>
      </c>
      <c r="R184" s="581" t="inlineStr">
        <is>
          <t>N/A</t>
        </is>
      </c>
      <c r="S184" s="583" t="n"/>
      <c r="T184" s="30">
        <f>'[1]CAPEX&amp;INVESTMENT'!Y184</f>
        <v/>
      </c>
    </row>
    <row r="185" outlineLevel="1">
      <c r="A185" s="515" t="n"/>
      <c r="B185" s="563" t="inlineStr">
        <is>
          <t>Midstream</t>
        </is>
      </c>
      <c r="C185" s="568" t="inlineStr">
        <is>
          <t>[Input of the project name]</t>
        </is>
      </c>
      <c r="D185" s="912" t="inlineStr">
        <is>
          <t>[input: brief description of the project, including:</t>
        </is>
      </c>
      <c r="E185" s="518" t="inlineStr">
        <is>
          <t>thsd</t>
        </is>
      </c>
      <c r="F185" s="518" t="inlineStr">
        <is>
          <t>+</t>
        </is>
      </c>
      <c r="G185" s="575" t="n">
        <v>0</v>
      </c>
      <c r="H185" s="587" t="n"/>
      <c r="I185" s="587" t="n"/>
      <c r="J185" s="587" t="n"/>
      <c r="K185" s="587" t="n"/>
      <c r="L185" s="578" t="n">
        <v>0</v>
      </c>
      <c r="M185" s="581" t="inlineStr">
        <is>
          <t>N/A</t>
        </is>
      </c>
      <c r="N185" s="583" t="n"/>
      <c r="O185" s="587" t="n"/>
      <c r="P185" s="587" t="n"/>
      <c r="Q185" s="578" t="n">
        <v>0</v>
      </c>
      <c r="R185" s="581" t="inlineStr">
        <is>
          <t>N/A</t>
        </is>
      </c>
      <c r="S185" s="583" t="n"/>
      <c r="T185" s="30">
        <f>'[1]CAPEX&amp;INVESTMENT'!Y185</f>
        <v/>
      </c>
    </row>
    <row r="186" outlineLevel="1">
      <c r="A186" s="515" t="n"/>
      <c r="B186" s="563" t="inlineStr">
        <is>
          <t>Midstream</t>
        </is>
      </c>
      <c r="C186" s="539" t="inlineStr">
        <is>
          <t>Other projects</t>
        </is>
      </c>
      <c r="D186" s="912" t="n"/>
      <c r="E186" s="518" t="inlineStr">
        <is>
          <t>thsd</t>
        </is>
      </c>
      <c r="F186" s="518" t="inlineStr">
        <is>
          <t>+</t>
        </is>
      </c>
      <c r="G186" s="576" t="n">
        <v>0</v>
      </c>
      <c r="H186" s="587" t="n"/>
      <c r="I186" s="587" t="n"/>
      <c r="J186" s="587" t="n"/>
      <c r="K186" s="587" t="n"/>
      <c r="L186" s="578" t="n">
        <v>0</v>
      </c>
      <c r="M186" s="581" t="inlineStr">
        <is>
          <t>N/A</t>
        </is>
      </c>
      <c r="N186" s="583" t="n"/>
      <c r="O186" s="587" t="n"/>
      <c r="P186" s="587" t="n"/>
      <c r="Q186" s="578" t="n">
        <v>0</v>
      </c>
      <c r="R186" s="581" t="inlineStr">
        <is>
          <t>N/A</t>
        </is>
      </c>
      <c r="S186" s="583" t="n"/>
      <c r="T186" s="30">
        <f>'[1]CAPEX&amp;INVESTMENT'!Y186</f>
        <v/>
      </c>
    </row>
    <row r="187" outlineLevel="1">
      <c r="A187" s="515" t="n"/>
      <c r="B187" s="563" t="inlineStr">
        <is>
          <t>Midstream</t>
        </is>
      </c>
      <c r="C187" s="565" t="inlineStr">
        <is>
          <t>Projects of replacement or new pipeline (for gas)</t>
        </is>
      </c>
      <c r="D187" s="911" t="n"/>
      <c r="E187" s="518" t="inlineStr">
        <is>
          <t>thsd</t>
        </is>
      </c>
      <c r="F187" s="518" t="inlineStr">
        <is>
          <t>+</t>
        </is>
      </c>
      <c r="G187" s="576" t="n">
        <v>0</v>
      </c>
      <c r="H187" s="588">
        <f>SUM(INDIRECT(CHAR(COLUMN()+64)&amp;ROW(H188)&amp;":"&amp;IF(_xlfn.ISFORMULA(INDIRECT((ADDRESS(ROW()-1+MATCH(1,$T188:$T$259,0),COLUMN(),1,1)))),(ADDRESS(ROW()+10+MATCH(1,$T188:$T$259,0),COLUMN(),1,1)),(ADDRESS(ROW()-1+MATCH(1,$T188:$T$259,0),COLUMN(),1,1)))))</f>
        <v/>
      </c>
      <c r="I187" s="588">
        <f>SUM(INDIRECT(CHAR(COLUMN()+64)&amp;ROW(I188)&amp;":"&amp;IF(_xlfn.ISFORMULA(INDIRECT((ADDRESS(ROW()-1+MATCH(1,$T188:$T$259,0),COLUMN(),1,1)))),(ADDRESS(ROW()+10+MATCH(1,$T188:$T$259,0),COLUMN(),1,1)),(ADDRESS(ROW()-1+MATCH(1,$T188:$T$259,0),COLUMN(),1,1)))))</f>
        <v/>
      </c>
      <c r="J187" s="588">
        <f>SUM(INDIRECT(CHAR(COLUMN()+64)&amp;ROW(J188)&amp;":"&amp;IF(_xlfn.ISFORMULA(INDIRECT((ADDRESS(ROW()-1+MATCH(1,$T188:$T$259,0),COLUMN(),1,1)))),(ADDRESS(ROW()+10+MATCH(1,$T188:$T$259,0),COLUMN(),1,1)),(ADDRESS(ROW()-1+MATCH(1,$T188:$T$259,0),COLUMN(),1,1)))))</f>
        <v/>
      </c>
      <c r="K187" s="588">
        <f>SUM(INDIRECT(CHAR(COLUMN()+64)&amp;ROW(K188)&amp;":"&amp;IF(_xlfn.ISFORMULA(INDIRECT((ADDRESS(ROW()-1+MATCH(1,$T188:$T$259,0),COLUMN(),1,1)))),(ADDRESS(ROW()+10+MATCH(1,$T188:$T$259,0),COLUMN(),1,1)),(ADDRESS(ROW()-1+MATCH(1,$T188:$T$259,0),COLUMN(),1,1)))))</f>
        <v/>
      </c>
      <c r="L187" s="578">
        <f/>
        <v/>
      </c>
      <c r="M187" s="581">
        <f/>
        <v/>
      </c>
      <c r="N187" s="583" t="n"/>
      <c r="O187" s="588">
        <f>SUM(INDIRECT(CHAR(COLUMN()+64)&amp;ROW(O188)&amp;":"&amp;IF(_xlfn.ISFORMULA(INDIRECT((ADDRESS(ROW()-1+MATCH(1,$T188:$T$259,0),COLUMN(),1,1)))),(ADDRESS(ROW()+10+MATCH(1,$T188:$T$259,0),COLUMN(),1,1)),(ADDRESS(ROW()-1+MATCH(1,$T188:$T$259,0),COLUMN(),1,1)))))</f>
        <v/>
      </c>
      <c r="P187" s="588">
        <f>SUM(INDIRECT(CHAR(COLUMN()+64)&amp;ROW(P188)&amp;":"&amp;IF(_xlfn.ISFORMULA(INDIRECT((ADDRESS(ROW()-1+MATCH(1,$T188:$T$259,0),COLUMN(),1,1)))),(ADDRESS(ROW()+10+MATCH(1,$T188:$T$259,0),COLUMN(),1,1)),(ADDRESS(ROW()-1+MATCH(1,$T188:$T$259,0),COLUMN(),1,1)))))</f>
        <v/>
      </c>
      <c r="Q187" s="578">
        <f/>
        <v/>
      </c>
      <c r="R187" s="581">
        <f/>
        <v/>
      </c>
      <c r="S187" s="583" t="n"/>
      <c r="T187" s="30">
        <f>'[1]CAPEX&amp;INVESTMENT'!Y187</f>
        <v/>
      </c>
    </row>
    <row r="188" outlineLevel="1">
      <c r="A188" s="515" t="n"/>
      <c r="B188" s="563" t="inlineStr">
        <is>
          <t>Midstream</t>
        </is>
      </c>
      <c r="C188" s="539" t="inlineStr">
        <is>
          <t>[Input of the project name]</t>
        </is>
      </c>
      <c r="D188" s="912" t="inlineStr">
        <is>
          <t>[input: brief description of the project, including:</t>
        </is>
      </c>
      <c r="E188" s="518" t="inlineStr">
        <is>
          <t>thsd</t>
        </is>
      </c>
      <c r="F188" s="518" t="inlineStr">
        <is>
          <t>+</t>
        </is>
      </c>
      <c r="G188" s="576" t="n">
        <v>0</v>
      </c>
      <c r="H188" s="587" t="n"/>
      <c r="I188" s="587" t="n"/>
      <c r="J188" s="587" t="n"/>
      <c r="K188" s="587" t="n"/>
      <c r="L188" s="578" t="n">
        <v>0</v>
      </c>
      <c r="M188" s="581" t="inlineStr">
        <is>
          <t>N/A</t>
        </is>
      </c>
      <c r="N188" s="583" t="n"/>
      <c r="O188" s="587" t="n"/>
      <c r="P188" s="587" t="n"/>
      <c r="Q188" s="578" t="n">
        <v>0</v>
      </c>
      <c r="R188" s="581" t="inlineStr">
        <is>
          <t>N/A</t>
        </is>
      </c>
      <c r="S188" s="583" t="n"/>
      <c r="T188" s="30">
        <f>'[1]CAPEX&amp;INVESTMENT'!Y188</f>
        <v/>
      </c>
    </row>
    <row r="189" outlineLevel="1">
      <c r="A189" s="515" t="n"/>
      <c r="B189" s="563" t="inlineStr">
        <is>
          <t>Midstream</t>
        </is>
      </c>
      <c r="C189" s="539" t="inlineStr">
        <is>
          <t>[Input of the project name]</t>
        </is>
      </c>
      <c r="D189" s="912" t="inlineStr">
        <is>
          <t>[input: brief description of the project, including:</t>
        </is>
      </c>
      <c r="E189" s="518" t="inlineStr">
        <is>
          <t>thsd</t>
        </is>
      </c>
      <c r="F189" s="518" t="inlineStr">
        <is>
          <t>+</t>
        </is>
      </c>
      <c r="G189" s="576" t="n">
        <v>0</v>
      </c>
      <c r="H189" s="587" t="n"/>
      <c r="I189" s="587" t="n"/>
      <c r="J189" s="587" t="n"/>
      <c r="K189" s="587" t="n"/>
      <c r="L189" s="578" t="n">
        <v>0</v>
      </c>
      <c r="M189" s="581" t="inlineStr">
        <is>
          <t>N/A</t>
        </is>
      </c>
      <c r="N189" s="583" t="n"/>
      <c r="O189" s="587" t="n"/>
      <c r="P189" s="587" t="n"/>
      <c r="Q189" s="578" t="n">
        <v>0</v>
      </c>
      <c r="R189" s="581" t="inlineStr">
        <is>
          <t>N/A</t>
        </is>
      </c>
      <c r="S189" s="583" t="n"/>
      <c r="T189" s="30">
        <f>'[1]CAPEX&amp;INVESTMENT'!Y189</f>
        <v/>
      </c>
    </row>
    <row r="190" outlineLevel="1">
      <c r="A190" s="515" t="n"/>
      <c r="B190" s="563" t="inlineStr">
        <is>
          <t>Midstream</t>
        </is>
      </c>
      <c r="C190" s="539" t="inlineStr">
        <is>
          <t>[Input of the project name]</t>
        </is>
      </c>
      <c r="D190" s="912" t="inlineStr">
        <is>
          <t>[input: brief description of the project, including:</t>
        </is>
      </c>
      <c r="E190" s="518" t="inlineStr">
        <is>
          <t>thsd</t>
        </is>
      </c>
      <c r="F190" s="518" t="inlineStr">
        <is>
          <t>+</t>
        </is>
      </c>
      <c r="G190" s="576" t="n">
        <v>0</v>
      </c>
      <c r="H190" s="587" t="n"/>
      <c r="I190" s="587" t="n"/>
      <c r="J190" s="587" t="n"/>
      <c r="K190" s="587" t="n"/>
      <c r="L190" s="578" t="n">
        <v>0</v>
      </c>
      <c r="M190" s="581" t="inlineStr">
        <is>
          <t>N/A</t>
        </is>
      </c>
      <c r="N190" s="583" t="n"/>
      <c r="O190" s="587" t="n"/>
      <c r="P190" s="587" t="n"/>
      <c r="Q190" s="578" t="n">
        <v>0</v>
      </c>
      <c r="R190" s="581" t="inlineStr">
        <is>
          <t>N/A</t>
        </is>
      </c>
      <c r="S190" s="583" t="n"/>
      <c r="T190" s="30">
        <f>'[1]CAPEX&amp;INVESTMENT'!Y190</f>
        <v/>
      </c>
    </row>
    <row r="191" outlineLevel="1">
      <c r="A191" s="515" t="n"/>
      <c r="B191" s="563" t="inlineStr">
        <is>
          <t>Midstream</t>
        </is>
      </c>
      <c r="C191" s="539" t="inlineStr">
        <is>
          <t>[Input of the project name]</t>
        </is>
      </c>
      <c r="D191" s="912" t="inlineStr">
        <is>
          <t>[input: brief description of the project, including:</t>
        </is>
      </c>
      <c r="E191" s="518" t="inlineStr">
        <is>
          <t>thsd</t>
        </is>
      </c>
      <c r="F191" s="518" t="inlineStr">
        <is>
          <t>+</t>
        </is>
      </c>
      <c r="G191" s="576" t="n">
        <v>0</v>
      </c>
      <c r="H191" s="587" t="n"/>
      <c r="I191" s="587" t="n"/>
      <c r="J191" s="587" t="n"/>
      <c r="K191" s="587" t="n"/>
      <c r="L191" s="578" t="n">
        <v>0</v>
      </c>
      <c r="M191" s="581" t="inlineStr">
        <is>
          <t>N/A</t>
        </is>
      </c>
      <c r="N191" s="583" t="n"/>
      <c r="O191" s="587" t="n"/>
      <c r="P191" s="587" t="n"/>
      <c r="Q191" s="578" t="n">
        <v>0</v>
      </c>
      <c r="R191" s="581" t="inlineStr">
        <is>
          <t>N/A</t>
        </is>
      </c>
      <c r="S191" s="583" t="n"/>
      <c r="T191" s="30">
        <f>'[1]CAPEX&amp;INVESTMENT'!Y191</f>
        <v/>
      </c>
    </row>
    <row r="192" outlineLevel="1">
      <c r="A192" s="515" t="n"/>
      <c r="B192" s="563" t="inlineStr">
        <is>
          <t>Midstream</t>
        </is>
      </c>
      <c r="C192" s="539" t="inlineStr">
        <is>
          <t>[Input of the project name]</t>
        </is>
      </c>
      <c r="D192" s="912" t="inlineStr">
        <is>
          <t>[input: brief description of the project, including:</t>
        </is>
      </c>
      <c r="E192" s="518" t="inlineStr">
        <is>
          <t>thsd</t>
        </is>
      </c>
      <c r="F192" s="518" t="inlineStr">
        <is>
          <t>+</t>
        </is>
      </c>
      <c r="G192" s="576" t="n">
        <v>0</v>
      </c>
      <c r="H192" s="587" t="n"/>
      <c r="I192" s="587" t="n"/>
      <c r="J192" s="587" t="n"/>
      <c r="K192" s="587" t="n"/>
      <c r="L192" s="578" t="n">
        <v>0</v>
      </c>
      <c r="M192" s="581" t="inlineStr">
        <is>
          <t>N/A</t>
        </is>
      </c>
      <c r="N192" s="583" t="n"/>
      <c r="O192" s="587" t="n"/>
      <c r="P192" s="587" t="n"/>
      <c r="Q192" s="578" t="n">
        <v>0</v>
      </c>
      <c r="R192" s="581" t="inlineStr">
        <is>
          <t>N/A</t>
        </is>
      </c>
      <c r="S192" s="583" t="n"/>
      <c r="T192" s="30">
        <f>'[1]CAPEX&amp;INVESTMENT'!Y192</f>
        <v/>
      </c>
    </row>
    <row r="193" outlineLevel="1">
      <c r="A193" s="515" t="n"/>
      <c r="B193" s="563" t="inlineStr">
        <is>
          <t>Midstream</t>
        </is>
      </c>
      <c r="C193" s="539" t="inlineStr">
        <is>
          <t>[Input of the project name]</t>
        </is>
      </c>
      <c r="D193" s="912" t="inlineStr">
        <is>
          <t>[input: brief description of the project, including:</t>
        </is>
      </c>
      <c r="E193" s="518" t="inlineStr">
        <is>
          <t>thsd</t>
        </is>
      </c>
      <c r="F193" s="518" t="inlineStr">
        <is>
          <t>+</t>
        </is>
      </c>
      <c r="G193" s="576" t="n">
        <v>0</v>
      </c>
      <c r="H193" s="587" t="n"/>
      <c r="I193" s="587" t="n"/>
      <c r="J193" s="587" t="n"/>
      <c r="K193" s="587" t="n"/>
      <c r="L193" s="578" t="n">
        <v>0</v>
      </c>
      <c r="M193" s="581" t="inlineStr">
        <is>
          <t>N/A</t>
        </is>
      </c>
      <c r="N193" s="583" t="n"/>
      <c r="O193" s="587" t="n"/>
      <c r="P193" s="587" t="n"/>
      <c r="Q193" s="578" t="n">
        <v>0</v>
      </c>
      <c r="R193" s="581" t="inlineStr">
        <is>
          <t>N/A</t>
        </is>
      </c>
      <c r="S193" s="583" t="n"/>
      <c r="T193" s="30">
        <f>'[1]CAPEX&amp;INVESTMENT'!Y193</f>
        <v/>
      </c>
    </row>
    <row r="194" outlineLevel="1">
      <c r="A194" s="515" t="n"/>
      <c r="B194" s="563" t="inlineStr">
        <is>
          <t>Midstream</t>
        </is>
      </c>
      <c r="C194" s="539" t="inlineStr">
        <is>
          <t>[Input of the project name]</t>
        </is>
      </c>
      <c r="D194" s="912" t="inlineStr">
        <is>
          <t>[input: brief description of the project, including:</t>
        </is>
      </c>
      <c r="E194" s="518" t="inlineStr">
        <is>
          <t>thsd</t>
        </is>
      </c>
      <c r="F194" s="518" t="inlineStr">
        <is>
          <t>+</t>
        </is>
      </c>
      <c r="G194" s="576" t="n">
        <v>0</v>
      </c>
      <c r="H194" s="587" t="n"/>
      <c r="I194" s="587" t="n"/>
      <c r="J194" s="587" t="n"/>
      <c r="K194" s="587" t="n"/>
      <c r="L194" s="578" t="n">
        <v>0</v>
      </c>
      <c r="M194" s="581" t="inlineStr">
        <is>
          <t>N/A</t>
        </is>
      </c>
      <c r="N194" s="583" t="n"/>
      <c r="O194" s="587" t="n"/>
      <c r="P194" s="587" t="n"/>
      <c r="Q194" s="578" t="n">
        <v>0</v>
      </c>
      <c r="R194" s="581" t="inlineStr">
        <is>
          <t>N/A</t>
        </is>
      </c>
      <c r="S194" s="583" t="n"/>
      <c r="T194" s="30">
        <f>'[1]CAPEX&amp;INVESTMENT'!Y194</f>
        <v/>
      </c>
    </row>
    <row r="195" outlineLevel="1">
      <c r="A195" s="515" t="n"/>
      <c r="B195" s="563" t="inlineStr">
        <is>
          <t>Midstream</t>
        </is>
      </c>
      <c r="C195" s="539" t="inlineStr">
        <is>
          <t>[Input of the project name]</t>
        </is>
      </c>
      <c r="D195" s="912" t="inlineStr">
        <is>
          <t>[input: brief description of the project, including:</t>
        </is>
      </c>
      <c r="E195" s="518" t="inlineStr">
        <is>
          <t>thsd</t>
        </is>
      </c>
      <c r="F195" s="518" t="inlineStr">
        <is>
          <t>+</t>
        </is>
      </c>
      <c r="G195" s="576" t="n">
        <v>0</v>
      </c>
      <c r="H195" s="587" t="n"/>
      <c r="I195" s="587" t="n"/>
      <c r="J195" s="587" t="n"/>
      <c r="K195" s="587" t="n"/>
      <c r="L195" s="578" t="n">
        <v>0</v>
      </c>
      <c r="M195" s="581" t="inlineStr">
        <is>
          <t>N/A</t>
        </is>
      </c>
      <c r="N195" s="583" t="n"/>
      <c r="O195" s="587" t="n"/>
      <c r="P195" s="587" t="n"/>
      <c r="Q195" s="578" t="n">
        <v>0</v>
      </c>
      <c r="R195" s="581" t="inlineStr">
        <is>
          <t>N/A</t>
        </is>
      </c>
      <c r="S195" s="583" t="n"/>
      <c r="T195" s="30">
        <f>'[1]CAPEX&amp;INVESTMENT'!Y195</f>
        <v/>
      </c>
    </row>
    <row r="196" outlineLevel="1">
      <c r="A196" s="515" t="n"/>
      <c r="B196" s="563" t="inlineStr">
        <is>
          <t>Midstream</t>
        </is>
      </c>
      <c r="C196" s="539" t="inlineStr">
        <is>
          <t>[Input of the project name]</t>
        </is>
      </c>
      <c r="D196" s="912" t="inlineStr">
        <is>
          <t>[input: brief description of the project, including:</t>
        </is>
      </c>
      <c r="E196" s="518" t="inlineStr">
        <is>
          <t>thsd</t>
        </is>
      </c>
      <c r="F196" s="518" t="inlineStr">
        <is>
          <t>+</t>
        </is>
      </c>
      <c r="G196" s="576" t="n">
        <v>0</v>
      </c>
      <c r="H196" s="587" t="n"/>
      <c r="I196" s="587" t="n"/>
      <c r="J196" s="587" t="n"/>
      <c r="K196" s="587" t="n"/>
      <c r="L196" s="578" t="n">
        <v>0</v>
      </c>
      <c r="M196" s="581" t="inlineStr">
        <is>
          <t>N/A</t>
        </is>
      </c>
      <c r="N196" s="583" t="n"/>
      <c r="O196" s="587" t="n"/>
      <c r="P196" s="587" t="n"/>
      <c r="Q196" s="578" t="n">
        <v>0</v>
      </c>
      <c r="R196" s="581" t="inlineStr">
        <is>
          <t>N/A</t>
        </is>
      </c>
      <c r="S196" s="583" t="n"/>
      <c r="T196" s="30">
        <f>'[1]CAPEX&amp;INVESTMENT'!Y196</f>
        <v/>
      </c>
    </row>
    <row r="197" outlineLevel="1">
      <c r="A197" s="515" t="n"/>
      <c r="B197" s="563" t="inlineStr">
        <is>
          <t>Midstream</t>
        </is>
      </c>
      <c r="C197" s="568" t="inlineStr">
        <is>
          <t>[Input of the project name]</t>
        </is>
      </c>
      <c r="D197" s="912" t="inlineStr">
        <is>
          <t>[input: brief description of the project, including:</t>
        </is>
      </c>
      <c r="E197" s="518" t="inlineStr">
        <is>
          <t>thsd</t>
        </is>
      </c>
      <c r="F197" s="518" t="inlineStr">
        <is>
          <t>+</t>
        </is>
      </c>
      <c r="G197" s="575" t="n">
        <v>0</v>
      </c>
      <c r="H197" s="587" t="n"/>
      <c r="I197" s="587" t="n"/>
      <c r="J197" s="587" t="n"/>
      <c r="K197" s="587" t="n"/>
      <c r="L197" s="578" t="n">
        <v>0</v>
      </c>
      <c r="M197" s="581" t="inlineStr">
        <is>
          <t>N/A</t>
        </is>
      </c>
      <c r="N197" s="583" t="n"/>
      <c r="O197" s="587" t="n"/>
      <c r="P197" s="587" t="n"/>
      <c r="Q197" s="578" t="n">
        <v>0</v>
      </c>
      <c r="R197" s="581" t="inlineStr">
        <is>
          <t>N/A</t>
        </is>
      </c>
      <c r="S197" s="583" t="n"/>
      <c r="T197" s="30">
        <f>'[1]CAPEX&amp;INVESTMENT'!Y197</f>
        <v/>
      </c>
    </row>
    <row r="198" outlineLevel="1">
      <c r="A198" s="515" t="n"/>
      <c r="B198" s="563" t="inlineStr">
        <is>
          <t>Midstream</t>
        </is>
      </c>
      <c r="C198" s="539" t="inlineStr">
        <is>
          <t>Other projects</t>
        </is>
      </c>
      <c r="D198" s="912" t="n"/>
      <c r="E198" s="518" t="inlineStr">
        <is>
          <t>thsd</t>
        </is>
      </c>
      <c r="F198" s="518" t="inlineStr">
        <is>
          <t>+</t>
        </is>
      </c>
      <c r="G198" s="576" t="n">
        <v>0</v>
      </c>
      <c r="H198" s="587" t="n"/>
      <c r="I198" s="587" t="n"/>
      <c r="J198" s="587" t="n"/>
      <c r="K198" s="587" t="n"/>
      <c r="L198" s="578" t="n">
        <v>0</v>
      </c>
      <c r="M198" s="581" t="inlineStr">
        <is>
          <t>N/A</t>
        </is>
      </c>
      <c r="N198" s="583" t="n"/>
      <c r="O198" s="587" t="n"/>
      <c r="P198" s="587" t="n"/>
      <c r="Q198" s="578" t="n">
        <v>0</v>
      </c>
      <c r="R198" s="581" t="inlineStr">
        <is>
          <t>N/A</t>
        </is>
      </c>
      <c r="S198" s="583" t="n"/>
      <c r="T198" s="30">
        <f>'[1]CAPEX&amp;INVESTMENT'!Y198</f>
        <v/>
      </c>
    </row>
    <row r="199" outlineLevel="1">
      <c r="A199" s="515" t="n"/>
      <c r="B199" s="563" t="inlineStr">
        <is>
          <t>Midstream</t>
        </is>
      </c>
      <c r="C199" s="565" t="inlineStr">
        <is>
          <t>Other type of projects</t>
        </is>
      </c>
      <c r="D199" s="911" t="n"/>
      <c r="E199" s="518" t="inlineStr">
        <is>
          <t>thsd</t>
        </is>
      </c>
      <c r="F199" s="518" t="inlineStr">
        <is>
          <t>+</t>
        </is>
      </c>
      <c r="G199" s="576" t="n">
        <v>0</v>
      </c>
      <c r="H199" s="588">
        <f>SUM(INDIRECT(CHAR(COLUMN()+64)&amp;ROW(H200)&amp;":"&amp;IF(_xlfn.ISFORMULA(INDIRECT((ADDRESS(ROW()-1+MATCH(1,$T200:$T$259,0),COLUMN(),1,1)))),(ADDRESS(ROW()-2+MATCH(1,$T200:$T$259,0),COLUMN(),1,1)),(ADDRESS(ROW()-1+MATCH(1,$T200:$T$259,0),COLUMN(),1,1)))))</f>
        <v/>
      </c>
      <c r="I199" s="588">
        <f>SUM(INDIRECT(CHAR(COLUMN()+64)&amp;ROW(I200)&amp;":"&amp;IF(_xlfn.ISFORMULA(INDIRECT((ADDRESS(ROW()-1+MATCH(1,$T200:$T$259,0),COLUMN(),1,1)))),(ADDRESS(ROW()-2+MATCH(1,$T200:$T$259,0),COLUMN(),1,1)),(ADDRESS(ROW()-1+MATCH(1,$T200:$T$259,0),COLUMN(),1,1)))))</f>
        <v/>
      </c>
      <c r="J199" s="588">
        <f>SUM(INDIRECT(CHAR(COLUMN()+64)&amp;ROW(J200)&amp;":"&amp;IF(_xlfn.ISFORMULA(INDIRECT((ADDRESS(ROW()-1+MATCH(1,$T200:$T$259,0),COLUMN(),1,1)))),(ADDRESS(ROW()-2+MATCH(1,$T200:$T$259,0),COLUMN(),1,1)),(ADDRESS(ROW()-1+MATCH(1,$T200:$T$259,0),COLUMN(),1,1)))))</f>
        <v/>
      </c>
      <c r="K199" s="588">
        <f>SUM(INDIRECT(CHAR(COLUMN()+64)&amp;ROW(K200)&amp;":"&amp;IF(_xlfn.ISFORMULA(INDIRECT((ADDRESS(ROW()-1+MATCH(1,$T200:$T$259,0),COLUMN(),1,1)))),(ADDRESS(ROW()-2+MATCH(1,$T200:$T$259,0),COLUMN(),1,1)),(ADDRESS(ROW()-1+MATCH(1,$T200:$T$259,0),COLUMN(),1,1)))))</f>
        <v/>
      </c>
      <c r="L199" s="578">
        <f/>
        <v/>
      </c>
      <c r="M199" s="581">
        <f/>
        <v/>
      </c>
      <c r="N199" s="583" t="n"/>
      <c r="O199" s="588">
        <f>SUM(INDIRECT(CHAR(COLUMN()+64)&amp;ROW(O200)&amp;":"&amp;IF(_xlfn.ISFORMULA(INDIRECT((ADDRESS(ROW()-1+MATCH(1,$T200:$T$259,0),COLUMN(),1,1)))),(ADDRESS(ROW()-2+MATCH(1,$T200:$T$259,0),COLUMN(),1,1)),(ADDRESS(ROW()-1+MATCH(1,$T200:$T$259,0),COLUMN(),1,1)))))</f>
        <v/>
      </c>
      <c r="P199" s="588">
        <f>SUM(INDIRECT(CHAR(COLUMN()+64)&amp;ROW(P200)&amp;":"&amp;IF(_xlfn.ISFORMULA(INDIRECT((ADDRESS(ROW()-1+MATCH(1,$T200:$T$259,0),COLUMN(),1,1)))),(ADDRESS(ROW()-2+MATCH(1,$T200:$T$259,0),COLUMN(),1,1)),(ADDRESS(ROW()-1+MATCH(1,$T200:$T$259,0),COLUMN(),1,1)))))</f>
        <v/>
      </c>
      <c r="Q199" s="578">
        <f/>
        <v/>
      </c>
      <c r="R199" s="581">
        <f/>
        <v/>
      </c>
      <c r="S199" s="583" t="n"/>
      <c r="T199" s="30">
        <f>'[1]CAPEX&amp;INVESTMENT'!Y199</f>
        <v/>
      </c>
    </row>
    <row r="200" outlineLevel="1">
      <c r="A200" s="515" t="n"/>
      <c r="B200" s="563" t="inlineStr">
        <is>
          <t>Midstream</t>
        </is>
      </c>
      <c r="C200" s="539" t="inlineStr">
        <is>
          <t>[Input of the project name]</t>
        </is>
      </c>
      <c r="D200" s="912" t="inlineStr">
        <is>
          <t>[input: brief description of the project, including:</t>
        </is>
      </c>
      <c r="E200" s="518" t="inlineStr">
        <is>
          <t>thsd</t>
        </is>
      </c>
      <c r="F200" s="518" t="inlineStr">
        <is>
          <t>+</t>
        </is>
      </c>
      <c r="G200" s="576" t="n">
        <v>0</v>
      </c>
      <c r="H200" s="587" t="n"/>
      <c r="I200" s="587" t="n"/>
      <c r="J200" s="587" t="n"/>
      <c r="K200" s="587" t="n"/>
      <c r="L200" s="578" t="n">
        <v>0</v>
      </c>
      <c r="M200" s="581" t="inlineStr">
        <is>
          <t>N/A</t>
        </is>
      </c>
      <c r="N200" s="583" t="n"/>
      <c r="O200" s="587" t="n"/>
      <c r="P200" s="587" t="n"/>
      <c r="Q200" s="578" t="n">
        <v>0</v>
      </c>
      <c r="R200" s="581" t="inlineStr">
        <is>
          <t>N/A</t>
        </is>
      </c>
      <c r="S200" s="583" t="n"/>
      <c r="T200" s="30">
        <f>'[1]CAPEX&amp;INVESTMENT'!Y200</f>
        <v/>
      </c>
    </row>
    <row r="201" outlineLevel="1">
      <c r="A201" s="515" t="n"/>
      <c r="B201" s="563" t="inlineStr">
        <is>
          <t>Midstream</t>
        </is>
      </c>
      <c r="C201" s="539" t="inlineStr">
        <is>
          <t>[Input of the project name]</t>
        </is>
      </c>
      <c r="D201" s="912" t="inlineStr">
        <is>
          <t>[input: brief description of the project, including:</t>
        </is>
      </c>
      <c r="E201" s="518" t="inlineStr">
        <is>
          <t>thsd</t>
        </is>
      </c>
      <c r="F201" s="518" t="inlineStr">
        <is>
          <t>+</t>
        </is>
      </c>
      <c r="G201" s="576" t="n">
        <v>0</v>
      </c>
      <c r="H201" s="587" t="n"/>
      <c r="I201" s="587" t="n"/>
      <c r="J201" s="587" t="n"/>
      <c r="K201" s="587" t="n"/>
      <c r="L201" s="578" t="n">
        <v>0</v>
      </c>
      <c r="M201" s="581" t="inlineStr">
        <is>
          <t>N/A</t>
        </is>
      </c>
      <c r="N201" s="583" t="n"/>
      <c r="O201" s="587" t="n"/>
      <c r="P201" s="587" t="n"/>
      <c r="Q201" s="578" t="n">
        <v>0</v>
      </c>
      <c r="R201" s="581" t="inlineStr">
        <is>
          <t>N/A</t>
        </is>
      </c>
      <c r="S201" s="583" t="n"/>
      <c r="T201" s="30">
        <f>'[1]CAPEX&amp;INVESTMENT'!Y201</f>
        <v/>
      </c>
    </row>
    <row r="202" outlineLevel="1">
      <c r="A202" s="515" t="n"/>
      <c r="B202" s="563" t="inlineStr">
        <is>
          <t>Midstream</t>
        </is>
      </c>
      <c r="C202" s="539" t="inlineStr">
        <is>
          <t>[Input of the project name]</t>
        </is>
      </c>
      <c r="D202" s="912" t="inlineStr">
        <is>
          <t>[input: brief description of the project, including:</t>
        </is>
      </c>
      <c r="E202" s="518" t="inlineStr">
        <is>
          <t>thsd</t>
        </is>
      </c>
      <c r="F202" s="518" t="inlineStr">
        <is>
          <t>+</t>
        </is>
      </c>
      <c r="G202" s="576" t="n">
        <v>0</v>
      </c>
      <c r="H202" s="587" t="n"/>
      <c r="I202" s="587" t="n"/>
      <c r="J202" s="587" t="n"/>
      <c r="K202" s="587" t="n"/>
      <c r="L202" s="578" t="n">
        <v>0</v>
      </c>
      <c r="M202" s="581" t="inlineStr">
        <is>
          <t>N/A</t>
        </is>
      </c>
      <c r="N202" s="583" t="n"/>
      <c r="O202" s="587" t="n"/>
      <c r="P202" s="587" t="n"/>
      <c r="Q202" s="578" t="n">
        <v>0</v>
      </c>
      <c r="R202" s="581" t="inlineStr">
        <is>
          <t>N/A</t>
        </is>
      </c>
      <c r="S202" s="583" t="n"/>
      <c r="T202" s="30">
        <f>'[1]CAPEX&amp;INVESTMENT'!Y202</f>
        <v/>
      </c>
    </row>
    <row r="203" outlineLevel="1">
      <c r="A203" s="515" t="n"/>
      <c r="B203" s="563" t="inlineStr">
        <is>
          <t>Midstream</t>
        </is>
      </c>
      <c r="C203" s="539" t="inlineStr">
        <is>
          <t>[Input of the project name]</t>
        </is>
      </c>
      <c r="D203" s="912" t="inlineStr">
        <is>
          <t>[input: brief description of the project, including:</t>
        </is>
      </c>
      <c r="E203" s="518" t="inlineStr">
        <is>
          <t>thsd</t>
        </is>
      </c>
      <c r="F203" s="518" t="inlineStr">
        <is>
          <t>+</t>
        </is>
      </c>
      <c r="G203" s="576" t="n">
        <v>0</v>
      </c>
      <c r="H203" s="587" t="n"/>
      <c r="I203" s="587" t="n"/>
      <c r="J203" s="587" t="n"/>
      <c r="K203" s="587" t="n"/>
      <c r="L203" s="578" t="n">
        <v>0</v>
      </c>
      <c r="M203" s="581" t="inlineStr">
        <is>
          <t>N/A</t>
        </is>
      </c>
      <c r="N203" s="583" t="n"/>
      <c r="O203" s="587" t="n"/>
      <c r="P203" s="587" t="n"/>
      <c r="Q203" s="578" t="n">
        <v>0</v>
      </c>
      <c r="R203" s="581" t="inlineStr">
        <is>
          <t>N/A</t>
        </is>
      </c>
      <c r="S203" s="583" t="n"/>
      <c r="T203" s="30">
        <f>'[1]CAPEX&amp;INVESTMENT'!Y203</f>
        <v/>
      </c>
    </row>
    <row r="204" outlineLevel="1">
      <c r="A204" s="515" t="n"/>
      <c r="B204" s="563" t="inlineStr">
        <is>
          <t>Midstream</t>
        </is>
      </c>
      <c r="C204" s="539" t="inlineStr">
        <is>
          <t>[Input of the project name]</t>
        </is>
      </c>
      <c r="D204" s="912" t="inlineStr">
        <is>
          <t>[input: brief description of the project, including:</t>
        </is>
      </c>
      <c r="E204" s="518" t="inlineStr">
        <is>
          <t>thsd</t>
        </is>
      </c>
      <c r="F204" s="518" t="inlineStr">
        <is>
          <t>+</t>
        </is>
      </c>
      <c r="G204" s="576" t="n">
        <v>0</v>
      </c>
      <c r="H204" s="587" t="n"/>
      <c r="I204" s="587" t="n"/>
      <c r="J204" s="587" t="n"/>
      <c r="K204" s="587" t="n"/>
      <c r="L204" s="578" t="n">
        <v>0</v>
      </c>
      <c r="M204" s="581" t="inlineStr">
        <is>
          <t>N/A</t>
        </is>
      </c>
      <c r="N204" s="583" t="n"/>
      <c r="O204" s="587" t="n"/>
      <c r="P204" s="587" t="n"/>
      <c r="Q204" s="578" t="n">
        <v>0</v>
      </c>
      <c r="R204" s="581" t="inlineStr">
        <is>
          <t>N/A</t>
        </is>
      </c>
      <c r="S204" s="583" t="n"/>
      <c r="T204" s="30">
        <f>'[1]CAPEX&amp;INVESTMENT'!Y204</f>
        <v/>
      </c>
    </row>
    <row r="205" outlineLevel="1">
      <c r="A205" s="515" t="n"/>
      <c r="B205" s="563" t="inlineStr">
        <is>
          <t>Midstream</t>
        </is>
      </c>
      <c r="C205" s="539" t="inlineStr">
        <is>
          <t>[Input of the project name]</t>
        </is>
      </c>
      <c r="D205" s="912" t="inlineStr">
        <is>
          <t>[input: brief description of the project, including:</t>
        </is>
      </c>
      <c r="E205" s="518" t="inlineStr">
        <is>
          <t>thsd</t>
        </is>
      </c>
      <c r="F205" s="518" t="inlineStr">
        <is>
          <t>+</t>
        </is>
      </c>
      <c r="G205" s="576" t="n">
        <v>0</v>
      </c>
      <c r="H205" s="587" t="n"/>
      <c r="I205" s="587" t="n"/>
      <c r="J205" s="587" t="n"/>
      <c r="K205" s="587" t="n"/>
      <c r="L205" s="578" t="n">
        <v>0</v>
      </c>
      <c r="M205" s="581" t="inlineStr">
        <is>
          <t>N/A</t>
        </is>
      </c>
      <c r="N205" s="583" t="n"/>
      <c r="O205" s="587" t="n"/>
      <c r="P205" s="587" t="n"/>
      <c r="Q205" s="578" t="n">
        <v>0</v>
      </c>
      <c r="R205" s="581" t="inlineStr">
        <is>
          <t>N/A</t>
        </is>
      </c>
      <c r="S205" s="583" t="n"/>
      <c r="T205" s="30">
        <f>'[1]CAPEX&amp;INVESTMENT'!Y205</f>
        <v/>
      </c>
    </row>
    <row r="206" outlineLevel="1">
      <c r="A206" s="515" t="n"/>
      <c r="B206" s="563" t="inlineStr">
        <is>
          <t>Midstream</t>
        </is>
      </c>
      <c r="C206" s="539" t="inlineStr">
        <is>
          <t>[Input of the project name]</t>
        </is>
      </c>
      <c r="D206" s="912" t="inlineStr">
        <is>
          <t>[input: brief description of the project, including:</t>
        </is>
      </c>
      <c r="E206" s="518" t="inlineStr">
        <is>
          <t>thsd</t>
        </is>
      </c>
      <c r="F206" s="518" t="inlineStr">
        <is>
          <t>+</t>
        </is>
      </c>
      <c r="G206" s="576" t="n">
        <v>0</v>
      </c>
      <c r="H206" s="587" t="n"/>
      <c r="I206" s="587" t="n"/>
      <c r="J206" s="587" t="n"/>
      <c r="K206" s="587" t="n"/>
      <c r="L206" s="578" t="n">
        <v>0</v>
      </c>
      <c r="M206" s="581" t="inlineStr">
        <is>
          <t>N/A</t>
        </is>
      </c>
      <c r="N206" s="583" t="n"/>
      <c r="O206" s="587" t="n"/>
      <c r="P206" s="587" t="n"/>
      <c r="Q206" s="578" t="n">
        <v>0</v>
      </c>
      <c r="R206" s="581" t="inlineStr">
        <is>
          <t>N/A</t>
        </is>
      </c>
      <c r="S206" s="583" t="n"/>
      <c r="T206" s="30">
        <f>'[1]CAPEX&amp;INVESTMENT'!Y206</f>
        <v/>
      </c>
    </row>
    <row r="207" outlineLevel="1">
      <c r="A207" s="515" t="n"/>
      <c r="B207" s="563" t="inlineStr">
        <is>
          <t>Midstream</t>
        </is>
      </c>
      <c r="C207" s="539" t="inlineStr">
        <is>
          <t>[Input of the project name]</t>
        </is>
      </c>
      <c r="D207" s="912" t="inlineStr">
        <is>
          <t>[input: brief description of the project, including:</t>
        </is>
      </c>
      <c r="E207" s="518" t="inlineStr">
        <is>
          <t>thsd</t>
        </is>
      </c>
      <c r="F207" s="518" t="inlineStr">
        <is>
          <t>+</t>
        </is>
      </c>
      <c r="G207" s="576" t="n">
        <v>0</v>
      </c>
      <c r="H207" s="587" t="n"/>
      <c r="I207" s="587" t="n"/>
      <c r="J207" s="587" t="n"/>
      <c r="K207" s="587" t="n"/>
      <c r="L207" s="578" t="n">
        <v>0</v>
      </c>
      <c r="M207" s="581" t="inlineStr">
        <is>
          <t>N/A</t>
        </is>
      </c>
      <c r="N207" s="583" t="n"/>
      <c r="O207" s="587" t="n"/>
      <c r="P207" s="587" t="n"/>
      <c r="Q207" s="578" t="n">
        <v>0</v>
      </c>
      <c r="R207" s="581" t="inlineStr">
        <is>
          <t>N/A</t>
        </is>
      </c>
      <c r="S207" s="583" t="n"/>
      <c r="T207" s="30">
        <f>'[1]CAPEX&amp;INVESTMENT'!Y207</f>
        <v/>
      </c>
    </row>
    <row r="208" outlineLevel="1">
      <c r="A208" s="515" t="n"/>
      <c r="B208" s="563" t="inlineStr">
        <is>
          <t>Midstream</t>
        </is>
      </c>
      <c r="C208" s="539" t="inlineStr">
        <is>
          <t>[Input of the project name]</t>
        </is>
      </c>
      <c r="D208" s="912" t="inlineStr">
        <is>
          <t>[input: brief description of the project, including:</t>
        </is>
      </c>
      <c r="E208" s="518" t="inlineStr">
        <is>
          <t>thsd</t>
        </is>
      </c>
      <c r="F208" s="518" t="inlineStr">
        <is>
          <t>+</t>
        </is>
      </c>
      <c r="G208" s="576" t="n">
        <v>0</v>
      </c>
      <c r="H208" s="587" t="n"/>
      <c r="I208" s="587" t="n"/>
      <c r="J208" s="587" t="n"/>
      <c r="K208" s="587" t="n"/>
      <c r="L208" s="578" t="n">
        <v>0</v>
      </c>
      <c r="M208" s="581" t="inlineStr">
        <is>
          <t>N/A</t>
        </is>
      </c>
      <c r="N208" s="583" t="n"/>
      <c r="O208" s="587" t="n"/>
      <c r="P208" s="587" t="n"/>
      <c r="Q208" s="578" t="n">
        <v>0</v>
      </c>
      <c r="R208" s="581" t="inlineStr">
        <is>
          <t>N/A</t>
        </is>
      </c>
      <c r="S208" s="583" t="n"/>
      <c r="T208" s="30">
        <f>'[1]CAPEX&amp;INVESTMENT'!Y208</f>
        <v/>
      </c>
    </row>
    <row r="209" outlineLevel="1">
      <c r="A209" s="515" t="n"/>
      <c r="B209" s="563" t="inlineStr">
        <is>
          <t>Midstream</t>
        </is>
      </c>
      <c r="C209" s="539" t="inlineStr">
        <is>
          <t>[Input of the project name]</t>
        </is>
      </c>
      <c r="D209" s="912" t="inlineStr">
        <is>
          <t>[input: brief description of the project, including:</t>
        </is>
      </c>
      <c r="E209" s="518" t="inlineStr">
        <is>
          <t>thsd</t>
        </is>
      </c>
      <c r="F209" s="518" t="inlineStr">
        <is>
          <t>+</t>
        </is>
      </c>
      <c r="G209" s="576" t="n">
        <v>0</v>
      </c>
      <c r="H209" s="587" t="n"/>
      <c r="I209" s="587" t="n"/>
      <c r="J209" s="587" t="n"/>
      <c r="K209" s="587" t="n"/>
      <c r="L209" s="578" t="n">
        <v>0</v>
      </c>
      <c r="M209" s="581" t="inlineStr">
        <is>
          <t>N/A</t>
        </is>
      </c>
      <c r="N209" s="583" t="n"/>
      <c r="O209" s="587" t="n"/>
      <c r="P209" s="587" t="n"/>
      <c r="Q209" s="578" t="n">
        <v>0</v>
      </c>
      <c r="R209" s="581" t="inlineStr">
        <is>
          <t>N/A</t>
        </is>
      </c>
      <c r="S209" s="583" t="n"/>
      <c r="T209" s="30">
        <f>'[1]CAPEX&amp;INVESTMENT'!Y209</f>
        <v/>
      </c>
    </row>
    <row r="210" outlineLevel="1">
      <c r="A210" s="515" t="n"/>
      <c r="B210" s="563" t="inlineStr">
        <is>
          <t>Midstream</t>
        </is>
      </c>
      <c r="C210" s="568" t="inlineStr">
        <is>
          <t>Other projects</t>
        </is>
      </c>
      <c r="D210" s="912" t="n"/>
      <c r="E210" s="518" t="inlineStr">
        <is>
          <t>thsd</t>
        </is>
      </c>
      <c r="F210" s="518" t="inlineStr">
        <is>
          <t>+</t>
        </is>
      </c>
      <c r="G210" s="575" t="n">
        <v>0</v>
      </c>
      <c r="H210" s="587" t="n"/>
      <c r="I210" s="587" t="n"/>
      <c r="J210" s="587" t="n"/>
      <c r="K210" s="587" t="n"/>
      <c r="L210" s="578" t="n">
        <v>0</v>
      </c>
      <c r="M210" s="581" t="inlineStr">
        <is>
          <t>N/A</t>
        </is>
      </c>
      <c r="N210" s="583" t="n"/>
      <c r="O210" s="587" t="n"/>
      <c r="P210" s="587" t="n"/>
      <c r="Q210" s="578" t="n">
        <v>0</v>
      </c>
      <c r="R210" s="581" t="inlineStr">
        <is>
          <t>N/A</t>
        </is>
      </c>
      <c r="S210" s="583" t="n"/>
      <c r="T210" s="30">
        <f>'[1]CAPEX&amp;INVESTMENT'!Y210</f>
        <v/>
      </c>
    </row>
    <row r="211" outlineLevel="1">
      <c r="A211" s="515" t="n"/>
      <c r="B211" s="562" t="inlineStr">
        <is>
          <t>Gas distribution</t>
        </is>
      </c>
      <c r="C211" s="569" t="inlineStr">
        <is>
          <t>Total</t>
        </is>
      </c>
      <c r="D211" s="914" t="inlineStr">
        <is>
          <t>Cəmi</t>
        </is>
      </c>
      <c r="E211" s="518" t="inlineStr">
        <is>
          <t>thsd</t>
        </is>
      </c>
      <c r="F211" s="518" t="inlineStr">
        <is>
          <t>+</t>
        </is>
      </c>
      <c r="G211" s="576" t="n">
        <v>29458.82352941176</v>
      </c>
      <c r="H211" s="576">
        <f t="array" ref="H211">SUMPRODUCT(--(($B212:$B$255)=$B$211),--(_xlfn.ISFORMULA(H212:H$255)=TRUE),H212:H$255)</f>
        <v/>
      </c>
      <c r="I211" s="576">
        <f t="array" ref="I211">SUMPRODUCT(--(($B212:$B$255)=$B$211),--(_xlfn.ISFORMULA(I212:I$255)=TRUE),I212:I$255)</f>
        <v/>
      </c>
      <c r="J211" s="576">
        <f t="array" ref="J211">SUMPRODUCT(--(($B212:$B$255)=$B$211),--(_xlfn.ISFORMULA(J212:J$255)=TRUE),J212:J$255)</f>
        <v/>
      </c>
      <c r="K211" s="576">
        <f t="array" ref="K211">SUMPRODUCT(--(($B212:$B$255)=$B$211),--(_xlfn.ISFORMULA(K212:K$255)=TRUE),K212:K$255)</f>
        <v/>
      </c>
      <c r="L211" s="577">
        <f/>
        <v/>
      </c>
      <c r="M211" s="580">
        <f/>
        <v/>
      </c>
      <c r="N211" s="583" t="n"/>
      <c r="O211" s="576">
        <f t="array" ref="O211">SUMPRODUCT(--(($B212:$B$255)=$B$211),--(_xlfn.ISFORMULA(O212:O$255)=TRUE),O212:O$255)</f>
        <v/>
      </c>
      <c r="P211" s="576">
        <f t="array" ref="P211">SUMPRODUCT(--(($B212:$B$255)=$B$211),--(_xlfn.ISFORMULA(P212:P$255)=TRUE),P212:P$255)</f>
        <v/>
      </c>
      <c r="Q211" s="577">
        <f/>
        <v/>
      </c>
      <c r="R211" s="580">
        <f/>
        <v/>
      </c>
      <c r="S211" s="583" t="n"/>
      <c r="T211" s="30">
        <f>'[1]CAPEX&amp;INVESTMENT'!Y211</f>
        <v/>
      </c>
    </row>
    <row r="212" outlineLevel="1">
      <c r="A212" s="515" t="n"/>
      <c r="B212" s="563" t="inlineStr">
        <is>
          <t>Gas distribution</t>
        </is>
      </c>
      <c r="C212" s="565" t="inlineStr">
        <is>
          <t>Modernization/construction projects</t>
        </is>
      </c>
      <c r="D212" s="911" t="n"/>
      <c r="E212" s="518" t="inlineStr">
        <is>
          <t>thsd</t>
        </is>
      </c>
      <c r="F212" s="518" t="inlineStr">
        <is>
          <t>+</t>
        </is>
      </c>
      <c r="G212" s="576" t="n">
        <v>22263.00857535996</v>
      </c>
      <c r="H212" s="588">
        <f>SUM(INDIRECT(CHAR(COLUMN()+64)&amp;ROW(H213)&amp;":"&amp;IF(_xlfn.ISFORMULA(INDIRECT((ADDRESS(ROW()-1+MATCH(1,$T213:$T$259,0),COLUMN(),1,1)))),(ADDRESS(ROW()+10+MATCH(1,$T213:$T$259,0),COLUMN(),1,1)),(ADDRESS(ROW()-1+MATCH(1,$T213:$T$259,0),COLUMN(),1,1)))))</f>
        <v/>
      </c>
      <c r="I212" s="588">
        <f>SUM(INDIRECT(CHAR(COLUMN()+64)&amp;ROW(I213)&amp;":"&amp;IF(_xlfn.ISFORMULA(INDIRECT((ADDRESS(ROW()-1+MATCH(1,$T213:$T$259,0),COLUMN(),1,1)))),(ADDRESS(ROW()+10+MATCH(1,$T213:$T$259,0),COLUMN(),1,1)),(ADDRESS(ROW()-1+MATCH(1,$T213:$T$259,0),COLUMN(),1,1)))))</f>
        <v/>
      </c>
      <c r="J212" s="588">
        <f>SUM(INDIRECT(CHAR(COLUMN()+64)&amp;ROW(J213)&amp;":"&amp;IF(_xlfn.ISFORMULA(INDIRECT((ADDRESS(ROW()-1+MATCH(1,$T213:$T$259,0),COLUMN(),1,1)))),(ADDRESS(ROW()+10+MATCH(1,$T213:$T$259,0),COLUMN(),1,1)),(ADDRESS(ROW()-1+MATCH(1,$T213:$T$259,0),COLUMN(),1,1)))))</f>
        <v/>
      </c>
      <c r="K212" s="588">
        <f>SUM(INDIRECT(CHAR(COLUMN()+64)&amp;ROW(K213)&amp;":"&amp;IF(_xlfn.ISFORMULA(INDIRECT((ADDRESS(ROW()-1+MATCH(1,$T213:$T$259,0),COLUMN(),1,1)))),(ADDRESS(ROW()+10+MATCH(1,$T213:$T$259,0),COLUMN(),1,1)),(ADDRESS(ROW()-1+MATCH(1,$T213:$T$259,0),COLUMN(),1,1)))))</f>
        <v/>
      </c>
      <c r="L212" s="578">
        <f/>
        <v/>
      </c>
      <c r="M212" s="581">
        <f/>
        <v/>
      </c>
      <c r="N212" s="583" t="n"/>
      <c r="O212" s="588">
        <f>SUM(INDIRECT(CHAR(COLUMN()+64)&amp;ROW(O213)&amp;":"&amp;IF(_xlfn.ISFORMULA(INDIRECT((ADDRESS(ROW()-1+MATCH(1,$T213:$T$259,0),COLUMN(),1,1)))),(ADDRESS(ROW()+10+MATCH(1,$T213:$T$259,0),COLUMN(),1,1)),(ADDRESS(ROW()-1+MATCH(1,$T213:$T$259,0),COLUMN(),1,1)))))</f>
        <v/>
      </c>
      <c r="P212" s="588">
        <f>SUM(INDIRECT(CHAR(COLUMN()+64)&amp;ROW(P213)&amp;":"&amp;IF(_xlfn.ISFORMULA(INDIRECT((ADDRESS(ROW()-1+MATCH(1,$T213:$T$259,0),COLUMN(),1,1)))),(ADDRESS(ROW()+10+MATCH(1,$T213:$T$259,0),COLUMN(),1,1)),(ADDRESS(ROW()-1+MATCH(1,$T213:$T$259,0),COLUMN(),1,1)))))</f>
        <v/>
      </c>
      <c r="Q212" s="578">
        <f/>
        <v/>
      </c>
      <c r="R212" s="581">
        <f/>
        <v/>
      </c>
      <c r="S212" s="583" t="n"/>
      <c r="T212" s="30">
        <f>'[1]CAPEX&amp;INVESTMENT'!Y212</f>
        <v/>
      </c>
    </row>
    <row r="213" outlineLevel="1">
      <c r="A213" s="515" t="n"/>
      <c r="B213" s="563" t="inlineStr">
        <is>
          <t>Gas distribution</t>
        </is>
      </c>
      <c r="C213" s="539" t="inlineStr">
        <is>
          <t>[Input of the project name]</t>
        </is>
      </c>
      <c r="D213" s="912" t="inlineStr">
        <is>
          <t>[input: brief description of the project, including:</t>
        </is>
      </c>
      <c r="E213" s="518" t="inlineStr">
        <is>
          <t>thsd</t>
        </is>
      </c>
      <c r="F213" s="518" t="inlineStr">
        <is>
          <t>+</t>
        </is>
      </c>
      <c r="G213" s="576" t="n">
        <v>22263.00857535996</v>
      </c>
      <c r="H213" s="587" t="n">
        <v>34747.31407406858</v>
      </c>
      <c r="I213" s="587" t="n">
        <v>22263.00857535996</v>
      </c>
      <c r="J213" s="587" t="n">
        <v>6365.036142262215</v>
      </c>
      <c r="K213" s="587" t="n">
        <v>7976.896329128085</v>
      </c>
      <c r="L213" s="578" t="n">
        <v>-1611.860186865871</v>
      </c>
      <c r="M213" s="581" t="n">
        <v>-0.202066081889528</v>
      </c>
      <c r="N213" s="583" t="inlineStr">
        <is>
          <t>The deviation in cash payments for CAPEX is attributed to the same factors, namely intermediate projects, which include both facilities planned and approved for 2023, as well as facilities carried over from 2022. These projects have contributed to variations in the timing and amount of cash payments for capital expenditures compared to the initial projections</t>
        </is>
      </c>
      <c r="O213" s="587" t="n">
        <v>34747.31407406858</v>
      </c>
      <c r="P213" s="587" t="n">
        <v>22263.00857535996</v>
      </c>
      <c r="Q213" s="578" t="n">
        <v>12484.30549870862</v>
      </c>
      <c r="R213" s="581" t="n">
        <v>0.5607645281386577</v>
      </c>
      <c r="S213" s="583" t="n"/>
      <c r="T213" s="30">
        <f>'[1]CAPEX&amp;INVESTMENT'!Y213</f>
        <v/>
      </c>
    </row>
    <row r="214" outlineLevel="1">
      <c r="A214" s="515" t="n"/>
      <c r="B214" s="563" t="inlineStr">
        <is>
          <t>Gas distribution</t>
        </is>
      </c>
      <c r="C214" s="539" t="inlineStr">
        <is>
          <t>[Input of the project name]</t>
        </is>
      </c>
      <c r="D214" s="912" t="inlineStr">
        <is>
          <t>[input: brief description of the project, including:</t>
        </is>
      </c>
      <c r="E214" s="518" t="inlineStr">
        <is>
          <t>thsd</t>
        </is>
      </c>
      <c r="F214" s="518" t="inlineStr">
        <is>
          <t>+</t>
        </is>
      </c>
      <c r="G214" s="576" t="n">
        <v>0</v>
      </c>
      <c r="H214" s="587" t="n"/>
      <c r="I214" s="587" t="n"/>
      <c r="J214" s="587" t="n"/>
      <c r="K214" s="587" t="n"/>
      <c r="L214" s="578" t="n">
        <v>0</v>
      </c>
      <c r="M214" s="581" t="inlineStr">
        <is>
          <t>N/A</t>
        </is>
      </c>
      <c r="N214" s="583" t="n"/>
      <c r="O214" s="587" t="n"/>
      <c r="P214" s="587" t="n"/>
      <c r="Q214" s="578" t="n">
        <v>0</v>
      </c>
      <c r="R214" s="581" t="inlineStr">
        <is>
          <t>N/A</t>
        </is>
      </c>
      <c r="S214" s="583" t="n"/>
      <c r="T214" s="30">
        <f>'[1]CAPEX&amp;INVESTMENT'!Y214</f>
        <v/>
      </c>
    </row>
    <row r="215" outlineLevel="1">
      <c r="A215" s="515" t="n"/>
      <c r="B215" s="563" t="inlineStr">
        <is>
          <t>Gas distribution</t>
        </is>
      </c>
      <c r="C215" s="539" t="inlineStr">
        <is>
          <t>[Input of the project name]</t>
        </is>
      </c>
      <c r="D215" s="912" t="inlineStr">
        <is>
          <t>[input: brief description of the project, including:</t>
        </is>
      </c>
      <c r="E215" s="518" t="inlineStr">
        <is>
          <t>thsd</t>
        </is>
      </c>
      <c r="F215" s="518" t="inlineStr">
        <is>
          <t>+</t>
        </is>
      </c>
      <c r="G215" s="576" t="n">
        <v>0</v>
      </c>
      <c r="H215" s="587" t="n"/>
      <c r="I215" s="587" t="n"/>
      <c r="J215" s="587" t="n"/>
      <c r="K215" s="587" t="n"/>
      <c r="L215" s="578" t="n">
        <v>0</v>
      </c>
      <c r="M215" s="581" t="inlineStr">
        <is>
          <t>N/A</t>
        </is>
      </c>
      <c r="N215" s="583" t="n"/>
      <c r="O215" s="587" t="n"/>
      <c r="P215" s="587" t="n"/>
      <c r="Q215" s="578" t="n">
        <v>0</v>
      </c>
      <c r="R215" s="581" t="inlineStr">
        <is>
          <t>N/A</t>
        </is>
      </c>
      <c r="S215" s="583" t="n"/>
      <c r="T215" s="30">
        <f>'[1]CAPEX&amp;INVESTMENT'!Y215</f>
        <v/>
      </c>
    </row>
    <row r="216" outlineLevel="1">
      <c r="A216" s="515" t="n"/>
      <c r="B216" s="563" t="inlineStr">
        <is>
          <t>Gas distribution</t>
        </is>
      </c>
      <c r="C216" s="539" t="inlineStr">
        <is>
          <t>[Input of the project name]</t>
        </is>
      </c>
      <c r="D216" s="912" t="inlineStr">
        <is>
          <t>[input: brief description of the project, including:</t>
        </is>
      </c>
      <c r="E216" s="518" t="inlineStr">
        <is>
          <t>thsd</t>
        </is>
      </c>
      <c r="F216" s="518" t="inlineStr">
        <is>
          <t>+</t>
        </is>
      </c>
      <c r="G216" s="576" t="n">
        <v>0</v>
      </c>
      <c r="H216" s="587" t="n"/>
      <c r="I216" s="587" t="n"/>
      <c r="J216" s="587" t="n"/>
      <c r="K216" s="587" t="n"/>
      <c r="L216" s="578" t="n">
        <v>0</v>
      </c>
      <c r="M216" s="581" t="inlineStr">
        <is>
          <t>N/A</t>
        </is>
      </c>
      <c r="N216" s="583" t="n"/>
      <c r="O216" s="587" t="n"/>
      <c r="P216" s="587" t="n"/>
      <c r="Q216" s="578" t="n">
        <v>0</v>
      </c>
      <c r="R216" s="581" t="inlineStr">
        <is>
          <t>N/A</t>
        </is>
      </c>
      <c r="S216" s="583" t="n"/>
      <c r="T216" s="30">
        <f>'[1]CAPEX&amp;INVESTMENT'!Y216</f>
        <v/>
      </c>
    </row>
    <row r="217" outlineLevel="1">
      <c r="A217" s="515" t="n"/>
      <c r="B217" s="563" t="inlineStr">
        <is>
          <t>Gas distribution</t>
        </is>
      </c>
      <c r="C217" s="539" t="inlineStr">
        <is>
          <t>[Input of the project name]</t>
        </is>
      </c>
      <c r="D217" s="912" t="inlineStr">
        <is>
          <t>[input: brief description of the project, including:</t>
        </is>
      </c>
      <c r="E217" s="518" t="inlineStr">
        <is>
          <t>thsd</t>
        </is>
      </c>
      <c r="F217" s="518" t="inlineStr">
        <is>
          <t>+</t>
        </is>
      </c>
      <c r="G217" s="576" t="n">
        <v>0</v>
      </c>
      <c r="H217" s="587" t="n"/>
      <c r="I217" s="587" t="n"/>
      <c r="J217" s="587" t="n"/>
      <c r="K217" s="587" t="n"/>
      <c r="L217" s="578" t="n">
        <v>0</v>
      </c>
      <c r="M217" s="581" t="inlineStr">
        <is>
          <t>N/A</t>
        </is>
      </c>
      <c r="N217" s="583" t="n"/>
      <c r="O217" s="587" t="n"/>
      <c r="P217" s="587" t="n"/>
      <c r="Q217" s="578" t="n">
        <v>0</v>
      </c>
      <c r="R217" s="581" t="inlineStr">
        <is>
          <t>N/A</t>
        </is>
      </c>
      <c r="S217" s="583" t="n"/>
      <c r="T217" s="30">
        <f>'[1]CAPEX&amp;INVESTMENT'!Y217</f>
        <v/>
      </c>
    </row>
    <row r="218" outlineLevel="1">
      <c r="A218" s="515" t="n"/>
      <c r="B218" s="563" t="inlineStr">
        <is>
          <t>Gas distribution</t>
        </is>
      </c>
      <c r="C218" s="539" t="inlineStr">
        <is>
          <t>[Input of the project name]</t>
        </is>
      </c>
      <c r="D218" s="912" t="inlineStr">
        <is>
          <t>[input: brief description of the project, including:</t>
        </is>
      </c>
      <c r="E218" s="518" t="inlineStr">
        <is>
          <t>thsd</t>
        </is>
      </c>
      <c r="F218" s="518" t="inlineStr">
        <is>
          <t>+</t>
        </is>
      </c>
      <c r="G218" s="576" t="n">
        <v>0</v>
      </c>
      <c r="H218" s="587" t="n"/>
      <c r="I218" s="587" t="n"/>
      <c r="J218" s="587" t="n"/>
      <c r="K218" s="587" t="n"/>
      <c r="L218" s="578" t="n">
        <v>0</v>
      </c>
      <c r="M218" s="581" t="inlineStr">
        <is>
          <t>N/A</t>
        </is>
      </c>
      <c r="N218" s="583" t="n"/>
      <c r="O218" s="587" t="n"/>
      <c r="P218" s="587" t="n"/>
      <c r="Q218" s="578" t="n">
        <v>0</v>
      </c>
      <c r="R218" s="581" t="inlineStr">
        <is>
          <t>N/A</t>
        </is>
      </c>
      <c r="S218" s="583" t="n"/>
      <c r="T218" s="30">
        <f>'[1]CAPEX&amp;INVESTMENT'!Y218</f>
        <v/>
      </c>
    </row>
    <row r="219" outlineLevel="1">
      <c r="A219" s="515" t="n"/>
      <c r="B219" s="563" t="inlineStr">
        <is>
          <t>Gas distribution</t>
        </is>
      </c>
      <c r="C219" s="539" t="inlineStr">
        <is>
          <t>[Input of the project name]</t>
        </is>
      </c>
      <c r="D219" s="912" t="inlineStr">
        <is>
          <t>[input: brief description of the project, including:</t>
        </is>
      </c>
      <c r="E219" s="518" t="inlineStr">
        <is>
          <t>thsd</t>
        </is>
      </c>
      <c r="F219" s="518" t="inlineStr">
        <is>
          <t>+</t>
        </is>
      </c>
      <c r="G219" s="576" t="n">
        <v>0</v>
      </c>
      <c r="H219" s="587" t="n"/>
      <c r="I219" s="587" t="n"/>
      <c r="J219" s="587" t="n"/>
      <c r="K219" s="587" t="n"/>
      <c r="L219" s="578" t="n">
        <v>0</v>
      </c>
      <c r="M219" s="581" t="inlineStr">
        <is>
          <t>N/A</t>
        </is>
      </c>
      <c r="N219" s="583" t="n"/>
      <c r="O219" s="587" t="n"/>
      <c r="P219" s="587" t="n"/>
      <c r="Q219" s="578" t="n">
        <v>0</v>
      </c>
      <c r="R219" s="581" t="inlineStr">
        <is>
          <t>N/A</t>
        </is>
      </c>
      <c r="S219" s="583" t="n"/>
      <c r="T219" s="30">
        <f>'[1]CAPEX&amp;INVESTMENT'!Y219</f>
        <v/>
      </c>
    </row>
    <row r="220" outlineLevel="1">
      <c r="A220" s="515" t="n"/>
      <c r="B220" s="563" t="inlineStr">
        <is>
          <t>Gas distribution</t>
        </is>
      </c>
      <c r="C220" s="539" t="inlineStr">
        <is>
          <t>[Input of the project name]</t>
        </is>
      </c>
      <c r="D220" s="912" t="inlineStr">
        <is>
          <t>[input: brief description of the project, including:</t>
        </is>
      </c>
      <c r="E220" s="518" t="inlineStr">
        <is>
          <t>thsd</t>
        </is>
      </c>
      <c r="F220" s="518" t="inlineStr">
        <is>
          <t>+</t>
        </is>
      </c>
      <c r="G220" s="576" t="n">
        <v>0</v>
      </c>
      <c r="H220" s="587" t="n"/>
      <c r="I220" s="587" t="n"/>
      <c r="J220" s="587" t="n"/>
      <c r="K220" s="587" t="n"/>
      <c r="L220" s="578" t="n">
        <v>0</v>
      </c>
      <c r="M220" s="581" t="inlineStr">
        <is>
          <t>N/A</t>
        </is>
      </c>
      <c r="N220" s="583" t="n"/>
      <c r="O220" s="587" t="n"/>
      <c r="P220" s="587" t="n"/>
      <c r="Q220" s="578" t="n">
        <v>0</v>
      </c>
      <c r="R220" s="581" t="inlineStr">
        <is>
          <t>N/A</t>
        </is>
      </c>
      <c r="S220" s="583" t="n"/>
      <c r="T220" s="30">
        <f>'[1]CAPEX&amp;INVESTMENT'!Y220</f>
        <v/>
      </c>
    </row>
    <row r="221" outlineLevel="1">
      <c r="A221" s="515" t="n"/>
      <c r="B221" s="563" t="inlineStr">
        <is>
          <t>Gas distribution</t>
        </is>
      </c>
      <c r="C221" s="539" t="inlineStr">
        <is>
          <t>[Input of the project name]</t>
        </is>
      </c>
      <c r="D221" s="912" t="inlineStr">
        <is>
          <t>[input: brief description of the project, including:</t>
        </is>
      </c>
      <c r="E221" s="518" t="inlineStr">
        <is>
          <t>thsd</t>
        </is>
      </c>
      <c r="F221" s="518" t="inlineStr">
        <is>
          <t>+</t>
        </is>
      </c>
      <c r="G221" s="576" t="n">
        <v>0</v>
      </c>
      <c r="H221" s="587" t="n"/>
      <c r="I221" s="587" t="n"/>
      <c r="J221" s="587" t="n"/>
      <c r="K221" s="587" t="n"/>
      <c r="L221" s="578" t="n">
        <v>0</v>
      </c>
      <c r="M221" s="581" t="inlineStr">
        <is>
          <t>N/A</t>
        </is>
      </c>
      <c r="N221" s="583" t="n"/>
      <c r="O221" s="587" t="n"/>
      <c r="P221" s="587" t="n"/>
      <c r="Q221" s="578" t="n">
        <v>0</v>
      </c>
      <c r="R221" s="581" t="inlineStr">
        <is>
          <t>N/A</t>
        </is>
      </c>
      <c r="S221" s="583" t="n"/>
      <c r="T221" s="30">
        <f>'[1]CAPEX&amp;INVESTMENT'!Y221</f>
        <v/>
      </c>
    </row>
    <row r="222" outlineLevel="1">
      <c r="A222" s="515" t="n"/>
      <c r="B222" s="563" t="inlineStr">
        <is>
          <t>Gas distribution</t>
        </is>
      </c>
      <c r="C222" s="539" t="inlineStr">
        <is>
          <t>[Input of the project name]</t>
        </is>
      </c>
      <c r="D222" s="912" t="inlineStr">
        <is>
          <t>[input: brief description of the project, including:</t>
        </is>
      </c>
      <c r="E222" s="518" t="inlineStr">
        <is>
          <t>thsd</t>
        </is>
      </c>
      <c r="F222" s="518" t="inlineStr">
        <is>
          <t>+</t>
        </is>
      </c>
      <c r="G222" s="575" t="n">
        <v>0</v>
      </c>
      <c r="H222" s="587" t="n"/>
      <c r="I222" s="587" t="n"/>
      <c r="J222" s="587" t="n"/>
      <c r="K222" s="587" t="n"/>
      <c r="L222" s="578" t="n">
        <v>0</v>
      </c>
      <c r="M222" s="581" t="inlineStr">
        <is>
          <t>N/A</t>
        </is>
      </c>
      <c r="N222" s="583" t="n"/>
      <c r="O222" s="587" t="n"/>
      <c r="P222" s="587" t="n"/>
      <c r="Q222" s="578" t="n">
        <v>0</v>
      </c>
      <c r="R222" s="581" t="inlineStr">
        <is>
          <t>N/A</t>
        </is>
      </c>
      <c r="S222" s="583" t="n"/>
      <c r="T222" s="30">
        <f>'[1]CAPEX&amp;INVESTMENT'!Y222</f>
        <v/>
      </c>
    </row>
    <row r="223" outlineLevel="1">
      <c r="A223" s="515" t="n"/>
      <c r="B223" s="563" t="inlineStr">
        <is>
          <t>Gas distribution</t>
        </is>
      </c>
      <c r="C223" s="539" t="inlineStr">
        <is>
          <t>Other projects</t>
        </is>
      </c>
      <c r="D223" s="912" t="n"/>
      <c r="E223" s="518" t="inlineStr">
        <is>
          <t>thsd</t>
        </is>
      </c>
      <c r="F223" s="518" t="inlineStr">
        <is>
          <t>+</t>
        </is>
      </c>
      <c r="G223" s="576" t="n">
        <v>0</v>
      </c>
      <c r="H223" s="587" t="n"/>
      <c r="I223" s="587" t="n"/>
      <c r="J223" s="587" t="n"/>
      <c r="K223" s="587" t="n"/>
      <c r="L223" s="578" t="n">
        <v>0</v>
      </c>
      <c r="M223" s="581" t="inlineStr">
        <is>
          <t>N/A</t>
        </is>
      </c>
      <c r="N223" s="583" t="n"/>
      <c r="O223" s="587" t="n"/>
      <c r="P223" s="587" t="n"/>
      <c r="Q223" s="578" t="n">
        <v>0</v>
      </c>
      <c r="R223" s="581" t="inlineStr">
        <is>
          <t>N/A</t>
        </is>
      </c>
      <c r="S223" s="583" t="n"/>
      <c r="T223" s="30">
        <f>'[1]CAPEX&amp;INVESTMENT'!Y223</f>
        <v/>
      </c>
    </row>
    <row r="224" outlineLevel="1">
      <c r="A224" s="515" t="n"/>
      <c r="B224" s="563" t="inlineStr">
        <is>
          <t>Gas distribution</t>
        </is>
      </c>
      <c r="C224" s="565" t="inlineStr">
        <is>
          <t>Other type of projects</t>
        </is>
      </c>
      <c r="D224" s="911" t="n"/>
      <c r="E224" s="518" t="inlineStr">
        <is>
          <t>thsd</t>
        </is>
      </c>
      <c r="F224" s="518" t="inlineStr">
        <is>
          <t>+</t>
        </is>
      </c>
      <c r="G224" s="576" t="n">
        <v>7195.8149540518</v>
      </c>
      <c r="H224" s="588">
        <f>SUM(INDIRECT(CHAR(COLUMN()+64)&amp;ROW(H225)&amp;":"&amp;IF(_xlfn.ISFORMULA(INDIRECT((ADDRESS(ROW()-1+MATCH(1,$T225:$T$259,0),COLUMN(),1,1)))),(ADDRESS(ROW()-2+MATCH(1,$T225:$T$259,0),COLUMN(),1,1)),(ADDRESS(ROW()-1+MATCH(1,$T225:$T$259,0),COLUMN(),1,1)))))</f>
        <v/>
      </c>
      <c r="I224" s="588">
        <f>SUM(INDIRECT(CHAR(COLUMN()+64)&amp;ROW(I225)&amp;":"&amp;IF(_xlfn.ISFORMULA(INDIRECT((ADDRESS(ROW()-1+MATCH(1,$T225:$T$259,0),COLUMN(),1,1)))),(ADDRESS(ROW()-2+MATCH(1,$T225:$T$259,0),COLUMN(),1,1)),(ADDRESS(ROW()-1+MATCH(1,$T225:$T$259,0),COLUMN(),1,1)))))</f>
        <v/>
      </c>
      <c r="J224" s="588">
        <f>SUM(INDIRECT(CHAR(COLUMN()+64)&amp;ROW(J225)&amp;":"&amp;IF(_xlfn.ISFORMULA(INDIRECT((ADDRESS(ROW()-1+MATCH(1,$T225:$T$259,0),COLUMN(),1,1)))),(ADDRESS(ROW()-2+MATCH(1,$T225:$T$259,0),COLUMN(),1,1)),(ADDRESS(ROW()-1+MATCH(1,$T225:$T$259,0),COLUMN(),1,1)))))</f>
        <v/>
      </c>
      <c r="K224" s="588">
        <f>SUM(INDIRECT(CHAR(COLUMN()+64)&amp;ROW(K225)&amp;":"&amp;IF(_xlfn.ISFORMULA(INDIRECT((ADDRESS(ROW()-1+MATCH(1,$T225:$T$259,0),COLUMN(),1,1)))),(ADDRESS(ROW()-2+MATCH(1,$T225:$T$259,0),COLUMN(),1,1)),(ADDRESS(ROW()-1+MATCH(1,$T225:$T$259,0),COLUMN(),1,1)))))</f>
        <v/>
      </c>
      <c r="L224" s="578">
        <f/>
        <v/>
      </c>
      <c r="M224" s="581">
        <f/>
        <v/>
      </c>
      <c r="N224" s="583" t="n"/>
      <c r="O224" s="588">
        <f>SUM(INDIRECT(CHAR(COLUMN()+64)&amp;ROW(O225)&amp;":"&amp;IF(_xlfn.ISFORMULA(INDIRECT((ADDRESS(ROW()-1+MATCH(1,$T225:$T$259,0),COLUMN(),1,1)))),(ADDRESS(ROW()-2+MATCH(1,$T225:$T$259,0),COLUMN(),1,1)),(ADDRESS(ROW()-1+MATCH(1,$T225:$T$259,0),COLUMN(),1,1)))))</f>
        <v/>
      </c>
      <c r="P224" s="588">
        <f>SUM(INDIRECT(CHAR(COLUMN()+64)&amp;ROW(P225)&amp;":"&amp;IF(_xlfn.ISFORMULA(INDIRECT((ADDRESS(ROW()-1+MATCH(1,$T225:$T$259,0),COLUMN(),1,1)))),(ADDRESS(ROW()-2+MATCH(1,$T225:$T$259,0),COLUMN(),1,1)),(ADDRESS(ROW()-1+MATCH(1,$T225:$T$259,0),COLUMN(),1,1)))))</f>
        <v/>
      </c>
      <c r="Q224" s="578">
        <f/>
        <v/>
      </c>
      <c r="R224" s="581">
        <f/>
        <v/>
      </c>
      <c r="S224" s="583" t="n"/>
      <c r="T224" s="30">
        <f>'[1]CAPEX&amp;INVESTMENT'!Y224</f>
        <v/>
      </c>
    </row>
    <row r="225" outlineLevel="1">
      <c r="A225" s="515" t="n"/>
      <c r="B225" s="563" t="inlineStr">
        <is>
          <t>Gas distribution</t>
        </is>
      </c>
      <c r="C225" s="539" t="inlineStr">
        <is>
          <t>[Input of the project name]</t>
        </is>
      </c>
      <c r="D225" s="912" t="inlineStr">
        <is>
          <t>[input: brief description of the project, including:</t>
        </is>
      </c>
      <c r="E225" s="518" t="inlineStr">
        <is>
          <t>thsd</t>
        </is>
      </c>
      <c r="F225" s="518" t="inlineStr">
        <is>
          <t>+</t>
        </is>
      </c>
      <c r="G225" s="576" t="n">
        <v>7195.8149540518</v>
      </c>
      <c r="H225" s="587" t="n">
        <v>2844.180315311965</v>
      </c>
      <c r="I225" s="587" t="n">
        <v>7195.8149540518</v>
      </c>
      <c r="J225" s="587" t="n">
        <v>216.8570238714955</v>
      </c>
      <c r="K225" s="587" t="n">
        <v>780.1625002984166</v>
      </c>
      <c r="L225" s="578" t="n">
        <v>-563.3054764269211</v>
      </c>
      <c r="M225" s="581" t="n">
        <v>-0.7220360837792813</v>
      </c>
      <c r="N225" s="583" t="n"/>
      <c r="O225" s="587" t="n">
        <v>2844.180315311965</v>
      </c>
      <c r="P225" s="587" t="n">
        <v>7195.8149540518</v>
      </c>
      <c r="Q225" s="578" t="n">
        <v>-4351.634638739834</v>
      </c>
      <c r="R225" s="581" t="n">
        <v>-0.6047452118386574</v>
      </c>
      <c r="S225" s="583" t="n"/>
      <c r="T225" s="30">
        <f>'[1]CAPEX&amp;INVESTMENT'!Y225</f>
        <v/>
      </c>
    </row>
    <row r="226" outlineLevel="1">
      <c r="A226" s="515" t="n"/>
      <c r="B226" s="563" t="inlineStr">
        <is>
          <t>Gas distribution</t>
        </is>
      </c>
      <c r="C226" s="539" t="inlineStr">
        <is>
          <t>[Input of the project name]</t>
        </is>
      </c>
      <c r="D226" s="912" t="inlineStr">
        <is>
          <t>[input: brief description of the project, including:</t>
        </is>
      </c>
      <c r="E226" s="518" t="inlineStr">
        <is>
          <t>thsd</t>
        </is>
      </c>
      <c r="F226" s="518" t="inlineStr">
        <is>
          <t>+</t>
        </is>
      </c>
      <c r="G226" s="576" t="n">
        <v>0</v>
      </c>
      <c r="H226" s="587" t="n"/>
      <c r="I226" s="587" t="n"/>
      <c r="J226" s="587" t="n"/>
      <c r="K226" s="587" t="n"/>
      <c r="L226" s="578" t="n">
        <v>0</v>
      </c>
      <c r="M226" s="581" t="inlineStr">
        <is>
          <t>N/A</t>
        </is>
      </c>
      <c r="N226" s="583" t="n"/>
      <c r="O226" s="587" t="n"/>
      <c r="P226" s="587" t="n"/>
      <c r="Q226" s="578" t="n">
        <v>0</v>
      </c>
      <c r="R226" s="581" t="inlineStr">
        <is>
          <t>N/A</t>
        </is>
      </c>
      <c r="S226" s="583" t="n"/>
      <c r="T226" s="30">
        <f>'[1]CAPEX&amp;INVESTMENT'!Y226</f>
        <v/>
      </c>
    </row>
    <row r="227" outlineLevel="1">
      <c r="A227" s="515" t="n"/>
      <c r="B227" s="563" t="inlineStr">
        <is>
          <t>Gas distribution</t>
        </is>
      </c>
      <c r="C227" s="539" t="inlineStr">
        <is>
          <t>[Input of the project name]</t>
        </is>
      </c>
      <c r="D227" s="912" t="inlineStr">
        <is>
          <t>[input: brief description of the project, including:</t>
        </is>
      </c>
      <c r="E227" s="518" t="inlineStr">
        <is>
          <t>thsd</t>
        </is>
      </c>
      <c r="F227" s="518" t="inlineStr">
        <is>
          <t>+</t>
        </is>
      </c>
      <c r="G227" s="576" t="n">
        <v>0</v>
      </c>
      <c r="H227" s="587" t="n"/>
      <c r="I227" s="587" t="n"/>
      <c r="J227" s="587" t="n"/>
      <c r="K227" s="587" t="n"/>
      <c r="L227" s="578" t="n">
        <v>0</v>
      </c>
      <c r="M227" s="581" t="inlineStr">
        <is>
          <t>N/A</t>
        </is>
      </c>
      <c r="N227" s="583" t="n"/>
      <c r="O227" s="587" t="n"/>
      <c r="P227" s="587" t="n"/>
      <c r="Q227" s="578" t="n">
        <v>0</v>
      </c>
      <c r="R227" s="581" t="inlineStr">
        <is>
          <t>N/A</t>
        </is>
      </c>
      <c r="S227" s="583" t="n"/>
      <c r="T227" s="30">
        <f>'[1]CAPEX&amp;INVESTMENT'!Y227</f>
        <v/>
      </c>
    </row>
    <row r="228" outlineLevel="1">
      <c r="A228" s="515" t="n"/>
      <c r="B228" s="563" t="inlineStr">
        <is>
          <t>Gas distribution</t>
        </is>
      </c>
      <c r="C228" s="539" t="inlineStr">
        <is>
          <t>[Input of the project name]</t>
        </is>
      </c>
      <c r="D228" s="912" t="inlineStr">
        <is>
          <t>[input: brief description of the project, including:</t>
        </is>
      </c>
      <c r="E228" s="518" t="inlineStr">
        <is>
          <t>thsd</t>
        </is>
      </c>
      <c r="F228" s="518" t="inlineStr">
        <is>
          <t>+</t>
        </is>
      </c>
      <c r="G228" s="576" t="n">
        <v>0</v>
      </c>
      <c r="H228" s="587" t="n"/>
      <c r="I228" s="587" t="n"/>
      <c r="J228" s="587" t="n"/>
      <c r="K228" s="587" t="n"/>
      <c r="L228" s="578" t="n">
        <v>0</v>
      </c>
      <c r="M228" s="581" t="inlineStr">
        <is>
          <t>N/A</t>
        </is>
      </c>
      <c r="N228" s="583" t="n"/>
      <c r="O228" s="587" t="n"/>
      <c r="P228" s="587" t="n"/>
      <c r="Q228" s="578" t="n">
        <v>0</v>
      </c>
      <c r="R228" s="581" t="inlineStr">
        <is>
          <t>N/A</t>
        </is>
      </c>
      <c r="S228" s="583" t="n"/>
      <c r="T228" s="30">
        <f>'[1]CAPEX&amp;INVESTMENT'!Y228</f>
        <v/>
      </c>
    </row>
    <row r="229" outlineLevel="1">
      <c r="A229" s="515" t="n"/>
      <c r="B229" s="563" t="inlineStr">
        <is>
          <t>Gas distribution</t>
        </is>
      </c>
      <c r="C229" s="539" t="inlineStr">
        <is>
          <t>[Input of the project name]</t>
        </is>
      </c>
      <c r="D229" s="912" t="inlineStr">
        <is>
          <t>[input: brief description of the project, including:</t>
        </is>
      </c>
      <c r="E229" s="518" t="inlineStr">
        <is>
          <t>thsd</t>
        </is>
      </c>
      <c r="F229" s="518" t="inlineStr">
        <is>
          <t>+</t>
        </is>
      </c>
      <c r="G229" s="576" t="n">
        <v>0</v>
      </c>
      <c r="H229" s="587" t="n"/>
      <c r="I229" s="587" t="n"/>
      <c r="J229" s="587" t="n"/>
      <c r="K229" s="587" t="n"/>
      <c r="L229" s="578" t="n">
        <v>0</v>
      </c>
      <c r="M229" s="581" t="inlineStr">
        <is>
          <t>N/A</t>
        </is>
      </c>
      <c r="N229" s="583" t="n"/>
      <c r="O229" s="587" t="n"/>
      <c r="P229" s="587" t="n"/>
      <c r="Q229" s="578" t="n">
        <v>0</v>
      </c>
      <c r="R229" s="581" t="inlineStr">
        <is>
          <t>N/A</t>
        </is>
      </c>
      <c r="S229" s="583" t="n"/>
      <c r="T229" s="30">
        <f>'[1]CAPEX&amp;INVESTMENT'!Y229</f>
        <v/>
      </c>
    </row>
    <row r="230" outlineLevel="1">
      <c r="A230" s="515" t="n"/>
      <c r="B230" s="563" t="inlineStr">
        <is>
          <t>Gas distribution</t>
        </is>
      </c>
      <c r="C230" s="539" t="inlineStr">
        <is>
          <t>[Input of the project name]</t>
        </is>
      </c>
      <c r="D230" s="912" t="inlineStr">
        <is>
          <t>[input: brief description of the project, including:</t>
        </is>
      </c>
      <c r="E230" s="518" t="inlineStr">
        <is>
          <t>thsd</t>
        </is>
      </c>
      <c r="F230" s="518" t="inlineStr">
        <is>
          <t>+</t>
        </is>
      </c>
      <c r="G230" s="576" t="n">
        <v>0</v>
      </c>
      <c r="H230" s="587" t="n"/>
      <c r="I230" s="587" t="n"/>
      <c r="J230" s="587" t="n"/>
      <c r="K230" s="587" t="n"/>
      <c r="L230" s="578" t="n">
        <v>0</v>
      </c>
      <c r="M230" s="581" t="inlineStr">
        <is>
          <t>N/A</t>
        </is>
      </c>
      <c r="N230" s="583" t="n"/>
      <c r="O230" s="587" t="n"/>
      <c r="P230" s="587" t="n"/>
      <c r="Q230" s="578" t="n">
        <v>0</v>
      </c>
      <c r="R230" s="581" t="inlineStr">
        <is>
          <t>N/A</t>
        </is>
      </c>
      <c r="S230" s="583" t="n"/>
      <c r="T230" s="30">
        <f>'[1]CAPEX&amp;INVESTMENT'!Y230</f>
        <v/>
      </c>
    </row>
    <row r="231" outlineLevel="1">
      <c r="A231" s="515" t="n"/>
      <c r="B231" s="563" t="inlineStr">
        <is>
          <t>Gas distribution</t>
        </is>
      </c>
      <c r="C231" s="539" t="inlineStr">
        <is>
          <t>[Input of the project name]</t>
        </is>
      </c>
      <c r="D231" s="912" t="inlineStr">
        <is>
          <t>[input: brief description of the project, including:</t>
        </is>
      </c>
      <c r="E231" s="518" t="inlineStr">
        <is>
          <t>thsd</t>
        </is>
      </c>
      <c r="F231" s="518" t="inlineStr">
        <is>
          <t>+</t>
        </is>
      </c>
      <c r="G231" s="576" t="n">
        <v>0</v>
      </c>
      <c r="H231" s="587" t="n"/>
      <c r="I231" s="587" t="n"/>
      <c r="J231" s="587" t="n"/>
      <c r="K231" s="587" t="n"/>
      <c r="L231" s="578" t="n">
        <v>0</v>
      </c>
      <c r="M231" s="581" t="inlineStr">
        <is>
          <t>N/A</t>
        </is>
      </c>
      <c r="N231" s="583" t="n"/>
      <c r="O231" s="587" t="n"/>
      <c r="P231" s="587" t="n"/>
      <c r="Q231" s="578" t="n">
        <v>0</v>
      </c>
      <c r="R231" s="581" t="inlineStr">
        <is>
          <t>N/A</t>
        </is>
      </c>
      <c r="S231" s="583" t="n"/>
      <c r="T231" s="30">
        <f>'[1]CAPEX&amp;INVESTMENT'!Y231</f>
        <v/>
      </c>
    </row>
    <row r="232" outlineLevel="1">
      <c r="A232" s="515" t="n"/>
      <c r="B232" s="563" t="inlineStr">
        <is>
          <t>Gas distribution</t>
        </is>
      </c>
      <c r="C232" s="539" t="inlineStr">
        <is>
          <t>[Input of the project name]</t>
        </is>
      </c>
      <c r="D232" s="912" t="inlineStr">
        <is>
          <t>[input: brief description of the project, including:</t>
        </is>
      </c>
      <c r="E232" s="518" t="inlineStr">
        <is>
          <t>thsd</t>
        </is>
      </c>
      <c r="F232" s="518" t="inlineStr">
        <is>
          <t>+</t>
        </is>
      </c>
      <c r="G232" s="576" t="n">
        <v>0</v>
      </c>
      <c r="H232" s="587" t="n"/>
      <c r="I232" s="587" t="n"/>
      <c r="J232" s="587" t="n"/>
      <c r="K232" s="587" t="n"/>
      <c r="L232" s="578" t="n">
        <v>0</v>
      </c>
      <c r="M232" s="581" t="inlineStr">
        <is>
          <t>N/A</t>
        </is>
      </c>
      <c r="N232" s="583" t="n"/>
      <c r="O232" s="587" t="n"/>
      <c r="P232" s="587" t="n"/>
      <c r="Q232" s="578" t="n">
        <v>0</v>
      </c>
      <c r="R232" s="581" t="inlineStr">
        <is>
          <t>N/A</t>
        </is>
      </c>
      <c r="S232" s="583" t="n"/>
      <c r="T232" s="30">
        <f>'[1]CAPEX&amp;INVESTMENT'!Y232</f>
        <v/>
      </c>
    </row>
    <row r="233" outlineLevel="1">
      <c r="A233" s="515" t="n"/>
      <c r="B233" s="563" t="inlineStr">
        <is>
          <t>Gas distribution</t>
        </is>
      </c>
      <c r="C233" s="539" t="inlineStr">
        <is>
          <t>[Input of the project name]</t>
        </is>
      </c>
      <c r="D233" s="912" t="inlineStr">
        <is>
          <t>[input: brief description of the project, including:</t>
        </is>
      </c>
      <c r="E233" s="518" t="inlineStr">
        <is>
          <t>thsd</t>
        </is>
      </c>
      <c r="F233" s="518" t="inlineStr">
        <is>
          <t>+</t>
        </is>
      </c>
      <c r="G233" s="576" t="n">
        <v>0</v>
      </c>
      <c r="H233" s="587" t="n"/>
      <c r="I233" s="587" t="n"/>
      <c r="J233" s="587" t="n"/>
      <c r="K233" s="587" t="n"/>
      <c r="L233" s="578" t="n">
        <v>0</v>
      </c>
      <c r="M233" s="581" t="inlineStr">
        <is>
          <t>N/A</t>
        </is>
      </c>
      <c r="N233" s="583" t="n"/>
      <c r="O233" s="587" t="n"/>
      <c r="P233" s="587" t="n"/>
      <c r="Q233" s="578" t="n">
        <v>0</v>
      </c>
      <c r="R233" s="581" t="inlineStr">
        <is>
          <t>N/A</t>
        </is>
      </c>
      <c r="S233" s="583" t="n"/>
      <c r="T233" s="30">
        <f>'[1]CAPEX&amp;INVESTMENT'!Y233</f>
        <v/>
      </c>
    </row>
    <row r="234" outlineLevel="1">
      <c r="A234" s="515" t="n"/>
      <c r="B234" s="563" t="inlineStr">
        <is>
          <t>Gas distribution</t>
        </is>
      </c>
      <c r="C234" s="539" t="inlineStr">
        <is>
          <t>[Input of the project name]</t>
        </is>
      </c>
      <c r="D234" s="912" t="inlineStr">
        <is>
          <t>[input: brief description of the project, including:</t>
        </is>
      </c>
      <c r="E234" s="518" t="inlineStr">
        <is>
          <t>thsd</t>
        </is>
      </c>
      <c r="F234" s="518" t="inlineStr">
        <is>
          <t>+</t>
        </is>
      </c>
      <c r="G234" s="576" t="n">
        <v>0</v>
      </c>
      <c r="H234" s="587" t="n"/>
      <c r="I234" s="587" t="n"/>
      <c r="J234" s="587" t="n"/>
      <c r="K234" s="587" t="n"/>
      <c r="L234" s="578" t="n">
        <v>0</v>
      </c>
      <c r="M234" s="581" t="inlineStr">
        <is>
          <t>N/A</t>
        </is>
      </c>
      <c r="N234" s="583" t="n"/>
      <c r="O234" s="587" t="n"/>
      <c r="P234" s="587" t="n"/>
      <c r="Q234" s="578" t="n">
        <v>0</v>
      </c>
      <c r="R234" s="581" t="inlineStr">
        <is>
          <t>N/A</t>
        </is>
      </c>
      <c r="S234" s="583" t="n"/>
      <c r="T234" s="30">
        <f>'[1]CAPEX&amp;INVESTMENT'!Y234</f>
        <v/>
      </c>
    </row>
    <row r="235" outlineLevel="1">
      <c r="A235" s="515" t="n"/>
      <c r="B235" s="563" t="inlineStr">
        <is>
          <t>Gas distribution</t>
        </is>
      </c>
      <c r="C235" s="539" t="inlineStr">
        <is>
          <t>[Input of the project name]</t>
        </is>
      </c>
      <c r="D235" s="912" t="inlineStr">
        <is>
          <t>[input: brief description of the project, including:</t>
        </is>
      </c>
      <c r="E235" s="518" t="inlineStr">
        <is>
          <t>thsd</t>
        </is>
      </c>
      <c r="F235" s="518" t="inlineStr">
        <is>
          <t>+</t>
        </is>
      </c>
      <c r="G235" s="576" t="n">
        <v>0</v>
      </c>
      <c r="H235" s="587" t="n"/>
      <c r="I235" s="587" t="n"/>
      <c r="J235" s="587" t="n"/>
      <c r="K235" s="587" t="n"/>
      <c r="L235" s="578" t="n">
        <v>0</v>
      </c>
      <c r="M235" s="581" t="inlineStr">
        <is>
          <t>N/A</t>
        </is>
      </c>
      <c r="N235" s="583" t="n"/>
      <c r="O235" s="587" t="n"/>
      <c r="P235" s="587" t="n"/>
      <c r="Q235" s="578" t="n">
        <v>0</v>
      </c>
      <c r="R235" s="581" t="inlineStr">
        <is>
          <t>N/A</t>
        </is>
      </c>
      <c r="S235" s="583" t="n"/>
      <c r="T235" s="30">
        <f>'[1]CAPEX&amp;INVESTMENT'!Y235</f>
        <v/>
      </c>
    </row>
    <row r="236" outlineLevel="1">
      <c r="A236" s="515" t="n"/>
      <c r="B236" s="563" t="inlineStr">
        <is>
          <t>Gas distribution</t>
        </is>
      </c>
      <c r="C236" s="539" t="inlineStr">
        <is>
          <t>Other projects</t>
        </is>
      </c>
      <c r="D236" s="912" t="n"/>
      <c r="E236" s="518" t="inlineStr">
        <is>
          <t>thsd</t>
        </is>
      </c>
      <c r="F236" s="518" t="inlineStr">
        <is>
          <t>+</t>
        </is>
      </c>
      <c r="G236" s="575" t="n">
        <v>0</v>
      </c>
      <c r="H236" s="587" t="n"/>
      <c r="I236" s="587" t="n"/>
      <c r="J236" s="587" t="n"/>
      <c r="K236" s="587" t="n"/>
      <c r="L236" s="578" t="n">
        <v>0</v>
      </c>
      <c r="M236" s="581" t="inlineStr">
        <is>
          <t>N/A</t>
        </is>
      </c>
      <c r="N236" s="583" t="n"/>
      <c r="O236" s="587" t="n"/>
      <c r="P236" s="587" t="n"/>
      <c r="Q236" s="578" t="n">
        <v>0</v>
      </c>
      <c r="R236" s="581" t="inlineStr">
        <is>
          <t>N/A</t>
        </is>
      </c>
      <c r="S236" s="583" t="n"/>
      <c r="T236" s="30">
        <f>'[1]CAPEX&amp;INVESTMENT'!Y236</f>
        <v/>
      </c>
    </row>
    <row r="237" outlineLevel="1">
      <c r="A237" s="515" t="n"/>
      <c r="B237" s="562" t="inlineStr">
        <is>
          <t>All segments</t>
        </is>
      </c>
      <c r="C237" s="569" t="inlineStr">
        <is>
          <t>Total</t>
        </is>
      </c>
      <c r="D237" s="914" t="inlineStr">
        <is>
          <t>Cəmi</t>
        </is>
      </c>
      <c r="E237" s="518" t="inlineStr">
        <is>
          <t>thsd</t>
        </is>
      </c>
      <c r="F237" s="518" t="inlineStr">
        <is>
          <t>+</t>
        </is>
      </c>
      <c r="G237" s="576" t="n">
        <v>0</v>
      </c>
      <c r="H237" s="576">
        <f t="array" ref="H237">SUMPRODUCT(--(($B238:$B$257)=$B237),--(_xlfn.ISFORMULA(H238:H$257)=TRUE),H238:H$257)</f>
        <v/>
      </c>
      <c r="I237" s="576">
        <f t="array" ref="I237">SUMPRODUCT(--(($B238:$B$255)=$B237),--(_xlfn.ISFORMULA(I238:I$255)=TRUE),I238:I$255)</f>
        <v/>
      </c>
      <c r="J237" s="576">
        <f t="array" ref="J237">SUMPRODUCT(--(($B238:$B$255)=$B237),--(_xlfn.ISFORMULA(J238:J$255)=TRUE),J238:J$255)</f>
        <v/>
      </c>
      <c r="K237" s="576">
        <f t="array" ref="K237">SUMPRODUCT(--(($B238:$B$255)=$B237),--(_xlfn.ISFORMULA(K238:K$255)=TRUE),K238:K$255)</f>
        <v/>
      </c>
      <c r="L237" s="577">
        <f/>
        <v/>
      </c>
      <c r="M237" s="580">
        <f/>
        <v/>
      </c>
      <c r="N237" s="583" t="n"/>
      <c r="O237" s="576">
        <f t="array" ref="O237">SUMPRODUCT(--(($B238:$B$255)=$B237),--(_xlfn.ISFORMULA(O238:O$255)=TRUE),O238:O$255)</f>
        <v/>
      </c>
      <c r="P237" s="576">
        <f t="array" ref="P237">SUMPRODUCT(--(($B238:$B$255)=$B237),--(_xlfn.ISFORMULA(P238:P$255)=TRUE),P238:P$255)</f>
        <v/>
      </c>
      <c r="Q237" s="577">
        <f/>
        <v/>
      </c>
      <c r="R237" s="580">
        <f/>
        <v/>
      </c>
      <c r="S237" s="583" t="n"/>
      <c r="T237" s="30">
        <f>'[1]CAPEX&amp;INVESTMENT'!Y237</f>
        <v/>
      </c>
    </row>
    <row r="238" outlineLevel="1">
      <c r="A238" s="515" t="n"/>
      <c r="B238" s="563" t="inlineStr">
        <is>
          <t>All segments</t>
        </is>
      </c>
      <c r="C238" s="565" t="inlineStr">
        <is>
          <t>All projects of strategic importance</t>
        </is>
      </c>
      <c r="D238" s="911" t="n"/>
      <c r="E238" s="518" t="inlineStr">
        <is>
          <t>thsd</t>
        </is>
      </c>
      <c r="F238" s="518" t="inlineStr">
        <is>
          <t>+</t>
        </is>
      </c>
      <c r="G238" s="576" t="n">
        <v>0</v>
      </c>
      <c r="H238" s="588">
        <f>SUM(INDIRECT(CHAR(COLUMN()+64)&amp;ROW(H239)&amp;":"&amp;IF(_xlfn.ISFORMULA(INDIRECT((ADDRESS(ROW()-1+MATCH(1,$T239:$T$259,0),COLUMN(),1,1)))),(ADDRESS(ROW()-2+MATCH(1,$T239:$T$259,0),COLUMN(),1,1)),(ADDRESS(ROW()-1+MATCH(1,$T239:$T$259,0),COLUMN(),1,1)))))</f>
        <v/>
      </c>
      <c r="I238" s="588">
        <f>SUM(INDIRECT(CHAR(COLUMN()+64)&amp;ROW(I239)&amp;":"&amp;IF(_xlfn.ISFORMULA(INDIRECT((ADDRESS(ROW()-1+MATCH(1,$T239:$T$259,0),COLUMN(),1,1)))),(ADDRESS(ROW()-2+MATCH(1,$T239:$T$259,0),COLUMN(),1,1)),(ADDRESS(ROW()-1+MATCH(1,$T239:$T$259,0),COLUMN(),1,1)))))</f>
        <v/>
      </c>
      <c r="J238" s="588">
        <f>SUM(INDIRECT(CHAR(COLUMN()+64)&amp;ROW(J239)&amp;":"&amp;IF(_xlfn.ISFORMULA(INDIRECT((ADDRESS(ROW()-1+MATCH(1,$T239:$T$259,0),COLUMN(),1,1)))),(ADDRESS(ROW()-2+MATCH(1,$T239:$T$259,0),COLUMN(),1,1)),(ADDRESS(ROW()-1+MATCH(1,$T239:$T$259,0),COLUMN(),1,1)))))</f>
        <v/>
      </c>
      <c r="K238" s="588">
        <f>SUM(INDIRECT(CHAR(COLUMN()+64)&amp;ROW(K239)&amp;":"&amp;IF(_xlfn.ISFORMULA(INDIRECT((ADDRESS(ROW()-1+MATCH(1,$T239:$T$259,0),COLUMN(),1,1)))),(ADDRESS(ROW()-2+MATCH(1,$T239:$T$259,0),COLUMN(),1,1)),(ADDRESS(ROW()-1+MATCH(1,$T239:$T$259,0),COLUMN(),1,1)))))</f>
        <v/>
      </c>
      <c r="L238" s="578">
        <f/>
        <v/>
      </c>
      <c r="M238" s="581">
        <f/>
        <v/>
      </c>
      <c r="N238" s="583" t="n"/>
      <c r="O238" s="588">
        <f>SUM(INDIRECT(CHAR(COLUMN()+64)&amp;ROW(O239)&amp;":"&amp;IF(_xlfn.ISFORMULA(INDIRECT((ADDRESS(ROW()-1+MATCH(1,$T239:$T$259,0),COLUMN(),1,1)))),(ADDRESS(ROW()-2+MATCH(1,$T239:$T$259,0),COLUMN(),1,1)),(ADDRESS(ROW()-1+MATCH(1,$T239:$T$259,0),COLUMN(),1,1)))))</f>
        <v/>
      </c>
      <c r="P238" s="588">
        <f>SUM(INDIRECT(CHAR(COLUMN()+64)&amp;ROW(P239)&amp;":"&amp;IF(_xlfn.ISFORMULA(INDIRECT((ADDRESS(ROW()-1+MATCH(1,$T239:$T$259,0),COLUMN(),1,1)))),(ADDRESS(ROW()-2+MATCH(1,$T239:$T$259,0),COLUMN(),1,1)),(ADDRESS(ROW()-1+MATCH(1,$T239:$T$259,0),COLUMN(),1,1)))))</f>
        <v/>
      </c>
      <c r="Q238" s="578">
        <f/>
        <v/>
      </c>
      <c r="R238" s="581">
        <f/>
        <v/>
      </c>
      <c r="S238" s="583" t="n"/>
      <c r="T238" s="30">
        <f>'[1]CAPEX&amp;INVESTMENT'!Y238</f>
        <v/>
      </c>
    </row>
    <row r="239" outlineLevel="1">
      <c r="A239" s="515" t="n"/>
      <c r="B239" s="563" t="inlineStr">
        <is>
          <t>Please select segment</t>
        </is>
      </c>
      <c r="C239" s="539" t="inlineStr">
        <is>
          <t>[Input of the project name]</t>
        </is>
      </c>
      <c r="D239" s="912" t="inlineStr">
        <is>
          <t>[input: brief description of the project, including:</t>
        </is>
      </c>
      <c r="E239" s="518" t="inlineStr">
        <is>
          <t>thsd</t>
        </is>
      </c>
      <c r="F239" s="518" t="inlineStr">
        <is>
          <t>+</t>
        </is>
      </c>
      <c r="G239" s="576" t="n">
        <v>0</v>
      </c>
      <c r="H239" s="587" t="n"/>
      <c r="I239" s="587" t="n"/>
      <c r="J239" s="587" t="n"/>
      <c r="K239" s="587" t="n"/>
      <c r="L239" s="578" t="n">
        <v>0</v>
      </c>
      <c r="M239" s="581" t="inlineStr">
        <is>
          <t>N/A</t>
        </is>
      </c>
      <c r="N239" s="583" t="n"/>
      <c r="O239" s="587" t="n"/>
      <c r="P239" s="587" t="n"/>
      <c r="Q239" s="578" t="n">
        <v>0</v>
      </c>
      <c r="R239" s="581" t="inlineStr">
        <is>
          <t>N/A</t>
        </is>
      </c>
      <c r="S239" s="583" t="n"/>
      <c r="T239" s="30">
        <f>'[1]CAPEX&amp;INVESTMENT'!Y239</f>
        <v/>
      </c>
    </row>
    <row r="240" outlineLevel="1">
      <c r="A240" s="515" t="n"/>
      <c r="B240" s="563" t="inlineStr">
        <is>
          <t>Please select segment</t>
        </is>
      </c>
      <c r="C240" s="539" t="inlineStr">
        <is>
          <t>[Input of the project name]</t>
        </is>
      </c>
      <c r="D240" s="912" t="inlineStr">
        <is>
          <t>[input: brief description of the project, including:</t>
        </is>
      </c>
      <c r="E240" s="518" t="inlineStr">
        <is>
          <t>thsd</t>
        </is>
      </c>
      <c r="F240" s="518" t="inlineStr">
        <is>
          <t>+</t>
        </is>
      </c>
      <c r="G240" s="576" t="n">
        <v>0</v>
      </c>
      <c r="H240" s="587" t="n"/>
      <c r="I240" s="587" t="n"/>
      <c r="J240" s="587" t="n"/>
      <c r="K240" s="587" t="n"/>
      <c r="L240" s="578" t="n">
        <v>0</v>
      </c>
      <c r="M240" s="581" t="inlineStr">
        <is>
          <t>N/A</t>
        </is>
      </c>
      <c r="N240" s="583" t="n"/>
      <c r="O240" s="587" t="n"/>
      <c r="P240" s="587" t="n"/>
      <c r="Q240" s="578" t="n">
        <v>0</v>
      </c>
      <c r="R240" s="581" t="inlineStr">
        <is>
          <t>N/A</t>
        </is>
      </c>
      <c r="S240" s="583" t="n"/>
      <c r="T240" s="30">
        <f>'[1]CAPEX&amp;INVESTMENT'!Y240</f>
        <v/>
      </c>
    </row>
    <row r="241" outlineLevel="1">
      <c r="A241" s="515" t="n"/>
      <c r="B241" s="563" t="inlineStr">
        <is>
          <t>Please select segment</t>
        </is>
      </c>
      <c r="C241" s="539" t="inlineStr">
        <is>
          <t>[Input of the project name]</t>
        </is>
      </c>
      <c r="D241" s="912" t="inlineStr">
        <is>
          <t>[input: brief description of the project, including:</t>
        </is>
      </c>
      <c r="E241" s="518" t="inlineStr">
        <is>
          <t>thsd</t>
        </is>
      </c>
      <c r="F241" s="518" t="inlineStr">
        <is>
          <t>+</t>
        </is>
      </c>
      <c r="G241" s="576" t="n">
        <v>0</v>
      </c>
      <c r="H241" s="587" t="n"/>
      <c r="I241" s="587" t="n"/>
      <c r="J241" s="587" t="n"/>
      <c r="K241" s="587" t="n"/>
      <c r="L241" s="578" t="n">
        <v>0</v>
      </c>
      <c r="M241" s="581" t="inlineStr">
        <is>
          <t>N/A</t>
        </is>
      </c>
      <c r="N241" s="583" t="n"/>
      <c r="O241" s="587" t="n"/>
      <c r="P241" s="587" t="n"/>
      <c r="Q241" s="578" t="n">
        <v>0</v>
      </c>
      <c r="R241" s="581" t="inlineStr">
        <is>
          <t>N/A</t>
        </is>
      </c>
      <c r="S241" s="583" t="n"/>
      <c r="T241" s="30">
        <f>'[1]CAPEX&amp;INVESTMENT'!Y241</f>
        <v/>
      </c>
    </row>
    <row r="242" outlineLevel="1">
      <c r="A242" s="515" t="n"/>
      <c r="B242" s="563" t="inlineStr">
        <is>
          <t>Please select segment</t>
        </is>
      </c>
      <c r="C242" s="539" t="inlineStr">
        <is>
          <t>[Input of the project name]</t>
        </is>
      </c>
      <c r="D242" s="912" t="inlineStr">
        <is>
          <t>[input: brief description of the project, including:</t>
        </is>
      </c>
      <c r="E242" s="518" t="inlineStr">
        <is>
          <t>thsd</t>
        </is>
      </c>
      <c r="F242" s="518" t="inlineStr">
        <is>
          <t>+</t>
        </is>
      </c>
      <c r="G242" s="576" t="n">
        <v>0</v>
      </c>
      <c r="H242" s="587" t="n"/>
      <c r="I242" s="587" t="n"/>
      <c r="J242" s="587" t="n"/>
      <c r="K242" s="587" t="n"/>
      <c r="L242" s="578" t="n">
        <v>0</v>
      </c>
      <c r="M242" s="581" t="inlineStr">
        <is>
          <t>N/A</t>
        </is>
      </c>
      <c r="N242" s="583" t="n"/>
      <c r="O242" s="587" t="n"/>
      <c r="P242" s="587" t="n"/>
      <c r="Q242" s="578" t="n">
        <v>0</v>
      </c>
      <c r="R242" s="581" t="inlineStr">
        <is>
          <t>N/A</t>
        </is>
      </c>
      <c r="S242" s="583" t="n"/>
      <c r="T242" s="30">
        <f>'[1]CAPEX&amp;INVESTMENT'!Y242</f>
        <v/>
      </c>
    </row>
    <row r="243" outlineLevel="1">
      <c r="A243" s="515" t="n"/>
      <c r="B243" s="563" t="inlineStr">
        <is>
          <t>Please select segment</t>
        </is>
      </c>
      <c r="C243" s="539" t="inlineStr">
        <is>
          <t>[Input of the project name]</t>
        </is>
      </c>
      <c r="D243" s="912" t="inlineStr">
        <is>
          <t>[input: brief description of the project, including:</t>
        </is>
      </c>
      <c r="E243" s="518" t="inlineStr">
        <is>
          <t>thsd</t>
        </is>
      </c>
      <c r="F243" s="518" t="inlineStr">
        <is>
          <t>+</t>
        </is>
      </c>
      <c r="G243" s="576" t="n">
        <v>0</v>
      </c>
      <c r="H243" s="587" t="n"/>
      <c r="I243" s="587" t="n"/>
      <c r="J243" s="587" t="n"/>
      <c r="K243" s="587" t="n"/>
      <c r="L243" s="578" t="n">
        <v>0</v>
      </c>
      <c r="M243" s="581" t="inlineStr">
        <is>
          <t>N/A</t>
        </is>
      </c>
      <c r="N243" s="583" t="n"/>
      <c r="O243" s="587" t="n"/>
      <c r="P243" s="587" t="n"/>
      <c r="Q243" s="578" t="n">
        <v>0</v>
      </c>
      <c r="R243" s="581" t="inlineStr">
        <is>
          <t>N/A</t>
        </is>
      </c>
      <c r="S243" s="583" t="n"/>
      <c r="T243" s="30">
        <f>'[1]CAPEX&amp;INVESTMENT'!Y243</f>
        <v/>
      </c>
    </row>
    <row r="244" outlineLevel="1">
      <c r="A244" s="515" t="n"/>
      <c r="B244" s="562" t="inlineStr">
        <is>
          <t xml:space="preserve">All other segments </t>
        </is>
      </c>
      <c r="C244" s="569" t="inlineStr">
        <is>
          <t>Total</t>
        </is>
      </c>
      <c r="D244" s="914" t="inlineStr">
        <is>
          <t>Cəmi</t>
        </is>
      </c>
      <c r="E244" s="518" t="inlineStr">
        <is>
          <t>thsd</t>
        </is>
      </c>
      <c r="F244" s="518" t="inlineStr">
        <is>
          <t>+</t>
        </is>
      </c>
      <c r="G244" s="576" t="n">
        <v>0</v>
      </c>
      <c r="H244" s="576">
        <f t="array" ref="H244">SUMPRODUCT(--(($B245:$B$255)=$B244),--(_xlfn.ISFORMULA(H245:H$255)=TRUE),H245:H$255)</f>
        <v/>
      </c>
      <c r="I244" s="576">
        <f t="array" ref="I244">SUMPRODUCT(--(($B245:$B$255)=$B244),--(_xlfn.ISFORMULA(I245:I$255)=TRUE),I245:I$255)</f>
        <v/>
      </c>
      <c r="J244" s="576">
        <f t="array" ref="J244">SUMPRODUCT(--(($B245:$B$255)=$B244),--(_xlfn.ISFORMULA(J245:J$255)=TRUE),J245:J$255)</f>
        <v/>
      </c>
      <c r="K244" s="576">
        <f t="array" ref="K244">SUMPRODUCT(--(($B245:$B$255)=$B244),--(_xlfn.ISFORMULA(K245:K$255)=TRUE),K245:K$255)</f>
        <v/>
      </c>
      <c r="L244" s="577">
        <f/>
        <v/>
      </c>
      <c r="M244" s="580">
        <f/>
        <v/>
      </c>
      <c r="N244" s="583" t="n"/>
      <c r="O244" s="576">
        <f>SUMPRODUCT(--(($B245:$B$255)=$B244),--(_xlfn.ISFORMULA(O245:O$255)=TRUE),O245:O$255)</f>
        <v/>
      </c>
      <c r="P244" s="576">
        <f>SUMPRODUCT(--(($B245:$B$255)=$B244),--(_xlfn.ISFORMULA(P245:P$255)=TRUE),P245:P$255)</f>
        <v/>
      </c>
      <c r="Q244" s="577">
        <f/>
        <v/>
      </c>
      <c r="R244" s="580">
        <f/>
        <v/>
      </c>
      <c r="S244" s="583" t="n"/>
      <c r="T244" s="30">
        <f>'[1]CAPEX&amp;INVESTMENT'!Y244</f>
        <v/>
      </c>
    </row>
    <row r="245" outlineLevel="1">
      <c r="A245" s="515" t="n"/>
      <c r="B245" s="563" t="inlineStr">
        <is>
          <t xml:space="preserve">All other segments </t>
        </is>
      </c>
      <c r="C245" s="565" t="inlineStr">
        <is>
          <t>All other projects</t>
        </is>
      </c>
      <c r="D245" s="911" t="n"/>
      <c r="E245" s="518" t="inlineStr">
        <is>
          <t>thsd</t>
        </is>
      </c>
      <c r="F245" s="518" t="inlineStr">
        <is>
          <t>+</t>
        </is>
      </c>
      <c r="G245" s="576" t="n">
        <v>0</v>
      </c>
      <c r="H245" s="588">
        <f>SUM(INDIRECT(CHAR(COLUMN()+64)&amp;ROW(H246)&amp;":"&amp;IF(_xlfn.ISFORMULA(INDIRECT((ADDRESS(ROW()-1+MATCH(1,$T246:$T$259,0),COLUMN(),1,1)))),(ADDRESS(ROW()+11+MATCH(1,$T246:$T$259,0),COLUMN(),1,1)),(ADDRESS(ROW()-1+MATCH(1,$T246:$T$259,0),COLUMN(),1,1)))))</f>
        <v/>
      </c>
      <c r="I245" s="588">
        <f>SUM(INDIRECT(CHAR(COLUMN()+64)&amp;ROW(I246)&amp;":"&amp;IF(_xlfn.ISFORMULA(INDIRECT((ADDRESS(ROW()-1+MATCH(1,$T246:$T$259,0),COLUMN(),1,1)))),(ADDRESS(ROW()+11+MATCH(1,$T246:$T$259,0),COLUMN(),1,1)),(ADDRESS(ROW()-1+MATCH(1,$T246:$T$259,0),COLUMN(),1,1)))))</f>
        <v/>
      </c>
      <c r="J245" s="588">
        <f>SUM(INDIRECT(CHAR(COLUMN()+64)&amp;ROW(J246)&amp;":"&amp;IF(_xlfn.ISFORMULA(INDIRECT((ADDRESS(ROW()-1+MATCH(1,$T246:$T$259,0),COLUMN(),1,1)))),(ADDRESS(ROW()+11+MATCH(1,$T246:$T$259,0),COLUMN(),1,1)),(ADDRESS(ROW()-1+MATCH(1,$T246:$T$259,0),COLUMN(),1,1)))))</f>
        <v/>
      </c>
      <c r="K245" s="588">
        <f>SUM(INDIRECT(CHAR(COLUMN()+64)&amp;ROW(K246)&amp;":"&amp;IF(_xlfn.ISFORMULA(INDIRECT((ADDRESS(ROW()-1+MATCH(1,$T246:$T$259,0),COLUMN(),1,1)))),(ADDRESS(ROW()+11+MATCH(1,$T246:$T$259,0),COLUMN(),1,1)),(ADDRESS(ROW()-1+MATCH(1,$T246:$T$259,0),COLUMN(),1,1)))))</f>
        <v/>
      </c>
      <c r="L245" s="578">
        <f/>
        <v/>
      </c>
      <c r="M245" s="581">
        <f/>
        <v/>
      </c>
      <c r="N245" s="583" t="n"/>
      <c r="O245" s="588">
        <f>SUM(INDIRECT(CHAR(COLUMN()+64)&amp;ROW(O246)&amp;":"&amp;IF(_xlfn.ISFORMULA(INDIRECT((ADDRESS(ROW()-1+MATCH(1,$T246:$T$259,0),COLUMN(),1,1)))),(ADDRESS(ROW()+11+MATCH(1,$T246:$T$259,0),COLUMN(),1,1)),(ADDRESS(ROW()-1+MATCH(1,$T246:$T$259,0),COLUMN(),1,1)))))</f>
        <v/>
      </c>
      <c r="P245" s="588">
        <f>SUM(INDIRECT(CHAR(COLUMN()+64)&amp;ROW(P246)&amp;":"&amp;IF(_xlfn.ISFORMULA(INDIRECT((ADDRESS(ROW()-1+MATCH(1,$T246:$T$259,0),COLUMN(),1,1)))),(ADDRESS(ROW()+11+MATCH(1,$T246:$T$259,0),COLUMN(),1,1)),(ADDRESS(ROW()-1+MATCH(1,$T246:$T$259,0),COLUMN(),1,1)))))</f>
        <v/>
      </c>
      <c r="Q245" s="578">
        <f/>
        <v/>
      </c>
      <c r="R245" s="581">
        <f/>
        <v/>
      </c>
      <c r="S245" s="583" t="n"/>
      <c r="T245" s="30">
        <f>'[1]CAPEX&amp;INVESTMENT'!Y245</f>
        <v/>
      </c>
    </row>
    <row r="246" outlineLevel="1">
      <c r="A246" s="515" t="n"/>
      <c r="B246" s="563" t="inlineStr">
        <is>
          <t>Please select segment</t>
        </is>
      </c>
      <c r="C246" s="539" t="inlineStr">
        <is>
          <t>[Input of the project name]</t>
        </is>
      </c>
      <c r="D246" s="912" t="inlineStr">
        <is>
          <t>[input: brief description of the project, including:</t>
        </is>
      </c>
      <c r="E246" s="518" t="inlineStr">
        <is>
          <t>thsd</t>
        </is>
      </c>
      <c r="F246" s="518" t="inlineStr">
        <is>
          <t>+</t>
        </is>
      </c>
      <c r="G246" s="576" t="n">
        <v>0</v>
      </c>
      <c r="H246" s="587" t="n"/>
      <c r="I246" s="587" t="n"/>
      <c r="J246" s="587" t="n"/>
      <c r="K246" s="587" t="n"/>
      <c r="L246" s="578" t="n">
        <v>0</v>
      </c>
      <c r="M246" s="581" t="inlineStr">
        <is>
          <t>N/A</t>
        </is>
      </c>
      <c r="N246" s="583" t="n"/>
      <c r="O246" s="587" t="n"/>
      <c r="P246" s="587" t="n"/>
      <c r="Q246" s="578" t="n">
        <v>0</v>
      </c>
      <c r="R246" s="581" t="inlineStr">
        <is>
          <t>N/A</t>
        </is>
      </c>
      <c r="S246" s="583" t="n"/>
      <c r="T246" s="30">
        <f>'[1]CAPEX&amp;INVESTMENT'!Y246</f>
        <v/>
      </c>
    </row>
    <row r="247" outlineLevel="1">
      <c r="A247" s="515" t="n"/>
      <c r="B247" s="563" t="inlineStr">
        <is>
          <t>Please select segment</t>
        </is>
      </c>
      <c r="C247" s="539" t="inlineStr">
        <is>
          <t>[Input of the project name]</t>
        </is>
      </c>
      <c r="D247" s="912" t="inlineStr">
        <is>
          <t>[input: brief description of the project, including:</t>
        </is>
      </c>
      <c r="E247" s="518" t="inlineStr">
        <is>
          <t>thsd</t>
        </is>
      </c>
      <c r="F247" s="518" t="inlineStr">
        <is>
          <t>+</t>
        </is>
      </c>
      <c r="G247" s="576" t="n">
        <v>0</v>
      </c>
      <c r="H247" s="587" t="n"/>
      <c r="I247" s="587" t="n"/>
      <c r="J247" s="587" t="n"/>
      <c r="K247" s="587" t="n"/>
      <c r="L247" s="578" t="n">
        <v>0</v>
      </c>
      <c r="M247" s="581" t="inlineStr">
        <is>
          <t>N/A</t>
        </is>
      </c>
      <c r="N247" s="583" t="n"/>
      <c r="O247" s="587" t="n"/>
      <c r="P247" s="587" t="n"/>
      <c r="Q247" s="578" t="n">
        <v>0</v>
      </c>
      <c r="R247" s="581" t="inlineStr">
        <is>
          <t>N/A</t>
        </is>
      </c>
      <c r="S247" s="583" t="n"/>
      <c r="T247" s="30">
        <f>'[1]CAPEX&amp;INVESTMENT'!Y247</f>
        <v/>
      </c>
    </row>
    <row r="248" outlineLevel="1">
      <c r="A248" s="515" t="n"/>
      <c r="B248" s="563" t="inlineStr">
        <is>
          <t>Please select segment</t>
        </is>
      </c>
      <c r="C248" s="539" t="inlineStr">
        <is>
          <t>[Input of the project name]</t>
        </is>
      </c>
      <c r="D248" s="912" t="inlineStr">
        <is>
          <t>[input: brief description of the project, including:</t>
        </is>
      </c>
      <c r="E248" s="518" t="inlineStr">
        <is>
          <t>thsd</t>
        </is>
      </c>
      <c r="F248" s="518" t="inlineStr">
        <is>
          <t>+</t>
        </is>
      </c>
      <c r="G248" s="576" t="n">
        <v>0</v>
      </c>
      <c r="H248" s="587" t="n"/>
      <c r="I248" s="587" t="n"/>
      <c r="J248" s="587" t="n"/>
      <c r="K248" s="587" t="n"/>
      <c r="L248" s="578" t="n">
        <v>0</v>
      </c>
      <c r="M248" s="581" t="inlineStr">
        <is>
          <t>N/A</t>
        </is>
      </c>
      <c r="N248" s="583" t="n"/>
      <c r="O248" s="587" t="n"/>
      <c r="P248" s="587" t="n"/>
      <c r="Q248" s="578" t="n">
        <v>0</v>
      </c>
      <c r="R248" s="581" t="inlineStr">
        <is>
          <t>N/A</t>
        </is>
      </c>
      <c r="S248" s="583" t="n"/>
      <c r="T248" s="30">
        <f>'[1]CAPEX&amp;INVESTMENT'!Y248</f>
        <v/>
      </c>
    </row>
    <row r="249" outlineLevel="1">
      <c r="A249" s="515" t="n"/>
      <c r="B249" s="563" t="inlineStr">
        <is>
          <t>Please select segment</t>
        </is>
      </c>
      <c r="C249" s="539" t="inlineStr">
        <is>
          <t>[Input of the project name]</t>
        </is>
      </c>
      <c r="D249" s="912" t="inlineStr">
        <is>
          <t>[input: brief description of the project, including:</t>
        </is>
      </c>
      <c r="E249" s="518" t="inlineStr">
        <is>
          <t>thsd</t>
        </is>
      </c>
      <c r="F249" s="518" t="inlineStr">
        <is>
          <t>+</t>
        </is>
      </c>
      <c r="G249" s="576" t="n">
        <v>0</v>
      </c>
      <c r="H249" s="587" t="n"/>
      <c r="I249" s="587" t="n"/>
      <c r="J249" s="587" t="n"/>
      <c r="K249" s="587" t="n"/>
      <c r="L249" s="578" t="n">
        <v>0</v>
      </c>
      <c r="M249" s="581" t="inlineStr">
        <is>
          <t>N/A</t>
        </is>
      </c>
      <c r="N249" s="583" t="n"/>
      <c r="O249" s="587" t="n"/>
      <c r="P249" s="587" t="n"/>
      <c r="Q249" s="578" t="n">
        <v>0</v>
      </c>
      <c r="R249" s="581" t="inlineStr">
        <is>
          <t>N/A</t>
        </is>
      </c>
      <c r="S249" s="583" t="n"/>
      <c r="T249" s="30">
        <f>'[1]CAPEX&amp;INVESTMENT'!Y249</f>
        <v/>
      </c>
    </row>
    <row r="250" outlineLevel="1">
      <c r="A250" s="515" t="n"/>
      <c r="B250" s="563" t="inlineStr">
        <is>
          <t>Please select segment</t>
        </is>
      </c>
      <c r="C250" s="539" t="inlineStr">
        <is>
          <t>[Input of the project name]</t>
        </is>
      </c>
      <c r="D250" s="912" t="inlineStr">
        <is>
          <t>[input: brief description of the project, including:</t>
        </is>
      </c>
      <c r="E250" s="518" t="inlineStr">
        <is>
          <t>thsd</t>
        </is>
      </c>
      <c r="F250" s="518" t="inlineStr">
        <is>
          <t>+</t>
        </is>
      </c>
      <c r="G250" s="576" t="n">
        <v>0</v>
      </c>
      <c r="H250" s="587" t="n"/>
      <c r="I250" s="587" t="n"/>
      <c r="J250" s="587" t="n"/>
      <c r="K250" s="587" t="n"/>
      <c r="L250" s="578" t="n">
        <v>0</v>
      </c>
      <c r="M250" s="581" t="inlineStr">
        <is>
          <t>N/A</t>
        </is>
      </c>
      <c r="N250" s="583" t="n"/>
      <c r="O250" s="587" t="n"/>
      <c r="P250" s="587" t="n"/>
      <c r="Q250" s="578" t="n">
        <v>0</v>
      </c>
      <c r="R250" s="581" t="inlineStr">
        <is>
          <t>N/A</t>
        </is>
      </c>
      <c r="S250" s="583" t="n"/>
      <c r="T250" s="30">
        <f>'[1]CAPEX&amp;INVESTMENT'!Y250</f>
        <v/>
      </c>
    </row>
    <row r="251" outlineLevel="1">
      <c r="A251" s="515" t="n"/>
      <c r="B251" s="563" t="inlineStr">
        <is>
          <t>Please select segment</t>
        </is>
      </c>
      <c r="C251" s="539" t="inlineStr">
        <is>
          <t>[Input of the project name]</t>
        </is>
      </c>
      <c r="D251" s="912" t="inlineStr">
        <is>
          <t>[input: brief description of the project, including:</t>
        </is>
      </c>
      <c r="E251" s="518" t="inlineStr">
        <is>
          <t>thsd</t>
        </is>
      </c>
      <c r="F251" s="518" t="inlineStr">
        <is>
          <t>+</t>
        </is>
      </c>
      <c r="G251" s="576" t="n">
        <v>0</v>
      </c>
      <c r="H251" s="587" t="n"/>
      <c r="I251" s="587" t="n"/>
      <c r="J251" s="587" t="n"/>
      <c r="K251" s="587" t="n"/>
      <c r="L251" s="578" t="n">
        <v>0</v>
      </c>
      <c r="M251" s="581" t="inlineStr">
        <is>
          <t>N/A</t>
        </is>
      </c>
      <c r="N251" s="583" t="n"/>
      <c r="O251" s="587" t="n"/>
      <c r="P251" s="587" t="n"/>
      <c r="Q251" s="578" t="n">
        <v>0</v>
      </c>
      <c r="R251" s="581" t="inlineStr">
        <is>
          <t>N/A</t>
        </is>
      </c>
      <c r="S251" s="583" t="n"/>
      <c r="T251" s="30">
        <f>'[1]CAPEX&amp;INVESTMENT'!Y251</f>
        <v/>
      </c>
    </row>
    <row r="252" outlineLevel="1">
      <c r="A252" s="515" t="n"/>
      <c r="B252" s="563" t="inlineStr">
        <is>
          <t>Please select segment</t>
        </is>
      </c>
      <c r="C252" s="539" t="inlineStr">
        <is>
          <t>[Input of the project name]</t>
        </is>
      </c>
      <c r="D252" s="912" t="inlineStr">
        <is>
          <t>[input: brief description of the project, including:</t>
        </is>
      </c>
      <c r="E252" s="518" t="inlineStr">
        <is>
          <t>thsd</t>
        </is>
      </c>
      <c r="F252" s="518" t="inlineStr">
        <is>
          <t>+</t>
        </is>
      </c>
      <c r="G252" s="576" t="n">
        <v>0</v>
      </c>
      <c r="H252" s="587" t="n"/>
      <c r="I252" s="587" t="n"/>
      <c r="J252" s="587" t="n"/>
      <c r="K252" s="587" t="n"/>
      <c r="L252" s="578" t="n">
        <v>0</v>
      </c>
      <c r="M252" s="581" t="inlineStr">
        <is>
          <t>N/A</t>
        </is>
      </c>
      <c r="N252" s="583" t="n"/>
      <c r="O252" s="587" t="n"/>
      <c r="P252" s="587" t="n"/>
      <c r="Q252" s="578" t="n">
        <v>0</v>
      </c>
      <c r="R252" s="581" t="inlineStr">
        <is>
          <t>N/A</t>
        </is>
      </c>
      <c r="S252" s="583" t="n"/>
      <c r="T252" s="30">
        <f>'[1]CAPEX&amp;INVESTMENT'!Y252</f>
        <v/>
      </c>
    </row>
    <row r="253" outlineLevel="1">
      <c r="A253" s="515" t="n"/>
      <c r="B253" s="563" t="inlineStr">
        <is>
          <t>Please select segment</t>
        </is>
      </c>
      <c r="C253" s="539" t="inlineStr">
        <is>
          <t>[Input of the project name]</t>
        </is>
      </c>
      <c r="D253" s="912" t="inlineStr">
        <is>
          <t>[input: brief description of the project, including:</t>
        </is>
      </c>
      <c r="E253" s="518" t="inlineStr">
        <is>
          <t>thsd</t>
        </is>
      </c>
      <c r="F253" s="518" t="inlineStr">
        <is>
          <t>+</t>
        </is>
      </c>
      <c r="G253" s="576" t="n">
        <v>0</v>
      </c>
      <c r="H253" s="587" t="n"/>
      <c r="I253" s="587" t="n"/>
      <c r="J253" s="587" t="n"/>
      <c r="K253" s="587" t="n"/>
      <c r="L253" s="578" t="n">
        <v>0</v>
      </c>
      <c r="M253" s="581" t="inlineStr">
        <is>
          <t>N/A</t>
        </is>
      </c>
      <c r="N253" s="583" t="n"/>
      <c r="O253" s="587" t="n"/>
      <c r="P253" s="587" t="n"/>
      <c r="Q253" s="578" t="n">
        <v>0</v>
      </c>
      <c r="R253" s="581" t="inlineStr">
        <is>
          <t>N/A</t>
        </is>
      </c>
      <c r="S253" s="583" t="n"/>
      <c r="T253" s="30">
        <f>'[1]CAPEX&amp;INVESTMENT'!Y253</f>
        <v/>
      </c>
    </row>
    <row r="254" outlineLevel="1">
      <c r="A254" s="515" t="n"/>
      <c r="B254" s="563" t="inlineStr">
        <is>
          <t>Please select segment</t>
        </is>
      </c>
      <c r="C254" s="539" t="inlineStr">
        <is>
          <t>[Input of the project name]</t>
        </is>
      </c>
      <c r="D254" s="912" t="inlineStr">
        <is>
          <t>[input: brief description of the project, including:</t>
        </is>
      </c>
      <c r="E254" s="518" t="inlineStr">
        <is>
          <t>thsd</t>
        </is>
      </c>
      <c r="F254" s="518" t="inlineStr">
        <is>
          <t>+</t>
        </is>
      </c>
      <c r="G254" s="576" t="n">
        <v>0</v>
      </c>
      <c r="H254" s="587" t="n"/>
      <c r="I254" s="587" t="n"/>
      <c r="J254" s="587" t="n"/>
      <c r="K254" s="587" t="n"/>
      <c r="L254" s="578" t="n">
        <v>0</v>
      </c>
      <c r="M254" s="581" t="inlineStr">
        <is>
          <t>N/A</t>
        </is>
      </c>
      <c r="N254" s="583" t="n"/>
      <c r="O254" s="587" t="n"/>
      <c r="P254" s="587" t="n"/>
      <c r="Q254" s="578" t="n">
        <v>0</v>
      </c>
      <c r="R254" s="581" t="inlineStr">
        <is>
          <t>N/A</t>
        </is>
      </c>
      <c r="S254" s="583" t="n"/>
      <c r="T254" s="30">
        <f>'[1]CAPEX&amp;INVESTMENT'!Y254</f>
        <v/>
      </c>
    </row>
    <row r="255">
      <c r="A255" s="515" t="n"/>
      <c r="B255" s="563">
        <f t="array" ref="B255">'[1]CAPEX&amp;INVESTMENT'!B254:B495</f>
        <v/>
      </c>
      <c r="C255" s="539">
        <f t="array" ref="C255">'[1]CAPEX&amp;INVESTMENT'!C254:C495</f>
        <v/>
      </c>
      <c r="D255" s="912">
        <f t="array" ref="D255">'[1]CAPEX&amp;INVESTMENT'!D254:D495</f>
        <v/>
      </c>
      <c r="E255" s="518">
        <f t="array" ref="E255">'[1]CAPEX&amp;INVESTMENT'!E254:E495</f>
        <v/>
      </c>
      <c r="F255" s="518" t="inlineStr">
        <is>
          <t>+</t>
        </is>
      </c>
      <c r="G255" s="576">
        <f t="array" ref="G255">'[1]CAPEX&amp;INVESTMENT'!L254:L495</f>
        <v/>
      </c>
      <c r="H255" s="587" t="n"/>
      <c r="I255" s="587" t="n"/>
      <c r="J255" s="587" t="n"/>
      <c r="K255" s="587" t="n"/>
      <c r="L255" s="578">
        <f t="array" ref="L255">IFERROR(J255:J493-K255:K493,"N/A")</f>
        <v/>
      </c>
      <c r="M255" s="581">
        <f>IFERROR((J255:J493-K255:K493)/ABS(K255:K493),"N/A")</f>
        <v/>
      </c>
      <c r="N255" s="583" t="n"/>
      <c r="O255" s="587" t="n"/>
      <c r="P255" s="587" t="n"/>
      <c r="Q255" s="578">
        <f>IFERROR(O255:O496-P255:P496,"N/A")</f>
        <v/>
      </c>
      <c r="R255" s="581">
        <f t="array" ref="R255">IFERROR((O255:O493-P255:P493)/ABS(P255:P493),"N/A")</f>
        <v/>
      </c>
      <c r="S255" s="583" t="n"/>
      <c r="T255" s="30">
        <f>'[1]CAPEX&amp;INVESTMENT'!Y255</f>
        <v/>
      </c>
    </row>
    <row r="256">
      <c r="A256" s="515" t="n"/>
      <c r="B256" s="563">
        <f t="array" ref="B256">'[1]CAPEX&amp;INVESTMENT'!B255:B496</f>
        <v/>
      </c>
      <c r="C256" s="539">
        <f t="array" ref="C256">'[1]CAPEX&amp;INVESTMENT'!C255:C496</f>
        <v/>
      </c>
      <c r="D256" s="912">
        <f t="array" ref="D256">'[1]CAPEX&amp;INVESTMENT'!D255:D496</f>
        <v/>
      </c>
      <c r="E256" s="518">
        <f t="array" ref="E256">'[1]CAPEX&amp;INVESTMENT'!E255:E496</f>
        <v/>
      </c>
      <c r="F256" s="518" t="inlineStr">
        <is>
          <t>+</t>
        </is>
      </c>
      <c r="G256" s="576">
        <f t="array" ref="G256">'[1]CAPEX&amp;INVESTMENT'!L255:L496</f>
        <v/>
      </c>
      <c r="H256" s="587" t="n"/>
      <c r="I256" s="587" t="n"/>
      <c r="J256" s="587" t="n"/>
      <c r="K256" s="587" t="n"/>
      <c r="L256" s="578">
        <f t="array" ref="L256">IFERROR(J256:J494-K256:K494,"N/A")</f>
        <v/>
      </c>
      <c r="M256" s="581">
        <f t="array" ref="M256">IFERROR((J256:J494-K256:K494)/ABS(K256:K494),"N/A")</f>
        <v/>
      </c>
      <c r="N256" s="583" t="n"/>
      <c r="O256" s="587" t="n"/>
      <c r="P256" s="587" t="n"/>
      <c r="Q256" s="578">
        <f t="array" ref="Q256">IFERROR(O256:O497-P256:P497,"N/A")</f>
        <v/>
      </c>
      <c r="R256" s="581">
        <f t="array" ref="R256">IFERROR((O256:O494-P256:P494)/ABS(P256:P494),"N/A")</f>
        <v/>
      </c>
      <c r="S256" s="583" t="n"/>
      <c r="T256" s="30">
        <f>'[1]CAPEX&amp;INVESTMENT'!Y256</f>
        <v/>
      </c>
    </row>
    <row r="257">
      <c r="A257" s="515" t="n"/>
      <c r="B257" s="563">
        <f t="array" ref="B257">'[1]CAPEX&amp;INVESTMENT'!B256:B497</f>
        <v/>
      </c>
      <c r="C257" s="539">
        <f t="array" ref="C257">'[1]CAPEX&amp;INVESTMENT'!C256:C497</f>
        <v/>
      </c>
      <c r="D257" s="912">
        <f t="array" ref="D257">'[1]CAPEX&amp;INVESTMENT'!D256:D497</f>
        <v/>
      </c>
      <c r="E257" s="518">
        <f t="array" ref="E257">'[1]CAPEX&amp;INVESTMENT'!E256:E497</f>
        <v/>
      </c>
      <c r="F257" s="518" t="inlineStr">
        <is>
          <t>+</t>
        </is>
      </c>
      <c r="G257" s="576">
        <f t="array" ref="G257">'[1]CAPEX&amp;INVESTMENT'!L256:L497</f>
        <v/>
      </c>
      <c r="H257" s="587" t="n"/>
      <c r="I257" s="587" t="n"/>
      <c r="J257" s="587" t="n"/>
      <c r="K257" s="587" t="n"/>
      <c r="L257" s="578">
        <f t="array" ref="L257">IFERROR(J257:J495-K257:K495,"N/A")</f>
        <v/>
      </c>
      <c r="M257" s="581">
        <f t="array" ref="M257">IFERROR((J257:J495-K257:K495)/ABS(K257:K495),"N/A")</f>
        <v/>
      </c>
      <c r="N257" s="583" t="n"/>
      <c r="O257" s="587" t="n"/>
      <c r="P257" s="587" t="n"/>
      <c r="Q257" s="578">
        <f t="array" ref="Q257">IFERROR(O257:O498-P257:P498,"N/A")</f>
        <v/>
      </c>
      <c r="R257" s="581">
        <f t="array" ref="R257">IFERROR((O257:O495-P257:P495)/ABS(P257:P495),"N/A")</f>
        <v/>
      </c>
      <c r="S257" s="583" t="n"/>
      <c r="T257" s="30">
        <f>'[1]CAPEX&amp;INVESTMENT'!Y257</f>
        <v/>
      </c>
    </row>
    <row r="258">
      <c r="T258" s="30" t="n">
        <v>1</v>
      </c>
    </row>
  </sheetData>
  <mergeCells count="19">
    <mergeCell ref="B12:B13"/>
    <mergeCell ref="F12:F13"/>
    <mergeCell ref="J14:N14"/>
    <mergeCell ref="O11:R11"/>
    <mergeCell ref="A12:A13"/>
    <mergeCell ref="C12:C13"/>
    <mergeCell ref="I12:I13"/>
    <mergeCell ref="K12:K13"/>
    <mergeCell ref="O12:O13"/>
    <mergeCell ref="D12:D13"/>
    <mergeCell ref="J11:N11"/>
    <mergeCell ref="H12:H13"/>
    <mergeCell ref="J12:J13"/>
    <mergeCell ref="P12:P13"/>
    <mergeCell ref="Q12:S12"/>
    <mergeCell ref="E12:E13"/>
    <mergeCell ref="G12:G13"/>
    <mergeCell ref="O14:S14"/>
    <mergeCell ref="L12:N12"/>
  </mergeCells>
  <conditionalFormatting sqref="B16:E239 B245:E257 C240:E244">
    <cfRule type="expression" priority="65" dxfId="65">
      <formula>($C16="Other Projects") + #REF!&gt;0</formula>
    </cfRule>
    <cfRule type="expression" priority="66" dxfId="64">
      <formula>((#REF!&lt;1) * ($C16&lt;&gt;"[Input of the project name] / [layihənin adının daxil edilməsi]"))</formula>
    </cfRule>
  </conditionalFormatting>
  <conditionalFormatting sqref="H17:K17">
    <cfRule type="expression" priority="64" dxfId="1">
      <formula>_xlfn.ISFORMULA($L17)=FALSE</formula>
    </cfRule>
  </conditionalFormatting>
  <conditionalFormatting sqref="H18:K34">
    <cfRule type="expression" priority="30" dxfId="0">
      <formula>$C18="[Input of the project name] / [layihənin adının daxil edilməsi]"</formula>
    </cfRule>
  </conditionalFormatting>
  <conditionalFormatting sqref="H35:K35">
    <cfRule type="expression" priority="62" dxfId="1">
      <formula>_xlfn.ISFORMULA($L35)=FALSE</formula>
    </cfRule>
  </conditionalFormatting>
  <conditionalFormatting sqref="H36:K46">
    <cfRule type="expression" priority="29" dxfId="0">
      <formula>$C36="[Input of the project name] / [layihənin adının daxil edilməsi]"</formula>
    </cfRule>
  </conditionalFormatting>
  <conditionalFormatting sqref="H47:K47">
    <cfRule type="expression" priority="58" dxfId="1">
      <formula>_xlfn.ISFORMULA($L47)=FALSE</formula>
    </cfRule>
  </conditionalFormatting>
  <conditionalFormatting sqref="H48:K65">
    <cfRule type="expression" priority="31" dxfId="0">
      <formula>$C48="[Input of the project name] / [layihənin adının daxil edilməsi]"</formula>
    </cfRule>
  </conditionalFormatting>
  <conditionalFormatting sqref="H67:K67">
    <cfRule type="expression" priority="57" dxfId="1">
      <formula>_xlfn.ISFORMULA($L67)=FALSE</formula>
    </cfRule>
  </conditionalFormatting>
  <conditionalFormatting sqref="H68:K99">
    <cfRule type="expression" priority="5" dxfId="0">
      <formula>$C68="[Input of the project name] / [layihənin adının daxil edilməsi]"</formula>
    </cfRule>
  </conditionalFormatting>
  <conditionalFormatting sqref="H100:K100">
    <cfRule type="expression" priority="56" dxfId="1">
      <formula>_xlfn.ISFORMULA($L100)=FALSE</formula>
    </cfRule>
  </conditionalFormatting>
  <conditionalFormatting sqref="H101:K109">
    <cfRule type="expression" priority="28" dxfId="0">
      <formula>$C101="[Input of the project name] / [layihənin adının daxil edilməsi]"</formula>
    </cfRule>
  </conditionalFormatting>
  <conditionalFormatting sqref="H110:K110">
    <cfRule type="expression" priority="55" dxfId="1">
      <formula>_xlfn.ISFORMULA($L110)=FALSE</formula>
    </cfRule>
  </conditionalFormatting>
  <conditionalFormatting sqref="H111:K141">
    <cfRule type="expression" priority="27" dxfId="0">
      <formula>$C111="[Input of the project name] / [layihənin adının daxil edilməsi]"</formula>
    </cfRule>
  </conditionalFormatting>
  <conditionalFormatting sqref="H142:K142">
    <cfRule type="expression" priority="54" dxfId="1">
      <formula>_xlfn.ISFORMULA($L142)=FALSE</formula>
    </cfRule>
  </conditionalFormatting>
  <conditionalFormatting sqref="H143:K173">
    <cfRule type="expression" priority="26" dxfId="0">
      <formula>$C143="[Input of the project name] / [layihənin adının daxil edilməsi]"</formula>
    </cfRule>
  </conditionalFormatting>
  <conditionalFormatting sqref="H174:K174">
    <cfRule type="expression" priority="53" dxfId="1">
      <formula>#REF!=0</formula>
    </cfRule>
  </conditionalFormatting>
  <conditionalFormatting sqref="H175:K175">
    <cfRule type="expression" priority="49" dxfId="1">
      <formula>_xlfn.ISFORMULA($L175)=FALSE</formula>
    </cfRule>
  </conditionalFormatting>
  <conditionalFormatting sqref="H176:K186">
    <cfRule type="expression" priority="25" dxfId="0">
      <formula>$C176="[Input of the project name] / [layihənin adının daxil edilməsi]"</formula>
    </cfRule>
  </conditionalFormatting>
  <conditionalFormatting sqref="H187:K187">
    <cfRule type="expression" priority="51" dxfId="1">
      <formula>_xlfn.ISFORMULA($L187)=FALSE</formula>
    </cfRule>
  </conditionalFormatting>
  <conditionalFormatting sqref="H188:K198">
    <cfRule type="expression" priority="24" dxfId="0">
      <formula>$C188="[Input of the project name] / [layihənin adının daxil edilməsi]"</formula>
    </cfRule>
  </conditionalFormatting>
  <conditionalFormatting sqref="H199:K199">
    <cfRule type="expression" priority="50" dxfId="1">
      <formula>_xlfn.ISFORMULA($L199)=FALSE</formula>
    </cfRule>
  </conditionalFormatting>
  <conditionalFormatting sqref="H200:K210">
    <cfRule type="expression" priority="23" dxfId="0">
      <formula>$C200="[Input of the project name] / [layihənin adının daxil edilməsi]"</formula>
    </cfRule>
  </conditionalFormatting>
  <conditionalFormatting sqref="H211:K211">
    <cfRule type="expression" priority="44" dxfId="1">
      <formula>#REF!=0</formula>
    </cfRule>
  </conditionalFormatting>
  <conditionalFormatting sqref="H212:K212">
    <cfRule type="expression" priority="43" dxfId="1">
      <formula>_xlfn.ISFORMULA($L212)=FALSE</formula>
    </cfRule>
  </conditionalFormatting>
  <conditionalFormatting sqref="H213:K223">
    <cfRule type="expression" priority="4" dxfId="0">
      <formula>$C213="[Input of the project name] / [layihənin adının daxil edilməsi]"</formula>
    </cfRule>
  </conditionalFormatting>
  <conditionalFormatting sqref="H224:K224">
    <cfRule type="expression" priority="46" dxfId="1">
      <formula>_xlfn.ISFORMULA($L224)=FALSE</formula>
    </cfRule>
  </conditionalFormatting>
  <conditionalFormatting sqref="H225:K236">
    <cfRule type="expression" priority="3" dxfId="0">
      <formula>$C225="[Input of the project name] / [layihənin adının daxil edilməsi]"</formula>
    </cfRule>
  </conditionalFormatting>
  <conditionalFormatting sqref="H237:K237">
    <cfRule type="expression" priority="38" dxfId="1">
      <formula>#REF!=0</formula>
    </cfRule>
  </conditionalFormatting>
  <conditionalFormatting sqref="H238:K238">
    <cfRule type="expression" priority="37" dxfId="1">
      <formula>_xlfn.ISFORMULA($L238)=FALSE</formula>
    </cfRule>
  </conditionalFormatting>
  <conditionalFormatting sqref="H239:K243">
    <cfRule type="expression" priority="22" dxfId="0">
      <formula>$C239="[Input of the project name] / [layihənin adının daxil edilməsi]"</formula>
    </cfRule>
  </conditionalFormatting>
  <conditionalFormatting sqref="H244:K244">
    <cfRule type="expression" priority="34" dxfId="1">
      <formula>#REF!=0</formula>
    </cfRule>
  </conditionalFormatting>
  <conditionalFormatting sqref="H245:K245">
    <cfRule type="expression" priority="36" dxfId="1">
      <formula>_xlfn.ISFORMULA($L245)=FALSE</formula>
    </cfRule>
  </conditionalFormatting>
  <conditionalFormatting sqref="H246:K257">
    <cfRule type="expression" priority="21" dxfId="0">
      <formula>$C246="[Input of the project name] / [layihənin adının daxil edilməsi]"</formula>
    </cfRule>
  </conditionalFormatting>
  <conditionalFormatting sqref="O17:P17">
    <cfRule type="expression" priority="63" dxfId="1">
      <formula>_xlfn.ISFORMULA($L17)=FALSE</formula>
    </cfRule>
  </conditionalFormatting>
  <conditionalFormatting sqref="O18:P34">
    <cfRule type="expression" priority="13" dxfId="0">
      <formula>$C18="[Input of the project name] / [layihənin adının daxil edilməsi]"</formula>
    </cfRule>
  </conditionalFormatting>
  <conditionalFormatting sqref="O35:P35">
    <cfRule type="expression" priority="61" dxfId="1">
      <formula>_xlfn.ISFORMULA($L35)=FALSE</formula>
    </cfRule>
  </conditionalFormatting>
  <conditionalFormatting sqref="O36:P46">
    <cfRule type="expression" priority="12" dxfId="0">
      <formula>$C36="[Input of the project name] / [layihənin adının daxil edilməsi]"</formula>
    </cfRule>
  </conditionalFormatting>
  <conditionalFormatting sqref="O47:P47">
    <cfRule type="expression" priority="60" dxfId="1">
      <formula>_xlfn.ISFORMULA($L47)=FALSE</formula>
    </cfRule>
  </conditionalFormatting>
  <conditionalFormatting sqref="O48:P65">
    <cfRule type="expression" priority="11" dxfId="0">
      <formula>$C48="[Input of the project name] / [layihənin adının daxil edilməsi]"</formula>
    </cfRule>
  </conditionalFormatting>
  <conditionalFormatting sqref="O67:P67">
    <cfRule type="expression" priority="42" dxfId="1">
      <formula>_xlfn.ISFORMULA($L67)=FALSE</formula>
    </cfRule>
  </conditionalFormatting>
  <conditionalFormatting sqref="O68:P99">
    <cfRule type="expression" priority="59" dxfId="0">
      <formula>$C68="[Input of the project name] / [layihənin adının daxil edilməsi]"</formula>
    </cfRule>
  </conditionalFormatting>
  <conditionalFormatting sqref="O100:P100">
    <cfRule type="expression" priority="20" dxfId="1">
      <formula>_xlfn.ISFORMULA($L100)=FALSE</formula>
    </cfRule>
  </conditionalFormatting>
  <conditionalFormatting sqref="O101:P109">
    <cfRule type="expression" priority="19" dxfId="0">
      <formula>$C101="[Input of the project name] / [layihənin adının daxil edilməsi]"</formula>
    </cfRule>
  </conditionalFormatting>
  <conditionalFormatting sqref="O110:P110">
    <cfRule type="expression" priority="41" dxfId="1">
      <formula>_xlfn.ISFORMULA($L110)=FALSE</formula>
    </cfRule>
  </conditionalFormatting>
  <conditionalFormatting sqref="O111:P141">
    <cfRule type="expression" priority="18" dxfId="0">
      <formula>$C111="[Input of the project name] / [layihənin adının daxil edilməsi]"</formula>
    </cfRule>
  </conditionalFormatting>
  <conditionalFormatting sqref="O142:P142">
    <cfRule type="expression" priority="40" dxfId="1">
      <formula>_xlfn.ISFORMULA($L142)=FALSE</formula>
    </cfRule>
  </conditionalFormatting>
  <conditionalFormatting sqref="O143:P173">
    <cfRule type="expression" priority="17" dxfId="0">
      <formula>$C143="[Input of the project name] / [layihənin adının daxil edilməsi]"</formula>
    </cfRule>
  </conditionalFormatting>
  <conditionalFormatting sqref="O174:P174">
    <cfRule type="expression" priority="52" dxfId="1">
      <formula>#REF!=0</formula>
    </cfRule>
  </conditionalFormatting>
  <conditionalFormatting sqref="O175:P175">
    <cfRule type="expression" priority="48" dxfId="1">
      <formula>_xlfn.ISFORMULA($L175)=FALSE</formula>
    </cfRule>
  </conditionalFormatting>
  <conditionalFormatting sqref="O176:P186">
    <cfRule type="expression" priority="16" dxfId="0">
      <formula>$C176="[Input of the project name] / [layihənin adının daxil edilməsi]"</formula>
    </cfRule>
  </conditionalFormatting>
  <conditionalFormatting sqref="O187:P187">
    <cfRule type="expression" priority="47" dxfId="1">
      <formula>_xlfn.ISFORMULA($L187)=FALSE</formula>
    </cfRule>
  </conditionalFormatting>
  <conditionalFormatting sqref="O188:P198">
    <cfRule type="expression" priority="15" dxfId="0">
      <formula>$C188="[Input of the project name] / [layihənin adının daxil edilməsi]"</formula>
    </cfRule>
  </conditionalFormatting>
  <conditionalFormatting sqref="O199:P199">
    <cfRule type="expression" priority="39" dxfId="1">
      <formula>_xlfn.ISFORMULA($L199)=FALSE</formula>
    </cfRule>
  </conditionalFormatting>
  <conditionalFormatting sqref="O200:P210">
    <cfRule type="expression" priority="14" dxfId="0">
      <formula>$C200="[Input of the project name] / [layihənin adının daxil edilməsi]"</formula>
    </cfRule>
  </conditionalFormatting>
  <conditionalFormatting sqref="O211:P211">
    <cfRule type="expression" priority="32" dxfId="1">
      <formula>#REF!=0</formula>
    </cfRule>
  </conditionalFormatting>
  <conditionalFormatting sqref="O212:P212">
    <cfRule type="expression" priority="33" dxfId="1">
      <formula>_xlfn.ISFORMULA($L212)=FALSE</formula>
    </cfRule>
  </conditionalFormatting>
  <conditionalFormatting sqref="O213:P223">
    <cfRule type="expression" priority="2" dxfId="0">
      <formula>$C213="[Input of the project name] / [layihənin adının daxil edilməsi]"</formula>
    </cfRule>
  </conditionalFormatting>
  <conditionalFormatting sqref="O224:P224">
    <cfRule type="expression" priority="45" dxfId="1">
      <formula>_xlfn.ISFORMULA($L224)=FALSE</formula>
    </cfRule>
  </conditionalFormatting>
  <conditionalFormatting sqref="O225:P236">
    <cfRule type="expression" priority="1" dxfId="0">
      <formula>$C225="[Input of the project name] / [layihənin adının daxil edilməsi]"</formula>
    </cfRule>
  </conditionalFormatting>
  <conditionalFormatting sqref="O237:P237">
    <cfRule type="expression" priority="35" dxfId="1">
      <formula>#REF!=0</formula>
    </cfRule>
  </conditionalFormatting>
  <conditionalFormatting sqref="O238:P238">
    <cfRule type="expression" priority="10" dxfId="1">
      <formula>_xlfn.ISFORMULA($L238)=FALSE</formula>
    </cfRule>
  </conditionalFormatting>
  <conditionalFormatting sqref="O239:P243">
    <cfRule type="expression" priority="9" dxfId="0">
      <formula>$C239="[Input of the project name] / [layihənin adının daxil edilməsi]"</formula>
    </cfRule>
  </conditionalFormatting>
  <conditionalFormatting sqref="O244:P244">
    <cfRule type="expression" priority="6" dxfId="1">
      <formula>#REF!=0</formula>
    </cfRule>
  </conditionalFormatting>
  <conditionalFormatting sqref="O245:P245">
    <cfRule type="expression" priority="8" dxfId="1">
      <formula>_xlfn.ISFORMULA($L245)=FALSE</formula>
    </cfRule>
  </conditionalFormatting>
  <conditionalFormatting sqref="O246:P257">
    <cfRule type="expression" priority="7" dxfId="0">
      <formula>$C246="[Input of the project name] / [layihənin adının daxil edilməsi]"</formula>
    </cfRule>
  </conditionalFormatting>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S89"/>
  <sheetViews>
    <sheetView workbookViewId="0">
      <selection activeCell="A1" sqref="A1:XFD1048576"/>
    </sheetView>
  </sheetViews>
  <sheetFormatPr baseColWidth="8" defaultColWidth="25.5703125" defaultRowHeight="12.75" outlineLevelRow="1"/>
  <cols>
    <col width="25.5703125" customWidth="1" style="30" min="1" max="1"/>
    <col width="48.42578125" customWidth="1" style="30" min="2" max="2"/>
    <col width="41.5703125" customWidth="1" style="30" min="3" max="3"/>
    <col width="19.42578125" customWidth="1" style="30" min="4" max="4"/>
    <col width="13.42578125" customWidth="1" style="30" min="5" max="5"/>
    <col width="25.5703125" customWidth="1" style="30" min="6" max="8"/>
    <col width="34.42578125" customWidth="1" style="30" min="9" max="9"/>
    <col width="34.42578125" customWidth="1" style="591" min="10" max="10"/>
    <col width="34.42578125" customWidth="1" style="30" min="11" max="12"/>
    <col width="25.5703125" customWidth="1" style="411" min="13" max="15"/>
    <col width="34.42578125" customWidth="1" style="411" min="16" max="16"/>
    <col width="34.42578125" customWidth="1" style="30" min="17" max="17"/>
    <col width="34.42578125" customWidth="1" style="637" min="18" max="18"/>
    <col width="34.42578125" customWidth="1" style="30" min="19" max="19"/>
    <col width="25.5703125" customWidth="1" style="30" min="20" max="16384"/>
  </cols>
  <sheetData>
    <row r="1">
      <c r="J1" s="30" t="n"/>
      <c r="M1" s="30" t="n"/>
      <c r="N1" s="30" t="n"/>
      <c r="O1" s="30" t="n"/>
      <c r="P1" s="30" t="n"/>
      <c r="R1" s="30" t="n"/>
    </row>
    <row r="2" ht="18" customHeight="1">
      <c r="C2" s="447" t="n"/>
      <c r="D2" s="447" t="n"/>
      <c r="E2" s="447" t="n"/>
      <c r="G2" s="215" t="n"/>
      <c r="H2" s="447" t="n"/>
      <c r="M2" s="30" t="n"/>
      <c r="N2" s="30" t="n"/>
      <c r="O2" s="30" t="n"/>
      <c r="P2" s="30" t="n"/>
      <c r="R2" s="30" t="n"/>
    </row>
    <row r="3">
      <c r="J3" s="30" t="n"/>
      <c r="M3" s="30" t="n"/>
      <c r="N3" s="30" t="n"/>
      <c r="O3" s="30" t="n"/>
      <c r="P3" s="30" t="n"/>
      <c r="R3" s="30" t="n"/>
    </row>
    <row r="4">
      <c r="J4" s="30" t="n"/>
      <c r="M4" s="30" t="n"/>
      <c r="N4" s="30" t="n"/>
      <c r="O4" s="30" t="n"/>
      <c r="P4" s="30" t="n"/>
      <c r="R4" s="30" t="n"/>
    </row>
    <row r="5" ht="23.25" customHeight="1">
      <c r="A5" s="592" t="n"/>
      <c r="J5" s="30" t="n"/>
      <c r="M5" s="30" t="n"/>
      <c r="N5" s="30" t="n"/>
      <c r="O5" s="30" t="n"/>
      <c r="P5" s="30" t="n"/>
      <c r="R5" s="30" t="n"/>
    </row>
    <row r="6" ht="33.6" customHeight="1">
      <c r="J6" s="30" t="n"/>
      <c r="M6" s="30" t="n"/>
      <c r="N6" s="30" t="n"/>
      <c r="O6" s="30" t="n"/>
      <c r="P6" s="30" t="n"/>
      <c r="R6" s="30" t="n"/>
    </row>
    <row r="7">
      <c r="J7" s="24" t="n"/>
      <c r="M7" s="30" t="n"/>
      <c r="N7" s="30" t="n"/>
      <c r="O7" s="30" t="n"/>
      <c r="P7" s="30" t="n"/>
      <c r="R7" s="30" t="n"/>
    </row>
    <row r="8" ht="15.75" customHeight="1">
      <c r="B8" s="593" t="inlineStr">
        <is>
          <t>Entity Name</t>
        </is>
      </c>
      <c r="C8" s="743">
        <f>IF([1]Segment_map!$D$4=0,"THE COMPANY HAS NOT BEEN PICKED",[1]Segment_map!$D$4)</f>
        <v/>
      </c>
      <c r="D8" s="594" t="n"/>
      <c r="E8" s="594" t="n"/>
      <c r="F8" s="594" t="n"/>
      <c r="G8" s="594" t="n"/>
      <c r="H8" s="595" t="n"/>
      <c r="J8" s="30" t="n"/>
      <c r="M8" s="30" t="n"/>
      <c r="N8" s="30" t="n"/>
      <c r="O8" s="30" t="n"/>
      <c r="P8" s="30" t="n"/>
      <c r="R8" s="30" t="n"/>
    </row>
    <row r="9" ht="15.75" customHeight="1">
      <c r="B9" s="596" t="inlineStr">
        <is>
          <t>Currency</t>
        </is>
      </c>
      <c r="C9" s="744">
        <f>IF([1]Segment_map!$J$4="","CURRENCY HAS NOT BEEN PICKED",[1]Segment_map!$J$4)</f>
        <v/>
      </c>
      <c r="D9" s="594" t="n"/>
      <c r="E9" s="594" t="n"/>
      <c r="F9" s="594" t="n"/>
      <c r="G9" s="594" t="n"/>
      <c r="H9" s="595" t="n"/>
      <c r="J9" s="30" t="n"/>
      <c r="M9" s="30" t="n"/>
      <c r="N9" s="30" t="n"/>
      <c r="O9" s="30" t="n"/>
      <c r="P9" s="30" t="n"/>
      <c r="R9" s="30" t="n"/>
    </row>
    <row r="10">
      <c r="B10" s="597" t="n"/>
      <c r="D10" s="595" t="n"/>
      <c r="E10" s="595" t="n"/>
      <c r="F10" s="595" t="n"/>
      <c r="G10" s="595" t="n"/>
      <c r="H10" s="595" t="n"/>
      <c r="J10" s="30" t="n"/>
      <c r="M10" s="30" t="n"/>
      <c r="N10" s="30" t="n"/>
      <c r="O10" s="30" t="n"/>
      <c r="P10" s="30" t="n"/>
      <c r="R10" s="30" t="n"/>
    </row>
    <row r="11">
      <c r="F11" s="598">
        <f>"! Please, enter amounts in thousands " &amp;C10</f>
        <v/>
      </c>
      <c r="J11" s="30" t="n"/>
      <c r="M11" s="30" t="n"/>
      <c r="N11" s="30" t="n"/>
      <c r="O11" s="30" t="n"/>
      <c r="P11" s="30" t="n"/>
      <c r="R11" s="30" t="n"/>
    </row>
    <row r="12">
      <c r="J12" s="30" t="n"/>
      <c r="M12" s="30" t="n"/>
      <c r="N12" s="30" t="n"/>
      <c r="O12" s="30" t="n"/>
      <c r="P12" s="30" t="n"/>
      <c r="R12" s="30" t="n"/>
    </row>
    <row r="13" ht="15" customFormat="1" customHeight="1" s="424">
      <c r="F13" s="755" t="inlineStr">
        <is>
          <t>Month</t>
        </is>
      </c>
      <c r="G13" s="865" t="n"/>
      <c r="H13" s="865" t="n"/>
      <c r="I13" s="865" t="n"/>
      <c r="J13" s="865" t="n"/>
      <c r="K13" s="865" t="n"/>
      <c r="L13" s="865" t="n"/>
      <c r="M13" s="823" t="inlineStr">
        <is>
          <t>Cumulative</t>
        </is>
      </c>
      <c r="N13" s="866" t="n"/>
      <c r="O13" s="866" t="n"/>
      <c r="P13" s="866" t="n"/>
      <c r="Q13" s="866" t="n"/>
      <c r="R13" s="866" t="n"/>
      <c r="S13" s="866" t="n"/>
    </row>
    <row r="14" ht="35.1" customHeight="1">
      <c r="A14" s="759" t="inlineStr">
        <is>
          <t>Segment</t>
        </is>
      </c>
      <c r="B14" s="759" t="inlineStr">
        <is>
          <t>Line item</t>
        </is>
      </c>
      <c r="C14" s="759" t="inlineStr">
        <is>
          <t>Sətir elementi</t>
        </is>
      </c>
      <c r="D14" s="757" t="inlineStr">
        <is>
          <t>Units of measurement</t>
        </is>
      </c>
      <c r="E14" s="762" t="inlineStr">
        <is>
          <t>+/-</t>
        </is>
      </c>
      <c r="F14" s="715" t="inlineStr">
        <is>
          <t>Same period of the previous year actual</t>
        </is>
      </c>
      <c r="G14" s="715" t="inlineStr">
        <is>
          <t>Current period actual</t>
        </is>
      </c>
      <c r="H14" s="787" t="inlineStr">
        <is>
          <t>Current period plan</t>
        </is>
      </c>
      <c r="I14" s="715" t="inlineStr">
        <is>
          <t>Deviations actual to plan of current period</t>
        </is>
      </c>
      <c r="J14" s="862" t="n"/>
      <c r="K14" s="715" t="inlineStr">
        <is>
          <t>Deviations of current from previous period</t>
        </is>
      </c>
      <c r="L14" s="862" t="n"/>
      <c r="M14" s="722" t="inlineStr">
        <is>
          <t>Same period of the previous year actual</t>
        </is>
      </c>
      <c r="N14" s="722" t="inlineStr">
        <is>
          <t>Current period actual</t>
        </is>
      </c>
      <c r="O14" s="722" t="inlineStr">
        <is>
          <t>Current period plan</t>
        </is>
      </c>
      <c r="P14" s="719" t="inlineStr">
        <is>
          <t>Deviations actual to plan of current period</t>
        </is>
      </c>
      <c r="Q14" s="861" t="n"/>
      <c r="R14" s="719" t="inlineStr">
        <is>
          <t>Deviations of current from previous period</t>
        </is>
      </c>
      <c r="S14" s="861" t="n"/>
    </row>
    <row r="15" ht="93" customHeight="1">
      <c r="A15" s="864" t="n"/>
      <c r="B15" s="864" t="n"/>
      <c r="C15" s="864" t="n"/>
      <c r="D15" s="874" t="n"/>
      <c r="E15" s="864" t="n"/>
      <c r="F15" s="864" t="n"/>
      <c r="G15" s="864" t="n"/>
      <c r="H15" s="864" t="n"/>
      <c r="I15" s="754" t="inlineStr">
        <is>
          <t>Deviation from current period plan in absolute</t>
        </is>
      </c>
      <c r="J15" s="41" t="n"/>
      <c r="K15" s="754" t="inlineStr">
        <is>
          <t>Deviation from same period of the previous year in absolute</t>
        </is>
      </c>
      <c r="L15" s="41" t="inlineStr">
        <is>
          <t>Deviation from same period of the previous year %</t>
        </is>
      </c>
      <c r="M15" s="864" t="n"/>
      <c r="N15" s="864" t="n"/>
      <c r="O15" s="864" t="n"/>
      <c r="P15" s="722" t="inlineStr">
        <is>
          <t>Deviation from current period plan in absolute</t>
        </is>
      </c>
      <c r="Q15" s="509" t="n"/>
      <c r="R15" s="722" t="inlineStr">
        <is>
          <t>Deviation from same period of the previous year in absolute</t>
        </is>
      </c>
      <c r="S15" s="599" t="inlineStr">
        <is>
          <t>Deviation from same period of the previous year %</t>
        </is>
      </c>
    </row>
    <row r="16" ht="21.6" customHeight="1">
      <c r="A16" s="759" t="n"/>
      <c r="B16" s="759" t="n"/>
      <c r="C16" s="759" t="n"/>
      <c r="D16" s="759" t="n"/>
      <c r="E16" s="759" t="n"/>
      <c r="F16" s="819" t="inlineStr">
        <is>
          <t>Reporting period (month)</t>
        </is>
      </c>
      <c r="G16" s="861" t="n"/>
      <c r="H16" s="861" t="n"/>
      <c r="I16" s="861" t="n"/>
      <c r="J16" s="861" t="n"/>
      <c r="K16" s="861" t="n"/>
      <c r="L16" s="861" t="n"/>
      <c r="M16" s="719">
        <f>'[1]P&amp;L'!P9</f>
        <v/>
      </c>
      <c r="N16" s="861" t="n"/>
      <c r="O16" s="861" t="n"/>
      <c r="P16" s="861" t="n"/>
      <c r="Q16" s="861" t="n"/>
      <c r="R16" s="861" t="n"/>
      <c r="S16" s="861" t="n"/>
    </row>
    <row r="17" ht="15.75" customHeight="1">
      <c r="A17" s="759" t="n">
        <v>1</v>
      </c>
      <c r="B17" s="759" t="n">
        <v>2</v>
      </c>
      <c r="C17" s="759" t="n">
        <v>3</v>
      </c>
      <c r="D17" s="759" t="n">
        <v>4</v>
      </c>
      <c r="E17" s="759" t="n">
        <v>5</v>
      </c>
      <c r="F17" s="759" t="n">
        <v>6</v>
      </c>
      <c r="G17" s="759" t="n">
        <v>7</v>
      </c>
      <c r="H17" s="759" t="n">
        <v>8</v>
      </c>
      <c r="I17" s="759" t="n">
        <v>9</v>
      </c>
      <c r="J17" s="759" t="n">
        <v>10</v>
      </c>
      <c r="K17" s="759" t="n">
        <v>11</v>
      </c>
      <c r="L17" s="759" t="n">
        <v>12</v>
      </c>
      <c r="M17" s="759" t="n">
        <v>14</v>
      </c>
      <c r="N17" s="759" t="n">
        <v>15</v>
      </c>
      <c r="O17" s="759" t="n">
        <v>16</v>
      </c>
      <c r="P17" s="759" t="n">
        <v>17</v>
      </c>
      <c r="Q17" s="759" t="n">
        <v>18</v>
      </c>
      <c r="R17" s="759" t="n">
        <v>19</v>
      </c>
      <c r="S17" s="759" t="n">
        <v>20</v>
      </c>
    </row>
    <row r="18" ht="15.75" customFormat="1" customHeight="1" s="216">
      <c r="A18" s="150" t="n"/>
      <c r="B18" s="600" t="inlineStr">
        <is>
          <t>Operational expenditures</t>
        </is>
      </c>
      <c r="C18" s="600" t="n"/>
      <c r="D18" s="600" t="n"/>
      <c r="E18" s="600" t="n"/>
      <c r="F18" s="601" t="n"/>
      <c r="G18" s="601" t="n"/>
      <c r="H18" s="601" t="n"/>
      <c r="I18" s="601" t="n"/>
      <c r="J18" s="601" t="n"/>
      <c r="K18" s="601" t="n"/>
      <c r="L18" s="601" t="n"/>
      <c r="M18" s="601" t="n"/>
      <c r="N18" s="601" t="n"/>
      <c r="O18" s="601" t="n"/>
      <c r="P18" s="601" t="n"/>
      <c r="Q18" s="601" t="n"/>
      <c r="R18" s="601" t="n"/>
      <c r="S18" s="601" t="n"/>
    </row>
    <row r="19" customFormat="1" s="411">
      <c r="A19" s="602" t="inlineStr">
        <is>
          <t>Downstream</t>
        </is>
      </c>
      <c r="B19" s="602" t="inlineStr">
        <is>
          <t>Production cost of oil products</t>
        </is>
      </c>
      <c r="C19" s="602" t="n"/>
      <c r="D19" s="603">
        <f>"thsd</f>
        <v/>
      </c>
      <c r="E19" s="78" t="n"/>
      <c r="F19" s="604">
        <f>SUM(F20:F29)</f>
        <v/>
      </c>
      <c r="G19" s="604">
        <f>SUM(G20:G29)</f>
        <v/>
      </c>
      <c r="H19" s="604">
        <f>SUM(H20:H29)</f>
        <v/>
      </c>
      <c r="I19" s="605">
        <f>IFERROR(G19-H19,"N/A")</f>
        <v/>
      </c>
      <c r="J19" s="606">
        <f>IFERROR(($G19-$H19)/ABS($H19),"N/A")</f>
        <v/>
      </c>
      <c r="K19" s="605">
        <f>IFERROR($G19-$F19,"N/A")</f>
        <v/>
      </c>
      <c r="L19" s="606">
        <f>IFERROR(($G19-$F19)/ABS($F19),"N/A")</f>
        <v/>
      </c>
      <c r="M19" s="604">
        <f>SUM(M20:M29)</f>
        <v/>
      </c>
      <c r="N19" s="604">
        <f>SUM(N20:N29)</f>
        <v/>
      </c>
      <c r="O19" s="604">
        <f>SUM(O20:O29)</f>
        <v/>
      </c>
      <c r="P19" s="605">
        <f>IFERROR(N19-O19,"N/A")</f>
        <v/>
      </c>
      <c r="Q19" s="604">
        <f>IFERROR(($N19-$O19)/ABS($O19),"N/A")</f>
        <v/>
      </c>
      <c r="R19" s="605">
        <f>IFERROR($G19-$F19,"N/A")</f>
        <v/>
      </c>
      <c r="S19" s="604">
        <f>IFERROR(($N19-$M19)/ABS($M19),"N/A")</f>
        <v/>
      </c>
    </row>
    <row r="20" outlineLevel="1">
      <c r="A20" s="515" t="inlineStr">
        <is>
          <t>Downstream</t>
        </is>
      </c>
      <c r="B20" s="607" t="inlineStr">
        <is>
          <t>Diesel</t>
        </is>
      </c>
      <c r="C20" s="608" t="inlineStr">
        <is>
          <t>Dizel</t>
        </is>
      </c>
      <c r="D20" s="609">
        <f>"thsd</f>
        <v/>
      </c>
      <c r="E20" s="609" t="inlineStr">
        <is>
          <t>-</t>
        </is>
      </c>
      <c r="F20" s="61" t="n"/>
      <c r="G20" s="61" t="n"/>
      <c r="H20" s="61" t="n"/>
      <c r="I20" s="610">
        <f>IFERROR(G20-H20,"N/A")</f>
        <v/>
      </c>
      <c r="J20" s="385">
        <f>IFERROR(($G20-$H20)/ABS($H20),"N/A")</f>
        <v/>
      </c>
      <c r="K20" s="610">
        <f>IFERROR($G20-$F20,"N/A")</f>
        <v/>
      </c>
      <c r="L20" s="385">
        <f>IFERROR(($G20-$F20)/ABS($F20),"N/A")</f>
        <v/>
      </c>
      <c r="M20" s="61" t="n"/>
      <c r="N20" s="61" t="n"/>
      <c r="O20" s="61" t="n"/>
      <c r="P20" s="610">
        <f>IFERROR($N20-$O20,"N/A")</f>
        <v/>
      </c>
      <c r="Q20" s="385">
        <f>IFERROR(($N20-$O20)/ABS($O20),"N/A")</f>
        <v/>
      </c>
      <c r="R20" s="610">
        <f>IFERROR($N20-$M20,"N/A")</f>
        <v/>
      </c>
      <c r="S20" s="385">
        <f>IFERROR(($N20-$M20)/ABS($M20),"N/A")</f>
        <v/>
      </c>
    </row>
    <row r="21" outlineLevel="1">
      <c r="A21" s="515" t="inlineStr">
        <is>
          <t>Downstream</t>
        </is>
      </c>
      <c r="B21" s="607" t="inlineStr">
        <is>
          <t>Gasoline (Petrol)</t>
        </is>
      </c>
      <c r="C21" s="608" t="inlineStr">
        <is>
          <t>Benzinlər</t>
        </is>
      </c>
      <c r="D21" s="609">
        <f>"thsd</f>
        <v/>
      </c>
      <c r="E21" s="609" t="inlineStr">
        <is>
          <t>-</t>
        </is>
      </c>
      <c r="F21" s="61" t="n"/>
      <c r="G21" s="61" t="n"/>
      <c r="H21" s="61" t="n"/>
      <c r="I21" s="610">
        <f>IFERROR(G21-H21,"N/A")</f>
        <v/>
      </c>
      <c r="J21" s="385">
        <f>IFERROR(($G21-$H21)/ABS($H21),"N/A")</f>
        <v/>
      </c>
      <c r="K21" s="610">
        <f>IFERROR($G21-$F21,"N/A")</f>
        <v/>
      </c>
      <c r="L21" s="385">
        <f>IFERROR(($G21-$F21)/ABS($F21),"N/A")</f>
        <v/>
      </c>
      <c r="M21" s="61" t="n"/>
      <c r="N21" s="61" t="n"/>
      <c r="O21" s="61" t="n"/>
      <c r="P21" s="610">
        <f>IFERROR($N21-$O21,"N/A")</f>
        <v/>
      </c>
      <c r="Q21" s="385">
        <f>IFERROR(($N21-$O21)/ABS($O21),"N/A")</f>
        <v/>
      </c>
      <c r="R21" s="610">
        <f>IFERROR($N21-$M21,"N/A")</f>
        <v/>
      </c>
      <c r="S21" s="385">
        <f>IFERROR(($N21-$M21)/ABS($M21),"N/A")</f>
        <v/>
      </c>
    </row>
    <row r="22" outlineLevel="1">
      <c r="A22" s="515" t="inlineStr">
        <is>
          <t>Downstream</t>
        </is>
      </c>
      <c r="B22" s="607" t="inlineStr">
        <is>
          <t>Gasoil</t>
        </is>
      </c>
      <c r="C22" s="608" t="inlineStr">
        <is>
          <t>Qazoyl</t>
        </is>
      </c>
      <c r="D22" s="609">
        <f>"thsd</f>
        <v/>
      </c>
      <c r="E22" s="609" t="inlineStr">
        <is>
          <t>-</t>
        </is>
      </c>
      <c r="F22" s="61" t="n"/>
      <c r="G22" s="61" t="n"/>
      <c r="H22" s="61" t="n"/>
      <c r="I22" s="610">
        <f>IFERROR(G22-H22,"N/A")</f>
        <v/>
      </c>
      <c r="J22" s="385">
        <f>IFERROR(($G22-$H22)/ABS($H22),"N/A")</f>
        <v/>
      </c>
      <c r="K22" s="610">
        <f>IFERROR($G22-$F22,"N/A")</f>
        <v/>
      </c>
      <c r="L22" s="385">
        <f>IFERROR(($G22-$F22)/ABS($F22),"N/A")</f>
        <v/>
      </c>
      <c r="M22" s="61" t="n"/>
      <c r="N22" s="61" t="n"/>
      <c r="O22" s="61" t="n"/>
      <c r="P22" s="610">
        <f>IFERROR($N22-$O22,"N/A")</f>
        <v/>
      </c>
      <c r="Q22" s="385">
        <f>IFERROR(($N22-$O22)/ABS($O22),"N/A")</f>
        <v/>
      </c>
      <c r="R22" s="610">
        <f>IFERROR($N22-$M22,"N/A")</f>
        <v/>
      </c>
      <c r="S22" s="385">
        <f>IFERROR(($N22-$M22)/ABS($M22),"N/A")</f>
        <v/>
      </c>
    </row>
    <row r="23" outlineLevel="1">
      <c r="A23" s="515" t="inlineStr">
        <is>
          <t>Downstream</t>
        </is>
      </c>
      <c r="B23" s="607" t="inlineStr">
        <is>
          <t>Jet fuel</t>
        </is>
      </c>
      <c r="C23" s="608" t="n"/>
      <c r="D23" s="609">
        <f>"thsd</f>
        <v/>
      </c>
      <c r="E23" s="609" t="inlineStr">
        <is>
          <t>-</t>
        </is>
      </c>
      <c r="F23" s="61" t="n"/>
      <c r="G23" s="61" t="n"/>
      <c r="H23" s="61" t="n"/>
      <c r="I23" s="610">
        <f>IFERROR(G23-H23,"N/A")</f>
        <v/>
      </c>
      <c r="J23" s="385">
        <f>IFERROR(($G23-$H23)/ABS($H23),"N/A")</f>
        <v/>
      </c>
      <c r="K23" s="610">
        <f>IFERROR($G23-$F23,"N/A")</f>
        <v/>
      </c>
      <c r="L23" s="385">
        <f>IFERROR(($G23-$F23)/ABS($F23),"N/A")</f>
        <v/>
      </c>
      <c r="M23" s="61" t="n"/>
      <c r="N23" s="61" t="n"/>
      <c r="O23" s="61" t="n"/>
      <c r="P23" s="610">
        <f>IFERROR($N23-$O23,"N/A")</f>
        <v/>
      </c>
      <c r="Q23" s="385">
        <f>IFERROR(($N23-$O23)/ABS($O23),"N/A")</f>
        <v/>
      </c>
      <c r="R23" s="610">
        <f>IFERROR($N23-$M23,"N/A")</f>
        <v/>
      </c>
      <c r="S23" s="385">
        <f>IFERROR(($N23-$M23)/ABS($M23),"N/A")</f>
        <v/>
      </c>
    </row>
    <row r="24" outlineLevel="1">
      <c r="A24" s="515" t="inlineStr">
        <is>
          <t>Downstream</t>
        </is>
      </c>
      <c r="B24" s="607" t="inlineStr">
        <is>
          <t>Naphtha (all types)</t>
        </is>
      </c>
      <c r="C24" s="608" t="n"/>
      <c r="D24" s="609">
        <f>"thsd</f>
        <v/>
      </c>
      <c r="E24" s="609" t="inlineStr">
        <is>
          <t>-</t>
        </is>
      </c>
      <c r="F24" s="61" t="n"/>
      <c r="G24" s="61" t="n"/>
      <c r="H24" s="61" t="n"/>
      <c r="I24" s="610">
        <f>IFERROR(G24-H24,"N/A")</f>
        <v/>
      </c>
      <c r="J24" s="385">
        <f>IFERROR(($G24-$H24)/ABS($H24),"N/A")</f>
        <v/>
      </c>
      <c r="K24" s="610">
        <f>IFERROR($G24-$F24,"N/A")</f>
        <v/>
      </c>
      <c r="L24" s="385">
        <f>IFERROR(($G24-$F24)/ABS($F24),"N/A")</f>
        <v/>
      </c>
      <c r="M24" s="61" t="n"/>
      <c r="N24" s="61" t="n"/>
      <c r="O24" s="61" t="n"/>
      <c r="P24" s="610">
        <f>IFERROR($N24-$O24,"N/A")</f>
        <v/>
      </c>
      <c r="Q24" s="385">
        <f>IFERROR(($N24-$O24)/ABS($O24),"N/A")</f>
        <v/>
      </c>
      <c r="R24" s="610">
        <f>IFERROR($N24-$M24,"N/A")</f>
        <v/>
      </c>
      <c r="S24" s="385">
        <f>IFERROR(($N24-$M24)/ABS($M24),"N/A")</f>
        <v/>
      </c>
    </row>
    <row r="25" outlineLevel="1">
      <c r="A25" s="515" t="inlineStr">
        <is>
          <t>Downstream</t>
        </is>
      </c>
      <c r="B25" s="607" t="inlineStr">
        <is>
          <t>Reformate</t>
        </is>
      </c>
      <c r="C25" s="608" t="inlineStr">
        <is>
          <t>Reformat</t>
        </is>
      </c>
      <c r="D25" s="609">
        <f>"thsd</f>
        <v/>
      </c>
      <c r="E25" s="609" t="inlineStr">
        <is>
          <t>-</t>
        </is>
      </c>
      <c r="F25" s="61" t="n"/>
      <c r="G25" s="61" t="n"/>
      <c r="H25" s="61" t="n"/>
      <c r="I25" s="610">
        <f>IFERROR(G25-H25,"N/A")</f>
        <v/>
      </c>
      <c r="J25" s="385">
        <f>IFERROR(($G25-$H25)/ABS($H25),"N/A")</f>
        <v/>
      </c>
      <c r="K25" s="610">
        <f>IFERROR($G25-$F25,"N/A")</f>
        <v/>
      </c>
      <c r="L25" s="385">
        <f>IFERROR(($G25-$F25)/ABS($F25),"N/A")</f>
        <v/>
      </c>
      <c r="M25" s="61" t="n"/>
      <c r="N25" s="61" t="n"/>
      <c r="O25" s="61" t="n"/>
      <c r="P25" s="610">
        <f>IFERROR($N25-$O25,"N/A")</f>
        <v/>
      </c>
      <c r="Q25" s="385">
        <f>IFERROR(($N25-$O25)/ABS($O25),"N/A")</f>
        <v/>
      </c>
      <c r="R25" s="610">
        <f>IFERROR($N25-$M25,"N/A")</f>
        <v/>
      </c>
      <c r="S25" s="385">
        <f>IFERROR(($N25-$M25)/ABS($M25),"N/A")</f>
        <v/>
      </c>
    </row>
    <row r="26" outlineLevel="1" ht="15.6" customFormat="1" customHeight="1" s="547">
      <c r="A26" s="611" t="inlineStr">
        <is>
          <t>Downstream</t>
        </is>
      </c>
      <c r="B26" s="607" t="inlineStr">
        <is>
          <t>Heavy oil products (incl. bitumem, heating oil, etc.)</t>
        </is>
      </c>
      <c r="C26" s="608" t="n"/>
      <c r="D26" s="609">
        <f>"thsd</f>
        <v/>
      </c>
      <c r="E26" s="609" t="inlineStr">
        <is>
          <t>-</t>
        </is>
      </c>
      <c r="F26" s="61" t="n"/>
      <c r="G26" s="61" t="n"/>
      <c r="H26" s="61" t="n"/>
      <c r="I26" s="612">
        <f>IFERROR(G26-H26,"N/A")</f>
        <v/>
      </c>
      <c r="J26" s="613">
        <f>IFERROR(($G26-$H26)/ABS($H26),"N/A")</f>
        <v/>
      </c>
      <c r="K26" s="612">
        <f>IFERROR($G26-$F26,"N/A")</f>
        <v/>
      </c>
      <c r="L26" s="613">
        <f>IFERROR(($G26-$F26)/ABS($F26),"N/A")</f>
        <v/>
      </c>
      <c r="M26" s="61" t="n"/>
      <c r="N26" s="61" t="n"/>
      <c r="O26" s="61" t="n"/>
      <c r="P26" s="612">
        <f>IFERROR($N26-$O26,"N/A")</f>
        <v/>
      </c>
      <c r="Q26" s="613">
        <f>IFERROR(($N26-$O26)/ABS($O26),"N/A")</f>
        <v/>
      </c>
      <c r="R26" s="612">
        <f>IFERROR($N26-$M26,"N/A")</f>
        <v/>
      </c>
      <c r="S26" s="613">
        <f>IFERROR(($N26-$M26)/ABS($M26),"N/A")</f>
        <v/>
      </c>
    </row>
    <row r="27" outlineLevel="1">
      <c r="A27" s="515" t="inlineStr">
        <is>
          <t>Downstream</t>
        </is>
      </c>
      <c r="B27" s="607" t="inlineStr">
        <is>
          <t>Gases</t>
        </is>
      </c>
      <c r="C27" s="608" t="inlineStr">
        <is>
          <t xml:space="preserve">Qazlar </t>
        </is>
      </c>
      <c r="D27" s="609">
        <f>"thsd</f>
        <v/>
      </c>
      <c r="E27" s="609" t="inlineStr">
        <is>
          <t>-</t>
        </is>
      </c>
      <c r="F27" s="61" t="n"/>
      <c r="G27" s="61" t="n"/>
      <c r="H27" s="61" t="n"/>
      <c r="I27" s="610">
        <f>IFERROR(G27-H27,"N/A")</f>
        <v/>
      </c>
      <c r="J27" s="385">
        <f>IFERROR(($G27-$H27)/ABS($H27),"N/A")</f>
        <v/>
      </c>
      <c r="K27" s="610">
        <f>IFERROR($G27-$F27,"N/A")</f>
        <v/>
      </c>
      <c r="L27" s="385">
        <f>IFERROR(($G27-$F27)/ABS($F27),"N/A")</f>
        <v/>
      </c>
      <c r="M27" s="61" t="n"/>
      <c r="N27" s="61" t="n"/>
      <c r="O27" s="61" t="n"/>
      <c r="P27" s="610">
        <f>IFERROR($N27-$O27,"N/A")</f>
        <v/>
      </c>
      <c r="Q27" s="385">
        <f>IFERROR(($N27-$O27)/ABS($O27),"N/A")</f>
        <v/>
      </c>
      <c r="R27" s="610">
        <f>IFERROR($N27-$M27,"N/A")</f>
        <v/>
      </c>
      <c r="S27" s="385">
        <f>IFERROR(($N27-$M27)/ABS($M27),"N/A")</f>
        <v/>
      </c>
    </row>
    <row r="28" outlineLevel="1">
      <c r="A28" s="515" t="inlineStr">
        <is>
          <t>Downstream</t>
        </is>
      </c>
      <c r="B28" s="607" t="inlineStr">
        <is>
          <t>Oils (Lubes)</t>
        </is>
      </c>
      <c r="C28" s="608" t="n"/>
      <c r="D28" s="609">
        <f>"thsd</f>
        <v/>
      </c>
      <c r="E28" s="609" t="inlineStr">
        <is>
          <t>-</t>
        </is>
      </c>
      <c r="F28" s="61" t="n"/>
      <c r="G28" s="61" t="n"/>
      <c r="H28" s="61" t="n"/>
      <c r="I28" s="610">
        <f>IFERROR(G28-H28,"N/A")</f>
        <v/>
      </c>
      <c r="J28" s="385">
        <f>IFERROR(($G28-$H28)/ABS($H28),"N/A")</f>
        <v/>
      </c>
      <c r="K28" s="610">
        <f>IFERROR($G28-$F28,"N/A")</f>
        <v/>
      </c>
      <c r="L28" s="385">
        <f>IFERROR(($G28-$F28)/ABS($F28),"N/A")</f>
        <v/>
      </c>
      <c r="M28" s="61" t="n"/>
      <c r="N28" s="61" t="n"/>
      <c r="O28" s="61" t="n"/>
      <c r="P28" s="610">
        <f>IFERROR($N28-$O28,"N/A")</f>
        <v/>
      </c>
      <c r="Q28" s="385">
        <f>IFERROR(($N28-$O28)/ABS($O28),"N/A")</f>
        <v/>
      </c>
      <c r="R28" s="610">
        <f>IFERROR($N28-$M28,"N/A")</f>
        <v/>
      </c>
      <c r="S28" s="385">
        <f>IFERROR(($N28-$M28)/ABS($M28),"N/A")</f>
        <v/>
      </c>
    </row>
    <row r="29" outlineLevel="1">
      <c r="A29" s="515" t="inlineStr">
        <is>
          <t>Downstream</t>
        </is>
      </c>
      <c r="B29" s="607" t="inlineStr">
        <is>
          <t>Other (incl. sulphur, etc.)</t>
        </is>
      </c>
      <c r="C29" s="608" t="n"/>
      <c r="D29" s="609">
        <f>"thsd</f>
        <v/>
      </c>
      <c r="E29" s="609" t="inlineStr">
        <is>
          <t>-</t>
        </is>
      </c>
      <c r="F29" s="61" t="n"/>
      <c r="G29" s="61" t="n"/>
      <c r="H29" s="61" t="n"/>
      <c r="I29" s="610">
        <f>IFERROR(G29-H29,"N/A")</f>
        <v/>
      </c>
      <c r="J29" s="385">
        <f>IFERROR(($G29-$H29)/ABS($H29),"N/A")</f>
        <v/>
      </c>
      <c r="K29" s="610">
        <f>IFERROR($G29-$F29,"N/A")</f>
        <v/>
      </c>
      <c r="L29" s="385">
        <f>IFERROR(($G29-$F29)/ABS($F29),"N/A")</f>
        <v/>
      </c>
      <c r="M29" s="61" t="n"/>
      <c r="N29" s="61" t="n"/>
      <c r="O29" s="61" t="n"/>
      <c r="P29" s="610">
        <f>IFERROR($N29-$O29,"N/A")</f>
        <v/>
      </c>
      <c r="Q29" s="385">
        <f>IFERROR(($N29-$O29)/ABS($O29),"N/A")</f>
        <v/>
      </c>
      <c r="R29" s="610">
        <f>IFERROR($N29-$M29,"N/A")</f>
        <v/>
      </c>
      <c r="S29" s="385">
        <f>IFERROR(($N29-$M29)/ABS($M29),"N/A")</f>
        <v/>
      </c>
    </row>
    <row r="30" customFormat="1" s="411">
      <c r="A30" s="602" t="inlineStr">
        <is>
          <t>Downstream</t>
        </is>
      </c>
      <c r="B30" s="602" t="inlineStr">
        <is>
          <t>Production cost of Petrochemicals</t>
        </is>
      </c>
      <c r="C30" s="602" t="n"/>
      <c r="D30" s="603">
        <f>"thsd</f>
        <v/>
      </c>
      <c r="E30" s="78" t="n"/>
      <c r="F30" s="604">
        <f>SUM(F31:F39)</f>
        <v/>
      </c>
      <c r="G30" s="604">
        <f>SUM(G31:G39)</f>
        <v/>
      </c>
      <c r="H30" s="604">
        <f>SUM(H31:H39)</f>
        <v/>
      </c>
      <c r="I30" s="605">
        <f>IFERROR(G30-H30,"N/A")</f>
        <v/>
      </c>
      <c r="J30" s="606">
        <f>IFERROR(($G30-$H30)/ABS($H30),"N/A")</f>
        <v/>
      </c>
      <c r="K30" s="605">
        <f>IFERROR($G30-$F30,"N/A")</f>
        <v/>
      </c>
      <c r="L30" s="606">
        <f>IFERROR(($G30-$F30)/ABS($F30),"N/A")</f>
        <v/>
      </c>
      <c r="M30" s="604">
        <f>SUM(M31:M39)</f>
        <v/>
      </c>
      <c r="N30" s="604">
        <f>SUM(N31:N39)</f>
        <v/>
      </c>
      <c r="O30" s="604">
        <f>SUM(O31:O39)</f>
        <v/>
      </c>
      <c r="P30" s="605">
        <f>IFERROR($N30-$O30,"N/A")</f>
        <v/>
      </c>
      <c r="Q30" s="606">
        <f>IFERROR(($N30-$O30)/ABS($O30),"N/A")</f>
        <v/>
      </c>
      <c r="R30" s="605">
        <f>IFERROR($N30-$M30,"N/A")</f>
        <v/>
      </c>
      <c r="S30" s="606">
        <f>IFERROR(($N30-$M30)/ABS($M30),"N/A")</f>
        <v/>
      </c>
    </row>
    <row r="31" outlineLevel="1">
      <c r="A31" s="515" t="inlineStr">
        <is>
          <t>Downstream</t>
        </is>
      </c>
      <c r="B31" s="607" t="inlineStr">
        <is>
          <t>Polyethylene (all types)</t>
        </is>
      </c>
      <c r="C31" s="608" t="n"/>
      <c r="D31" s="609">
        <f>"thsd</f>
        <v/>
      </c>
      <c r="E31" s="609" t="inlineStr">
        <is>
          <t>-</t>
        </is>
      </c>
      <c r="F31" s="61" t="n"/>
      <c r="G31" s="61" t="n"/>
      <c r="H31" s="61" t="n"/>
      <c r="I31" s="610">
        <f>IFERROR(G31-H31,"N/A")</f>
        <v/>
      </c>
      <c r="J31" s="385">
        <f>IFERROR(($G31-$H31)/ABS($H31),"N/A")</f>
        <v/>
      </c>
      <c r="K31" s="610">
        <f>IFERROR($G31-$F31,"N/A")</f>
        <v/>
      </c>
      <c r="L31" s="385">
        <f>IFERROR(($G31-$F31)/ABS($F31),"N/A")</f>
        <v/>
      </c>
      <c r="M31" s="61" t="n"/>
      <c r="N31" s="61" t="n"/>
      <c r="O31" s="61" t="n"/>
      <c r="P31" s="610">
        <f>IFERROR($N31-$O31,"N/A")</f>
        <v/>
      </c>
      <c r="Q31" s="385">
        <f>IFERROR(($N31-$O31)/ABS($O31),"N/A")</f>
        <v/>
      </c>
      <c r="R31" s="610">
        <f>IFERROR($N31-$M31,"N/A")</f>
        <v/>
      </c>
      <c r="S31" s="385">
        <f>IFERROR(($N31-$M31)/ABS($M31),"N/A")</f>
        <v/>
      </c>
    </row>
    <row r="32" outlineLevel="1">
      <c r="A32" s="515" t="inlineStr">
        <is>
          <t>Downstream</t>
        </is>
      </c>
      <c r="B32" s="607" t="inlineStr">
        <is>
          <t>Polypropylene (all types)</t>
        </is>
      </c>
      <c r="C32" s="608" t="n"/>
      <c r="D32" s="609">
        <f>"thsd</f>
        <v/>
      </c>
      <c r="E32" s="609" t="inlineStr">
        <is>
          <t>-</t>
        </is>
      </c>
      <c r="F32" s="61" t="n"/>
      <c r="G32" s="61" t="n"/>
      <c r="H32" s="61" t="n"/>
      <c r="I32" s="610">
        <f>IFERROR(G32-H32,"N/A")</f>
        <v/>
      </c>
      <c r="J32" s="385">
        <f>IFERROR(($G32-$H32)/ABS($H32),"N/A")</f>
        <v/>
      </c>
      <c r="K32" s="610">
        <f>IFERROR($G32-$F32,"N/A")</f>
        <v/>
      </c>
      <c r="L32" s="385">
        <f>IFERROR(($G32-$F32)/ABS($F32),"N/A")</f>
        <v/>
      </c>
      <c r="M32" s="61" t="n"/>
      <c r="N32" s="61" t="n"/>
      <c r="O32" s="61" t="n"/>
      <c r="P32" s="610">
        <f>IFERROR($N32-$O32,"N/A")</f>
        <v/>
      </c>
      <c r="Q32" s="385">
        <f>IFERROR(($N32-$O32)/ABS($O32),"N/A")</f>
        <v/>
      </c>
      <c r="R32" s="610">
        <f>IFERROR($N32-$M32,"N/A")</f>
        <v/>
      </c>
      <c r="S32" s="385">
        <f>IFERROR(($N32-$M32)/ABS($M32),"N/A")</f>
        <v/>
      </c>
    </row>
    <row r="33" outlineLevel="1">
      <c r="A33" s="515" t="inlineStr">
        <is>
          <t>Downstream</t>
        </is>
      </c>
      <c r="B33" s="607" t="inlineStr">
        <is>
          <t>Aromatics (benzene, xylenes, etc.)</t>
        </is>
      </c>
      <c r="C33" s="608" t="n"/>
      <c r="D33" s="609">
        <f>"thsd</f>
        <v/>
      </c>
      <c r="E33" s="609" t="inlineStr">
        <is>
          <t>-</t>
        </is>
      </c>
      <c r="F33" s="61" t="n"/>
      <c r="G33" s="61" t="n"/>
      <c r="H33" s="61" t="n"/>
      <c r="I33" s="610">
        <f>IFERROR(G33-H33,"N/A")</f>
        <v/>
      </c>
      <c r="J33" s="385">
        <f>IFERROR(($G33-$H33)/ABS($H33),"N/A")</f>
        <v/>
      </c>
      <c r="K33" s="610">
        <f>IFERROR($G33-$F33,"N/A")</f>
        <v/>
      </c>
      <c r="L33" s="385">
        <f>IFERROR(($G33-$F33)/ABS($F33),"N/A")</f>
        <v/>
      </c>
      <c r="M33" s="61" t="n"/>
      <c r="N33" s="61" t="n"/>
      <c r="O33" s="61" t="n"/>
      <c r="P33" s="610">
        <f>IFERROR($N33-$O33,"N/A")</f>
        <v/>
      </c>
      <c r="Q33" s="385">
        <f>IFERROR(($N33-$O33)/ABS($O33),"N/A")</f>
        <v/>
      </c>
      <c r="R33" s="610">
        <f>IFERROR($N33-$M33,"N/A")</f>
        <v/>
      </c>
      <c r="S33" s="385">
        <f>IFERROR(($N33-$M33)/ABS($M33),"N/A")</f>
        <v/>
      </c>
    </row>
    <row r="34" outlineLevel="1">
      <c r="A34" s="515" t="inlineStr">
        <is>
          <t>Downstream</t>
        </is>
      </c>
      <c r="B34" s="607" t="inlineStr">
        <is>
          <t>С4-С5</t>
        </is>
      </c>
      <c r="C34" s="608" t="inlineStr">
        <is>
          <t>С4-С5</t>
        </is>
      </c>
      <c r="D34" s="609">
        <f>"thsd</f>
        <v/>
      </c>
      <c r="E34" s="609" t="inlineStr">
        <is>
          <t>-</t>
        </is>
      </c>
      <c r="F34" s="61" t="n"/>
      <c r="G34" s="61" t="n"/>
      <c r="H34" s="61" t="n"/>
      <c r="I34" s="610">
        <f>IFERROR(G34-H34,"N/A")</f>
        <v/>
      </c>
      <c r="J34" s="385">
        <f>IFERROR(($G34-$H34)/ABS($H34),"N/A")</f>
        <v/>
      </c>
      <c r="K34" s="610">
        <f>IFERROR($G34-$F34,"N/A")</f>
        <v/>
      </c>
      <c r="L34" s="385">
        <f>IFERROR(($G34-$F34)/ABS($F34),"N/A")</f>
        <v/>
      </c>
      <c r="M34" s="61" t="n"/>
      <c r="N34" s="61" t="n"/>
      <c r="O34" s="61" t="n"/>
      <c r="P34" s="610">
        <f>IFERROR($N34-$O34,"N/A")</f>
        <v/>
      </c>
      <c r="Q34" s="385">
        <f>IFERROR(($N34-$O34)/ABS($O34),"N/A")</f>
        <v/>
      </c>
      <c r="R34" s="610">
        <f>IFERROR($N34-$M34,"N/A")</f>
        <v/>
      </c>
      <c r="S34" s="385">
        <f>IFERROR(($N34-$M34)/ABS($M34),"N/A")</f>
        <v/>
      </c>
    </row>
    <row r="35" outlineLevel="1">
      <c r="A35" s="515" t="inlineStr">
        <is>
          <t>Downstream</t>
        </is>
      </c>
      <c r="B35" s="607" t="inlineStr">
        <is>
          <t>Other plastics (PVC, PA, etc.)</t>
        </is>
      </c>
      <c r="C35" s="608" t="n"/>
      <c r="D35" s="609">
        <f>"thsd</f>
        <v/>
      </c>
      <c r="E35" s="609" t="inlineStr">
        <is>
          <t>-</t>
        </is>
      </c>
      <c r="F35" s="61" t="n"/>
      <c r="G35" s="61" t="n"/>
      <c r="H35" s="61" t="n"/>
      <c r="I35" s="610">
        <f>IFERROR(G35-H35,"N/A")</f>
        <v/>
      </c>
      <c r="J35" s="385">
        <f>IFERROR(($G35-$H35)/ABS($H35),"N/A")</f>
        <v/>
      </c>
      <c r="K35" s="610">
        <f>IFERROR($G35-$F35,"N/A")</f>
        <v/>
      </c>
      <c r="L35" s="385">
        <f>IFERROR(($G35-$F35)/ABS($F35),"N/A")</f>
        <v/>
      </c>
      <c r="M35" s="61" t="n"/>
      <c r="N35" s="61" t="n"/>
      <c r="O35" s="61" t="n"/>
      <c r="P35" s="610">
        <f>IFERROR($N35-$O35,"N/A")</f>
        <v/>
      </c>
      <c r="Q35" s="385">
        <f>IFERROR(($N35-$O35)/ABS($O35),"N/A")</f>
        <v/>
      </c>
      <c r="R35" s="610">
        <f>IFERROR($N35-$M35,"N/A")</f>
        <v/>
      </c>
      <c r="S35" s="385">
        <f>IFERROR(($N35-$M35)/ABS($M35),"N/A")</f>
        <v/>
      </c>
    </row>
    <row r="36" outlineLevel="1">
      <c r="A36" s="515" t="inlineStr">
        <is>
          <t>Downstream</t>
        </is>
      </c>
      <c r="B36" s="607" t="inlineStr">
        <is>
          <t>Monomers (ethylene, propylene, etc.)</t>
        </is>
      </c>
      <c r="C36" s="608" t="n"/>
      <c r="D36" s="609">
        <f>"thsd</f>
        <v/>
      </c>
      <c r="E36" s="609" t="inlineStr">
        <is>
          <t>-</t>
        </is>
      </c>
      <c r="F36" s="61" t="n"/>
      <c r="G36" s="61" t="n"/>
      <c r="H36" s="61" t="n"/>
      <c r="I36" s="610">
        <f>IFERROR(G36-H36,"N/A")</f>
        <v/>
      </c>
      <c r="J36" s="385">
        <f>IFERROR(($G36-$H36)/ABS($H36),"N/A")</f>
        <v/>
      </c>
      <c r="K36" s="610">
        <f>IFERROR($G36-$F36,"N/A")</f>
        <v/>
      </c>
      <c r="L36" s="385">
        <f>IFERROR(($G36-$F36)/ABS($F36),"N/A")</f>
        <v/>
      </c>
      <c r="M36" s="61" t="n"/>
      <c r="N36" s="61" t="n"/>
      <c r="O36" s="61" t="n"/>
      <c r="P36" s="610">
        <f>IFERROR($N36-$O36,"N/A")</f>
        <v/>
      </c>
      <c r="Q36" s="385">
        <f>IFERROR(($N36-$O36)/ABS($O36),"N/A")</f>
        <v/>
      </c>
      <c r="R36" s="610">
        <f>IFERROR($N36-$M36,"N/A")</f>
        <v/>
      </c>
      <c r="S36" s="385">
        <f>IFERROR(($N36-$M36)/ABS($M36),"N/A")</f>
        <v/>
      </c>
    </row>
    <row r="37" outlineLevel="1">
      <c r="A37" s="515" t="inlineStr">
        <is>
          <t>Downstream</t>
        </is>
      </c>
      <c r="B37" s="607" t="inlineStr">
        <is>
          <t>Alcohols &amp; Glycols</t>
        </is>
      </c>
      <c r="C37" s="608" t="n"/>
      <c r="D37" s="609">
        <f>"thsd</f>
        <v/>
      </c>
      <c r="E37" s="609" t="inlineStr">
        <is>
          <t>-</t>
        </is>
      </c>
      <c r="F37" s="61" t="n"/>
      <c r="G37" s="61" t="n"/>
      <c r="H37" s="61" t="n"/>
      <c r="I37" s="610">
        <f>IFERROR(G37-H37,"N/A")</f>
        <v/>
      </c>
      <c r="J37" s="385">
        <f>IFERROR(($G37-$H37)/ABS($H37),"N/A")</f>
        <v/>
      </c>
      <c r="K37" s="610">
        <f>IFERROR($G37-$F37,"N/A")</f>
        <v/>
      </c>
      <c r="L37" s="385">
        <f>IFERROR(($G37-$F37)/ABS($F37),"N/A")</f>
        <v/>
      </c>
      <c r="M37" s="61" t="n"/>
      <c r="N37" s="61" t="n"/>
      <c r="O37" s="61" t="n"/>
      <c r="P37" s="610">
        <f>IFERROR($N37-$O37,"N/A")</f>
        <v/>
      </c>
      <c r="Q37" s="385">
        <f>IFERROR(($N37-$O37)/ABS($O37),"N/A")</f>
        <v/>
      </c>
      <c r="R37" s="610">
        <f>IFERROR($N37-$M37,"N/A")</f>
        <v/>
      </c>
      <c r="S37" s="385">
        <f>IFERROR(($N37-$M37)/ABS($M37),"N/A")</f>
        <v/>
      </c>
    </row>
    <row r="38" outlineLevel="1">
      <c r="A38" s="515" t="inlineStr">
        <is>
          <t>Downstream</t>
        </is>
      </c>
      <c r="B38" s="607" t="inlineStr">
        <is>
          <t>Gases</t>
        </is>
      </c>
      <c r="C38" s="608" t="inlineStr">
        <is>
          <t xml:space="preserve">Qazlar </t>
        </is>
      </c>
      <c r="D38" s="609">
        <f>"thsd</f>
        <v/>
      </c>
      <c r="E38" s="609" t="inlineStr">
        <is>
          <t>-</t>
        </is>
      </c>
      <c r="F38" s="61" t="n"/>
      <c r="G38" s="61" t="n"/>
      <c r="H38" s="61" t="n"/>
      <c r="I38" s="610">
        <f>IFERROR(G38-H38,"N/A")</f>
        <v/>
      </c>
      <c r="J38" s="385">
        <f>IFERROR(($G38-$H38)/ABS($H38),"N/A")</f>
        <v/>
      </c>
      <c r="K38" s="610">
        <f>IFERROR($G38-$F38,"N/A")</f>
        <v/>
      </c>
      <c r="L38" s="385">
        <f>IFERROR(($G38-$F38)/ABS($F38),"N/A")</f>
        <v/>
      </c>
      <c r="M38" s="61" t="n"/>
      <c r="N38" s="61" t="n"/>
      <c r="O38" s="61" t="n"/>
      <c r="P38" s="610">
        <f>IFERROR($N38-$O38,"N/A")</f>
        <v/>
      </c>
      <c r="Q38" s="385">
        <f>IFERROR(($N38-$O38)/ABS($O38),"N/A")</f>
        <v/>
      </c>
      <c r="R38" s="610">
        <f>IFERROR($N38-$M38,"N/A")</f>
        <v/>
      </c>
      <c r="S38" s="385">
        <f>IFERROR(($N38-$M38)/ABS($M38),"N/A")</f>
        <v/>
      </c>
    </row>
    <row r="39" outlineLevel="1">
      <c r="A39" s="515" t="inlineStr">
        <is>
          <t>Downstream</t>
        </is>
      </c>
      <c r="B39" s="607" t="inlineStr">
        <is>
          <t>Other</t>
        </is>
      </c>
      <c r="C39" s="608" t="n"/>
      <c r="D39" s="609">
        <f>"thsd</f>
        <v/>
      </c>
      <c r="E39" s="609" t="inlineStr">
        <is>
          <t>-</t>
        </is>
      </c>
      <c r="F39" s="61" t="n"/>
      <c r="G39" s="61" t="n"/>
      <c r="H39" s="61" t="n"/>
      <c r="I39" s="610">
        <f>IFERROR(G39-H39,"N/A")</f>
        <v/>
      </c>
      <c r="J39" s="385">
        <f>IFERROR(($G39-$H39)/ABS($H39),"N/A")</f>
        <v/>
      </c>
      <c r="K39" s="610">
        <f>IFERROR($G39-$F39,"N/A")</f>
        <v/>
      </c>
      <c r="L39" s="385">
        <f>IFERROR(($G39-$F39)/ABS($F39),"N/A")</f>
        <v/>
      </c>
      <c r="M39" s="61" t="n"/>
      <c r="N39" s="61" t="n"/>
      <c r="O39" s="61" t="n"/>
      <c r="P39" s="610">
        <f>IFERROR($N39-$O39,"N/A")</f>
        <v/>
      </c>
      <c r="Q39" s="385">
        <f>IFERROR(($N39-$O39)/ABS($O39),"N/A")</f>
        <v/>
      </c>
      <c r="R39" s="610">
        <f>IFERROR($N39-$M39,"N/A")</f>
        <v/>
      </c>
      <c r="S39" s="385">
        <f>IFERROR(($N39-$M39)/ABS($M39),"N/A")</f>
        <v/>
      </c>
    </row>
    <row r="40" customFormat="1" s="411">
      <c r="A40" s="602" t="inlineStr">
        <is>
          <t>Downstream</t>
        </is>
      </c>
      <c r="B40" s="602" t="inlineStr">
        <is>
          <t>Production cost of Gas products</t>
        </is>
      </c>
      <c r="C40" s="602" t="n"/>
      <c r="D40" s="603">
        <f>"thsd</f>
        <v/>
      </c>
      <c r="E40" s="78" t="n"/>
      <c r="F40" s="604">
        <f>SUM(F41:F45)</f>
        <v/>
      </c>
      <c r="G40" s="604">
        <f>SUM(G41:G45)</f>
        <v/>
      </c>
      <c r="H40" s="604">
        <f>SUM(H41:H45)</f>
        <v/>
      </c>
      <c r="I40" s="605">
        <f>IFERROR(G40-H40,"N/A")</f>
        <v/>
      </c>
      <c r="J40" s="606">
        <f>IFERROR(($G40-$H40)/ABS($H40),"N/A")</f>
        <v/>
      </c>
      <c r="K40" s="605">
        <f>IFERROR($G40-$F40,"N/A")</f>
        <v/>
      </c>
      <c r="L40" s="606">
        <f>IFERROR(($G40-$F40)/ABS($F40),"N/A")</f>
        <v/>
      </c>
      <c r="M40" s="604">
        <f>SUM(M41:M45)</f>
        <v/>
      </c>
      <c r="N40" s="604">
        <f>SUM(N41:N45)</f>
        <v/>
      </c>
      <c r="O40" s="604">
        <f>SUM(O41:O45)</f>
        <v/>
      </c>
      <c r="P40" s="605">
        <f>IFERROR($N40-$O40,"N/A")</f>
        <v/>
      </c>
      <c r="Q40" s="606">
        <f>IFERROR(($N40-$O40)/ABS($O40),"N/A")</f>
        <v/>
      </c>
      <c r="R40" s="605">
        <f>IFERROR($N40-$M40,"N/A")</f>
        <v/>
      </c>
      <c r="S40" s="606">
        <f>IFERROR(($N40-$M40)/ABS($M40),"N/A")</f>
        <v/>
      </c>
    </row>
    <row r="41" outlineLevel="1">
      <c r="A41" s="515" t="inlineStr">
        <is>
          <t>Downstream</t>
        </is>
      </c>
      <c r="B41" s="607" t="inlineStr">
        <is>
          <t>Methanol</t>
        </is>
      </c>
      <c r="C41" s="608" t="inlineStr">
        <is>
          <t>Metanol</t>
        </is>
      </c>
      <c r="D41" s="609">
        <f>"thsd</f>
        <v/>
      </c>
      <c r="E41" s="609" t="inlineStr">
        <is>
          <t>-</t>
        </is>
      </c>
      <c r="F41" s="61" t="n"/>
      <c r="G41" s="61" t="n"/>
      <c r="H41" s="61" t="n"/>
      <c r="I41" s="610">
        <f>IFERROR(G41-H41,"N/A")</f>
        <v/>
      </c>
      <c r="J41" s="385">
        <f>IFERROR(($G41-$H41)/ABS($H41),"N/A")</f>
        <v/>
      </c>
      <c r="K41" s="610">
        <f>IFERROR($G41-$F41,"N/A")</f>
        <v/>
      </c>
      <c r="L41" s="385">
        <f>IFERROR(($G41-$F41)/ABS($F41),"N/A")</f>
        <v/>
      </c>
      <c r="M41" s="61" t="n"/>
      <c r="N41" s="61" t="n"/>
      <c r="O41" s="61" t="n"/>
      <c r="P41" s="610">
        <f>IFERROR($N41-$O41,"N/A")</f>
        <v/>
      </c>
      <c r="Q41" s="385">
        <f>IFERROR(($N41-$O41)/ABS($O41),"N/A")</f>
        <v/>
      </c>
      <c r="R41" s="610">
        <f>IFERROR($N41-$M41,"N/A")</f>
        <v/>
      </c>
      <c r="S41" s="385">
        <f>IFERROR(($N41-$M41)/ABS($M41),"N/A")</f>
        <v/>
      </c>
    </row>
    <row r="42" outlineLevel="1">
      <c r="A42" s="515" t="inlineStr">
        <is>
          <t>Downstream</t>
        </is>
      </c>
      <c r="B42" s="607" t="inlineStr">
        <is>
          <t>Urea (Karbamid)</t>
        </is>
      </c>
      <c r="C42" s="608" t="inlineStr">
        <is>
          <t>Karbamid</t>
        </is>
      </c>
      <c r="D42" s="609">
        <f>"thsd</f>
        <v/>
      </c>
      <c r="E42" s="609" t="inlineStr">
        <is>
          <t>-</t>
        </is>
      </c>
      <c r="F42" s="61" t="n"/>
      <c r="G42" s="61" t="n"/>
      <c r="H42" s="61" t="n"/>
      <c r="I42" s="610">
        <f>IFERROR(G42-H42,"N/A")</f>
        <v/>
      </c>
      <c r="J42" s="385">
        <f>IFERROR(($G42-$H42)/ABS($H42),"N/A")</f>
        <v/>
      </c>
      <c r="K42" s="610">
        <f>IFERROR($G42-$F42,"N/A")</f>
        <v/>
      </c>
      <c r="L42" s="385">
        <f>IFERROR(($G42-$F42)/ABS($F42),"N/A")</f>
        <v/>
      </c>
      <c r="M42" s="61" t="n"/>
      <c r="N42" s="61" t="n"/>
      <c r="O42" s="61" t="n"/>
      <c r="P42" s="610">
        <f>IFERROR($N42-$O42,"N/A")</f>
        <v/>
      </c>
      <c r="Q42" s="385">
        <f>IFERROR(($N42-$O42)/ABS($O42),"N/A")</f>
        <v/>
      </c>
      <c r="R42" s="610">
        <f>IFERROR($N42-$M42,"N/A")</f>
        <v/>
      </c>
      <c r="S42" s="385">
        <f>IFERROR(($N42-$M42)/ABS($M42),"N/A")</f>
        <v/>
      </c>
    </row>
    <row r="43" outlineLevel="1">
      <c r="A43" s="515" t="inlineStr">
        <is>
          <t>Downstream</t>
        </is>
      </c>
      <c r="B43" s="607" t="inlineStr">
        <is>
          <t>Natural gas liquids (NGL)</t>
        </is>
      </c>
      <c r="C43" s="608" t="n"/>
      <c r="D43" s="609">
        <f>"thsd</f>
        <v/>
      </c>
      <c r="E43" s="609" t="inlineStr">
        <is>
          <t>-</t>
        </is>
      </c>
      <c r="F43" s="61" t="n"/>
      <c r="G43" s="61" t="n"/>
      <c r="H43" s="61" t="n"/>
      <c r="I43" s="610">
        <f>IFERROR(G43-H43,"N/A")</f>
        <v/>
      </c>
      <c r="J43" s="385">
        <f>IFERROR(($G43-$H43)/ABS($H43),"N/A")</f>
        <v/>
      </c>
      <c r="K43" s="610">
        <f>IFERROR($G43-$F43,"N/A")</f>
        <v/>
      </c>
      <c r="L43" s="385">
        <f>IFERROR(($G43-$F43)/ABS($F43),"N/A")</f>
        <v/>
      </c>
      <c r="M43" s="61" t="n"/>
      <c r="N43" s="61" t="n"/>
      <c r="O43" s="61" t="n"/>
      <c r="P43" s="610">
        <f>IFERROR($N43-$O43,"N/A")</f>
        <v/>
      </c>
      <c r="Q43" s="385">
        <f>IFERROR(($N43-$O43)/ABS($O43),"N/A")</f>
        <v/>
      </c>
      <c r="R43" s="610">
        <f>IFERROR($N43-$M43,"N/A")</f>
        <v/>
      </c>
      <c r="S43" s="385">
        <f>IFERROR(($N43-$M43)/ABS($M43),"N/A")</f>
        <v/>
      </c>
    </row>
    <row r="44" outlineLevel="1">
      <c r="A44" s="515" t="inlineStr">
        <is>
          <t>Downstream</t>
        </is>
      </c>
      <c r="B44" s="607" t="inlineStr">
        <is>
          <t>Natural gas liquids (NGL)</t>
        </is>
      </c>
      <c r="C44" s="608" t="n"/>
      <c r="D44" s="609">
        <f>"thsd</f>
        <v/>
      </c>
      <c r="E44" s="609" t="inlineStr">
        <is>
          <t>-</t>
        </is>
      </c>
      <c r="F44" s="61" t="n"/>
      <c r="G44" s="61" t="n"/>
      <c r="H44" s="61" t="n"/>
      <c r="I44" s="610">
        <f>IFERROR(G44-H44,"N/A")</f>
        <v/>
      </c>
      <c r="J44" s="385">
        <f>IFERROR(($G44-$H44)/ABS($H44),"N/A")</f>
        <v/>
      </c>
      <c r="K44" s="610">
        <f>IFERROR($G44-$F44,"N/A")</f>
        <v/>
      </c>
      <c r="L44" s="385">
        <f>IFERROR(($G44-$F44)/ABS($F44),"N/A")</f>
        <v/>
      </c>
      <c r="M44" s="61" t="n"/>
      <c r="N44" s="61" t="n"/>
      <c r="O44" s="61" t="n"/>
      <c r="P44" s="610">
        <f>IFERROR($N44-$O44,"N/A")</f>
        <v/>
      </c>
      <c r="Q44" s="385">
        <f>IFERROR(($N44-$O44)/ABS($O44),"N/A")</f>
        <v/>
      </c>
      <c r="R44" s="610">
        <f>IFERROR($N44-$M44,"N/A")</f>
        <v/>
      </c>
      <c r="S44" s="385">
        <f>IFERROR(($N44-$M44)/ABS($M44),"N/A")</f>
        <v/>
      </c>
    </row>
    <row r="45" outlineLevel="1">
      <c r="A45" s="515" t="inlineStr">
        <is>
          <t>Downstream</t>
        </is>
      </c>
      <c r="B45" s="607" t="inlineStr">
        <is>
          <t>Other</t>
        </is>
      </c>
      <c r="C45" s="608" t="n"/>
      <c r="D45" s="609">
        <f>"thsd</f>
        <v/>
      </c>
      <c r="E45" s="609" t="inlineStr">
        <is>
          <t>-</t>
        </is>
      </c>
      <c r="F45" s="61" t="n"/>
      <c r="G45" s="61" t="n"/>
      <c r="H45" s="61" t="n"/>
      <c r="I45" s="610">
        <f>IFERROR(G45-H45,"N/A")</f>
        <v/>
      </c>
      <c r="J45" s="385">
        <f>IFERROR(($G45-$H45)/ABS($H45),"N/A")</f>
        <v/>
      </c>
      <c r="K45" s="610">
        <f>IFERROR($G45-$F45,"N/A")</f>
        <v/>
      </c>
      <c r="L45" s="385">
        <f>IFERROR(($G45-$F45)/ABS($F45),"N/A")</f>
        <v/>
      </c>
      <c r="M45" s="61" t="n"/>
      <c r="N45" s="61" t="n"/>
      <c r="O45" s="61" t="n"/>
      <c r="P45" s="610">
        <f>IFERROR($N45-$O45,"N/A")</f>
        <v/>
      </c>
      <c r="Q45" s="385">
        <f>IFERROR(($N45-$O45)/ABS($O45),"N/A")</f>
        <v/>
      </c>
      <c r="R45" s="610">
        <f>IFERROR($N45-$M45,"N/A")</f>
        <v/>
      </c>
      <c r="S45" s="385">
        <f>IFERROR(($N45-$M45)/ABS($M45),"N/A")</f>
        <v/>
      </c>
    </row>
    <row r="46">
      <c r="A46" s="614" t="inlineStr">
        <is>
          <t>Downstream</t>
        </is>
      </c>
      <c r="B46" s="615" t="inlineStr">
        <is>
          <t>Production cost of Natural gas</t>
        </is>
      </c>
      <c r="C46" s="615" t="n"/>
      <c r="D46" s="603">
        <f>"thsd</f>
        <v/>
      </c>
      <c r="E46" s="603" t="inlineStr">
        <is>
          <t>-</t>
        </is>
      </c>
      <c r="F46" s="61" t="n"/>
      <c r="G46" s="61" t="n"/>
      <c r="H46" s="61" t="n"/>
      <c r="I46" s="605">
        <f>IFERROR(G46-H46,"N/A")</f>
        <v/>
      </c>
      <c r="J46" s="606">
        <f>IFERROR(($G46-$H46)/ABS($H46),"N/A")</f>
        <v/>
      </c>
      <c r="K46" s="605">
        <f>IFERROR($G46-$F46,"N/A")</f>
        <v/>
      </c>
      <c r="L46" s="606">
        <f>IFERROR(($G46-$F46)/ABS($F46),"N/A")</f>
        <v/>
      </c>
      <c r="M46" s="61" t="n"/>
      <c r="N46" s="61" t="n"/>
      <c r="O46" s="61" t="n"/>
      <c r="P46" s="605">
        <f>IFERROR($N46-$O46,"N/A")</f>
        <v/>
      </c>
      <c r="Q46" s="606">
        <f>IFERROR(($N46-$O46)/ABS($O46),"N/A")</f>
        <v/>
      </c>
      <c r="R46" s="605">
        <f>IFERROR($N46-$M46,"N/A")</f>
        <v/>
      </c>
      <c r="S46" s="606">
        <f>IFERROR(($N46-$M46)/ABS($M46),"N/A")</f>
        <v/>
      </c>
    </row>
    <row r="47" customFormat="1" s="411">
      <c r="A47" s="602" t="inlineStr">
        <is>
          <t>Downstream</t>
        </is>
      </c>
      <c r="B47" s="602" t="inlineStr">
        <is>
          <t>Total production costs, including:</t>
        </is>
      </c>
      <c r="C47" s="602" t="n"/>
      <c r="D47" s="616">
        <f>"thsd</f>
        <v/>
      </c>
      <c r="E47" s="78" t="inlineStr">
        <is>
          <t>-</t>
        </is>
      </c>
      <c r="F47" s="604">
        <f>SUM(F48:F55)</f>
        <v/>
      </c>
      <c r="G47" s="604">
        <f>SUM(G48:G55)</f>
        <v/>
      </c>
      <c r="H47" s="604">
        <f>SUM(H48:H55)</f>
        <v/>
      </c>
      <c r="I47" s="604">
        <f>IFERROR(G47-H47,"N/A")</f>
        <v/>
      </c>
      <c r="J47" s="617">
        <f>IFERROR(($G47-$H47)/ABS($H47),"N/A")</f>
        <v/>
      </c>
      <c r="K47" s="604">
        <f>IFERROR($G47-$F47,"N/A")</f>
        <v/>
      </c>
      <c r="L47" s="617">
        <f>IFERROR(($G47-$F47)/ABS($F47),"N/A")</f>
        <v/>
      </c>
      <c r="M47" s="604">
        <f>SUM(M48:M55)</f>
        <v/>
      </c>
      <c r="N47" s="604">
        <f>SUM(N48:N55)</f>
        <v/>
      </c>
      <c r="O47" s="604">
        <f>SUM(O48:O55)</f>
        <v/>
      </c>
      <c r="P47" s="604">
        <f>IFERROR($N47-$O47,"N/A")</f>
        <v/>
      </c>
      <c r="Q47" s="617">
        <f>IFERROR(($N47-$O47)/ABS($O47),"N/A")</f>
        <v/>
      </c>
      <c r="R47" s="604">
        <f>IFERROR($N47-$M47,"N/A")</f>
        <v/>
      </c>
      <c r="S47" s="617">
        <f>IFERROR(($N47-$M47)/ABS($M47),"N/A")</f>
        <v/>
      </c>
    </row>
    <row r="48">
      <c r="A48" s="515" t="inlineStr">
        <is>
          <t>Downstream</t>
        </is>
      </c>
      <c r="B48" s="618" t="inlineStr">
        <is>
          <t>Electricity consumption costs</t>
        </is>
      </c>
      <c r="C48" s="619" t="n"/>
      <c r="D48" s="609">
        <f>"thsd</f>
        <v/>
      </c>
      <c r="E48" s="620" t="inlineStr">
        <is>
          <t>-</t>
        </is>
      </c>
      <c r="F48" s="61" t="n"/>
      <c r="G48" s="61" t="n"/>
      <c r="H48" s="61" t="n"/>
      <c r="I48" s="610">
        <f>IFERROR(G48-H48,"N/A")</f>
        <v/>
      </c>
      <c r="J48" s="385">
        <f>IFERROR(($G48-$H48)/ABS($H48),"N/A")</f>
        <v/>
      </c>
      <c r="K48" s="610">
        <f>IFERROR($G48-$F48,"N/A")</f>
        <v/>
      </c>
      <c r="L48" s="385">
        <f>IFERROR(($G48-$F48)/ABS($F48),"N/A")</f>
        <v/>
      </c>
      <c r="M48" s="61" t="n"/>
      <c r="N48" s="61" t="n"/>
      <c r="O48" s="61" t="n"/>
      <c r="P48" s="610">
        <f>IFERROR($N48-$O48,"N/A")</f>
        <v/>
      </c>
      <c r="Q48" s="385">
        <f>IFERROR(($N48-$O48)/ABS($O48),"N/A")</f>
        <v/>
      </c>
      <c r="R48" s="610">
        <f>IFERROR($N48-$M48,"N/A")</f>
        <v/>
      </c>
      <c r="S48" s="385">
        <f>IFERROR(($N48-$M48)/ABS($M48),"N/A")</f>
        <v/>
      </c>
    </row>
    <row r="49">
      <c r="A49" s="515" t="inlineStr">
        <is>
          <t>Downstream</t>
        </is>
      </c>
      <c r="B49" s="618" t="inlineStr">
        <is>
          <t>Heat consumption costs</t>
        </is>
      </c>
      <c r="C49" s="619" t="n"/>
      <c r="D49" s="609">
        <f>"thsd</f>
        <v/>
      </c>
      <c r="E49" s="620" t="inlineStr">
        <is>
          <t>-</t>
        </is>
      </c>
      <c r="F49" s="61" t="n"/>
      <c r="G49" s="61" t="n"/>
      <c r="H49" s="61" t="n"/>
      <c r="I49" s="610">
        <f>IFERROR(G49-H49,"N/A")</f>
        <v/>
      </c>
      <c r="J49" s="385">
        <f>IFERROR(($G49-$H49)/ABS($H49),"N/A")</f>
        <v/>
      </c>
      <c r="K49" s="610">
        <f>IFERROR($G49-$F49,"N/A")</f>
        <v/>
      </c>
      <c r="L49" s="385">
        <f>IFERROR(($G49-$F49)/ABS($F49),"N/A")</f>
        <v/>
      </c>
      <c r="M49" s="61" t="n"/>
      <c r="N49" s="61" t="n"/>
      <c r="O49" s="61" t="n"/>
      <c r="P49" s="610">
        <f>IFERROR($N49-$O49,"N/A")</f>
        <v/>
      </c>
      <c r="Q49" s="385">
        <f>IFERROR(($N49-$O49)/ABS($O49),"N/A")</f>
        <v/>
      </c>
      <c r="R49" s="610">
        <f>IFERROR($N49-$M49,"N/A")</f>
        <v/>
      </c>
      <c r="S49" s="385">
        <f>IFERROR(($N49-$M49)/ABS($M49),"N/A")</f>
        <v/>
      </c>
    </row>
    <row r="50">
      <c r="A50" s="515" t="inlineStr">
        <is>
          <t>Downstream</t>
        </is>
      </c>
      <c r="B50" s="618" t="inlineStr">
        <is>
          <t>Raw materials</t>
        </is>
      </c>
      <c r="C50" s="619" t="n"/>
      <c r="D50" s="609">
        <f>"thsd</f>
        <v/>
      </c>
      <c r="E50" s="620" t="inlineStr">
        <is>
          <t>-</t>
        </is>
      </c>
      <c r="F50" s="61" t="n"/>
      <c r="G50" s="61" t="n"/>
      <c r="H50" s="61" t="n"/>
      <c r="I50" s="610">
        <f>IFERROR(G50-H50,"N/A")</f>
        <v/>
      </c>
      <c r="J50" s="385">
        <f>IFERROR(($G50-$H50)/ABS($H50),"N/A")</f>
        <v/>
      </c>
      <c r="K50" s="610">
        <f>IFERROR($G50-$F50,"N/A")</f>
        <v/>
      </c>
      <c r="L50" s="385">
        <f>IFERROR(($G50-$F50)/ABS($F50),"N/A")</f>
        <v/>
      </c>
      <c r="M50" s="61" t="n"/>
      <c r="N50" s="61" t="n"/>
      <c r="O50" s="61" t="n"/>
      <c r="P50" s="610">
        <f>IFERROR($N50-$O50,"N/A")</f>
        <v/>
      </c>
      <c r="Q50" s="385">
        <f>IFERROR(($N50-$O50)/ABS($O50),"N/A")</f>
        <v/>
      </c>
      <c r="R50" s="610">
        <f>IFERROR($N50-$M50,"N/A")</f>
        <v/>
      </c>
      <c r="S50" s="385">
        <f>IFERROR(($N50-$M50)/ABS($M50),"N/A")</f>
        <v/>
      </c>
    </row>
    <row r="51">
      <c r="A51" s="515" t="inlineStr">
        <is>
          <t>Downstream</t>
        </is>
      </c>
      <c r="B51" s="618" t="inlineStr">
        <is>
          <t>Chemicals costs</t>
        </is>
      </c>
      <c r="C51" s="619" t="n"/>
      <c r="D51" s="609">
        <f>"thsd</f>
        <v/>
      </c>
      <c r="E51" s="620" t="inlineStr">
        <is>
          <t>-</t>
        </is>
      </c>
      <c r="F51" s="61" t="n"/>
      <c r="G51" s="61" t="n"/>
      <c r="H51" s="61" t="n"/>
      <c r="I51" s="610">
        <f>IFERROR(G51-H51,"N/A")</f>
        <v/>
      </c>
      <c r="J51" s="385">
        <f>IFERROR(($G51-$H51)/ABS($H51),"N/A")</f>
        <v/>
      </c>
      <c r="K51" s="610">
        <f>IFERROR($G51-$F51,"N/A")</f>
        <v/>
      </c>
      <c r="L51" s="385">
        <f>IFERROR(($G51-$F51)/ABS($F51),"N/A")</f>
        <v/>
      </c>
      <c r="M51" s="61" t="n"/>
      <c r="N51" s="61" t="n"/>
      <c r="O51" s="61" t="n"/>
      <c r="P51" s="610">
        <f>IFERROR($N51-$O51,"N/A")</f>
        <v/>
      </c>
      <c r="Q51" s="385">
        <f>IFERROR(($N51-$O51)/ABS($O51),"N/A")</f>
        <v/>
      </c>
      <c r="R51" s="610">
        <f>IFERROR($N51-$M51,"N/A")</f>
        <v/>
      </c>
      <c r="S51" s="385">
        <f>IFERROR(($N51-$M51)/ABS($M51),"N/A")</f>
        <v/>
      </c>
    </row>
    <row r="52" ht="25.5" customHeight="1">
      <c r="A52" s="515" t="inlineStr">
        <is>
          <t>Downstream</t>
        </is>
      </c>
      <c r="B52" s="618" t="inlineStr">
        <is>
          <t>Utilities costs (excl. electicity &amp; heat consumption)</t>
        </is>
      </c>
      <c r="C52" s="621" t="n"/>
      <c r="D52" s="609">
        <f>"thsd</f>
        <v/>
      </c>
      <c r="E52" s="620" t="inlineStr">
        <is>
          <t>-</t>
        </is>
      </c>
      <c r="F52" s="61" t="n"/>
      <c r="G52" s="61" t="n"/>
      <c r="H52" s="61" t="n"/>
      <c r="I52" s="610">
        <f>IFERROR(G52-H52,"N/A")</f>
        <v/>
      </c>
      <c r="J52" s="385">
        <f>IFERROR(($G52-$H52)/ABS($H52),"N/A")</f>
        <v/>
      </c>
      <c r="K52" s="610">
        <f>IFERROR($G52-$F52,"N/A")</f>
        <v/>
      </c>
      <c r="L52" s="385">
        <f>IFERROR(($G52-$F52)/ABS($F52),"N/A")</f>
        <v/>
      </c>
      <c r="M52" s="61" t="n"/>
      <c r="N52" s="61" t="n"/>
      <c r="O52" s="61" t="n"/>
      <c r="P52" s="610">
        <f>IFERROR($N52-$O52,"N/A")</f>
        <v/>
      </c>
      <c r="Q52" s="385">
        <f>IFERROR(($N52-$O52)/ABS($O52),"N/A")</f>
        <v/>
      </c>
      <c r="R52" s="610">
        <f>IFERROR($N52-$M52,"N/A")</f>
        <v/>
      </c>
      <c r="S52" s="385">
        <f>IFERROR(($N52-$M52)/ABS($M52),"N/A")</f>
        <v/>
      </c>
    </row>
    <row r="53">
      <c r="A53" s="515" t="inlineStr">
        <is>
          <t>Downstream</t>
        </is>
      </c>
      <c r="B53" s="618" t="inlineStr">
        <is>
          <t>Repairs and maintenance expenses</t>
        </is>
      </c>
      <c r="C53" s="619" t="n"/>
      <c r="D53" s="609">
        <f>"thsd</f>
        <v/>
      </c>
      <c r="E53" s="620" t="inlineStr">
        <is>
          <t>-</t>
        </is>
      </c>
      <c r="F53" s="61" t="n"/>
      <c r="G53" s="61" t="n"/>
      <c r="H53" s="61" t="n"/>
      <c r="I53" s="610">
        <f>IFERROR(G53-H53,"N/A")</f>
        <v/>
      </c>
      <c r="J53" s="385">
        <f>IFERROR(($G53-$H53)/ABS($H53),"N/A")</f>
        <v/>
      </c>
      <c r="K53" s="610">
        <f>IFERROR($G53-$F53,"N/A")</f>
        <v/>
      </c>
      <c r="L53" s="385">
        <f>IFERROR(($G53-$F53)/ABS($F53),"N/A")</f>
        <v/>
      </c>
      <c r="M53" s="61" t="n"/>
      <c r="N53" s="61" t="n"/>
      <c r="O53" s="61" t="n"/>
      <c r="P53" s="610">
        <f>IFERROR($N53-$O53,"N/A")</f>
        <v/>
      </c>
      <c r="Q53" s="385">
        <f>IFERROR(($N53-$O53)/ABS($O53),"N/A")</f>
        <v/>
      </c>
      <c r="R53" s="610">
        <f>IFERROR($N53-$M53,"N/A")</f>
        <v/>
      </c>
      <c r="S53" s="385">
        <f>IFERROR(($N53-$M53)/ABS($M53),"N/A")</f>
        <v/>
      </c>
    </row>
    <row r="54">
      <c r="A54" s="515" t="inlineStr">
        <is>
          <t>Downstream</t>
        </is>
      </c>
      <c r="B54" s="618" t="inlineStr">
        <is>
          <t>Personnel expenses (wages + social costs)</t>
        </is>
      </c>
      <c r="C54" s="619" t="n"/>
      <c r="D54" s="609">
        <f>"thsd</f>
        <v/>
      </c>
      <c r="E54" s="620" t="inlineStr">
        <is>
          <t>-</t>
        </is>
      </c>
      <c r="F54" s="61" t="n"/>
      <c r="G54" s="61" t="n"/>
      <c r="H54" s="61" t="n"/>
      <c r="I54" s="610">
        <f>IFERROR(G54-H54,"N/A")</f>
        <v/>
      </c>
      <c r="J54" s="385">
        <f>IFERROR(($G54-$H54)/ABS($H54),"N/A")</f>
        <v/>
      </c>
      <c r="K54" s="610">
        <f>IFERROR($G54-$F54,"N/A")</f>
        <v/>
      </c>
      <c r="L54" s="385">
        <f>IFERROR(($G54-$F54)/ABS($F54),"N/A")</f>
        <v/>
      </c>
      <c r="M54" s="61" t="n"/>
      <c r="N54" s="61" t="n"/>
      <c r="O54" s="61" t="n"/>
      <c r="P54" s="610">
        <f>IFERROR($N54-$O54,"N/A")</f>
        <v/>
      </c>
      <c r="Q54" s="385">
        <f>IFERROR(($N54-$O54)/ABS($O54),"N/A")</f>
        <v/>
      </c>
      <c r="R54" s="610">
        <f>IFERROR($N54-$M54,"N/A")</f>
        <v/>
      </c>
      <c r="S54" s="385">
        <f>IFERROR(($N54-$M54)/ABS($M54),"N/A")</f>
        <v/>
      </c>
    </row>
    <row r="55" ht="25.5" customFormat="1" customHeight="1" s="595">
      <c r="A55" s="515" t="inlineStr">
        <is>
          <t>Downstream</t>
        </is>
      </c>
      <c r="B55" s="618" t="inlineStr">
        <is>
          <t>Other production costs (excl. 50-56 lines)</t>
        </is>
      </c>
      <c r="C55" s="621" t="n"/>
      <c r="D55" s="609">
        <f>"thsd</f>
        <v/>
      </c>
      <c r="E55" s="620" t="inlineStr">
        <is>
          <t>-</t>
        </is>
      </c>
      <c r="F55" s="61" t="n"/>
      <c r="G55" s="61" t="n"/>
      <c r="H55" s="61" t="n"/>
      <c r="I55" s="610">
        <f>IFERROR(G55-H55,"N/A")</f>
        <v/>
      </c>
      <c r="J55" s="385">
        <f>IFERROR(($G55-$H55)/ABS($H55),"N/A")</f>
        <v/>
      </c>
      <c r="K55" s="610">
        <f>IFERROR($G55-$F55,"N/A")</f>
        <v/>
      </c>
      <c r="L55" s="385">
        <f>IFERROR(($G55-$F55)/ABS($F55),"N/A")</f>
        <v/>
      </c>
      <c r="M55" s="61" t="n"/>
      <c r="N55" s="61" t="n"/>
      <c r="O55" s="61" t="n"/>
      <c r="P55" s="610">
        <f>IFERROR($N55-$O55,"N/A")</f>
        <v/>
      </c>
      <c r="Q55" s="385">
        <f>IFERROR(($N55-$O55)/ABS($O55),"N/A")</f>
        <v/>
      </c>
      <c r="R55" s="610">
        <f>IFERROR($N55-$M55,"N/A")</f>
        <v/>
      </c>
      <c r="S55" s="385">
        <f>IFERROR(($N55-$M55)/ABS($M55),"N/A")</f>
        <v/>
      </c>
    </row>
    <row r="56" ht="63.75" customFormat="1" customHeight="1" s="595">
      <c r="A56" s="602" t="inlineStr">
        <is>
          <t>Upstream</t>
        </is>
      </c>
      <c r="B56" s="602" t="inlineStr">
        <is>
          <t>Exploration costs (incl. costs of acquisition of rights to explore in oil &amp; gas fields, cost of study towards topography and geology, and others)</t>
        </is>
      </c>
      <c r="C56" s="602" t="n"/>
      <c r="D56" s="616">
        <f>"thsd</f>
        <v/>
      </c>
      <c r="E56" s="78" t="inlineStr">
        <is>
          <t>-</t>
        </is>
      </c>
      <c r="F56" s="61" t="n"/>
      <c r="G56" s="61" t="n"/>
      <c r="H56" s="61" t="n"/>
      <c r="I56" s="610">
        <f>IFERROR(G56-H56,"N/A")</f>
        <v/>
      </c>
      <c r="J56" s="385">
        <f>IFERROR(($G56-$H56)/ABS($H56),"N/A")</f>
        <v/>
      </c>
      <c r="K56" s="610">
        <f>IFERROR($G56-$F56,"N/A")</f>
        <v/>
      </c>
      <c r="L56" s="385">
        <f>IFERROR(($G56-$F56)/ABS($F56),"N/A")</f>
        <v/>
      </c>
      <c r="M56" s="61" t="n"/>
      <c r="N56" s="61" t="n"/>
      <c r="O56" s="61" t="n"/>
      <c r="P56" s="610">
        <f>IFERROR($N56-$O56,"N/A")</f>
        <v/>
      </c>
      <c r="Q56" s="385">
        <f>IFERROR(($N56-$O56)/ABS($O56),"N/A")</f>
        <v/>
      </c>
      <c r="R56" s="610">
        <f>IFERROR($N56-$M56,"N/A")</f>
        <v/>
      </c>
      <c r="S56" s="385">
        <f>IFERROR(($N56-$M56)/ABS($M56),"N/A")</f>
        <v/>
      </c>
    </row>
    <row r="57" ht="25.5" customFormat="1" customHeight="1" s="411">
      <c r="A57" s="602" t="inlineStr">
        <is>
          <t>Upstream</t>
        </is>
      </c>
      <c r="B57" s="602" t="inlineStr">
        <is>
          <t>Production cost per each product (oil, gas, condensate)</t>
        </is>
      </c>
      <c r="C57" s="602" t="n"/>
      <c r="D57" s="616">
        <f>"thsd</f>
        <v/>
      </c>
      <c r="E57" s="78" t="inlineStr">
        <is>
          <t>-</t>
        </is>
      </c>
      <c r="F57" s="604">
        <f>SUM(F58:F59)</f>
        <v/>
      </c>
      <c r="G57" s="604">
        <f>SUM(G58:G59)</f>
        <v/>
      </c>
      <c r="H57" s="604">
        <f>SUM(H58:H59)</f>
        <v/>
      </c>
      <c r="I57" s="604">
        <f>IFERROR(G57-H57,"N/A")</f>
        <v/>
      </c>
      <c r="J57" s="617">
        <f>IFERROR(($G57-$H57)/ABS($H57),"N/A")</f>
        <v/>
      </c>
      <c r="K57" s="604">
        <f>IFERROR($G57-$F57,"N/A")</f>
        <v/>
      </c>
      <c r="L57" s="617">
        <f>IFERROR(($G57-$F57)/ABS($F57),"N/A")</f>
        <v/>
      </c>
      <c r="M57" s="604">
        <f>SUM(M58:M59)</f>
        <v/>
      </c>
      <c r="N57" s="604">
        <f>SUM(N58:N59)</f>
        <v/>
      </c>
      <c r="O57" s="604">
        <f>SUM(O58:O59)</f>
        <v/>
      </c>
      <c r="P57" s="604">
        <f>IFERROR($N57-$O57,"N/A")</f>
        <v/>
      </c>
      <c r="Q57" s="622">
        <f>IFERROR(($N57-$O57)/ABS($O57),"N/A")</f>
        <v/>
      </c>
      <c r="R57" s="604">
        <f>IFERROR($N57-$M57,"N/A")</f>
        <v/>
      </c>
      <c r="S57" s="617">
        <f>IFERROR(($N57-$M57)/ABS($M57),"N/A")</f>
        <v/>
      </c>
    </row>
    <row r="58" customFormat="1" s="626">
      <c r="A58" s="515" t="inlineStr">
        <is>
          <t>Upstream</t>
        </is>
      </c>
      <c r="B58" s="623" t="inlineStr">
        <is>
          <t>Crude oil (including condensate)</t>
        </is>
      </c>
      <c r="C58" s="624" t="inlineStr">
        <is>
          <t>Xam neft (kondensat daxil olmaqla)</t>
        </is>
      </c>
      <c r="D58" s="609">
        <f>"thsd</f>
        <v/>
      </c>
      <c r="E58" s="625" t="inlineStr">
        <is>
          <t>-</t>
        </is>
      </c>
      <c r="F58" s="61" t="n"/>
      <c r="G58" s="61" t="n"/>
      <c r="H58" s="61" t="n"/>
      <c r="I58" s="610">
        <f>IFERROR(G58-H58,"N/A")</f>
        <v/>
      </c>
      <c r="J58" s="385">
        <f>IFERROR(($G58-$H58)/ABS($H58),"N/A")</f>
        <v/>
      </c>
      <c r="K58" s="610">
        <f>IFERROR($G58-$F58,"N/A")</f>
        <v/>
      </c>
      <c r="L58" s="385">
        <f>IFERROR(($G58-$F58)/ABS($F58),"N/A")</f>
        <v/>
      </c>
      <c r="M58" s="61" t="n"/>
      <c r="N58" s="61" t="n"/>
      <c r="O58" s="61" t="n"/>
      <c r="P58" s="610">
        <f>IFERROR($N58-$O58,"N/A")</f>
        <v/>
      </c>
      <c r="Q58" s="385">
        <f>IFERROR(($N58-$O58)/ABS($O58),"N/A")</f>
        <v/>
      </c>
      <c r="R58" s="610">
        <f>IFERROR($N58-$M58,"N/A")</f>
        <v/>
      </c>
      <c r="S58" s="385">
        <f>IFERROR(($N58-$M58)/ABS($M58),"N/A")</f>
        <v/>
      </c>
    </row>
    <row r="59" customFormat="1" s="626">
      <c r="A59" s="515" t="inlineStr">
        <is>
          <t>Upstream</t>
        </is>
      </c>
      <c r="B59" s="623" t="inlineStr">
        <is>
          <t>Natural gas (including associated gas)</t>
        </is>
      </c>
      <c r="C59" s="624" t="n"/>
      <c r="D59" s="609">
        <f>"thsd</f>
        <v/>
      </c>
      <c r="E59" s="625" t="inlineStr">
        <is>
          <t>-</t>
        </is>
      </c>
      <c r="F59" s="61" t="n"/>
      <c r="G59" s="61" t="n"/>
      <c r="H59" s="61" t="n"/>
      <c r="I59" s="610">
        <f>IFERROR(G59-H59,"N/A")</f>
        <v/>
      </c>
      <c r="J59" s="385">
        <f>IFERROR(($G59-$H59)/ABS($H59),"N/A")</f>
        <v/>
      </c>
      <c r="K59" s="610">
        <f>IFERROR($G59-$F59,"N/A")</f>
        <v/>
      </c>
      <c r="L59" s="385">
        <f>IFERROR(($G59-$F59)/ABS($F59),"N/A")</f>
        <v/>
      </c>
      <c r="M59" s="61" t="n"/>
      <c r="N59" s="61" t="n"/>
      <c r="O59" s="61" t="n"/>
      <c r="P59" s="610">
        <f>IFERROR($N59-$O59,"N/A")</f>
        <v/>
      </c>
      <c r="Q59" s="385">
        <f>IFERROR(($N59-$O59)/ABS($O59),"N/A")</f>
        <v/>
      </c>
      <c r="R59" s="610">
        <f>IFERROR($N59-$M59,"N/A")</f>
        <v/>
      </c>
      <c r="S59" s="385">
        <f>IFERROR(($N59-$M59)/ABS($M59),"N/A")</f>
        <v/>
      </c>
    </row>
    <row r="60" ht="25.5" customFormat="1" customHeight="1" s="626">
      <c r="A60" s="515" t="inlineStr">
        <is>
          <t>Upstream</t>
        </is>
      </c>
      <c r="B60" s="627" t="inlineStr">
        <is>
          <t>Repairs and maintenance expenses of production wells</t>
        </is>
      </c>
      <c r="C60" s="628" t="n"/>
      <c r="D60" s="609">
        <f>"thsd</f>
        <v/>
      </c>
      <c r="E60" s="625" t="inlineStr">
        <is>
          <t>-</t>
        </is>
      </c>
      <c r="F60" s="61" t="n"/>
      <c r="G60" s="61" t="n"/>
      <c r="H60" s="61" t="n"/>
      <c r="I60" s="610">
        <f>IFERROR(G60-H60,"N/A")</f>
        <v/>
      </c>
      <c r="J60" s="385">
        <f>IFERROR(($G60-$H60)/ABS($H60),"N/A")</f>
        <v/>
      </c>
      <c r="K60" s="610">
        <f>IFERROR($G60-$F60,"N/A")</f>
        <v/>
      </c>
      <c r="L60" s="385">
        <f>IFERROR(($G60-$F60)/ABS($F60),"N/A")</f>
        <v/>
      </c>
      <c r="M60" s="61" t="n"/>
      <c r="N60" s="61" t="n"/>
      <c r="O60" s="61" t="n"/>
      <c r="P60" s="610">
        <f>IFERROR($N60-$O60,"N/A")</f>
        <v/>
      </c>
      <c r="Q60" s="385">
        <f>IFERROR(($N60-$O60)/ABS($O60),"N/A")</f>
        <v/>
      </c>
      <c r="R60" s="610">
        <f>IFERROR($N60-$M60,"N/A")</f>
        <v/>
      </c>
      <c r="S60" s="385">
        <f>IFERROR(($N60-$M60)/ABS($M60),"N/A")</f>
        <v/>
      </c>
    </row>
    <row r="61">
      <c r="A61" s="629" t="inlineStr">
        <is>
          <t>Drilling</t>
        </is>
      </c>
      <c r="B61" s="629" t="inlineStr">
        <is>
          <t>Total drilling costs</t>
        </is>
      </c>
      <c r="C61" s="629" t="n"/>
      <c r="D61" s="616">
        <f>"thsd</f>
        <v/>
      </c>
      <c r="E61" s="630" t="inlineStr">
        <is>
          <t>-</t>
        </is>
      </c>
      <c r="F61" s="61" t="n"/>
      <c r="G61" s="61" t="n"/>
      <c r="H61" s="61" t="n"/>
      <c r="I61" s="604">
        <f>IFERROR(G61-H61,"N/A")</f>
        <v/>
      </c>
      <c r="J61" s="622">
        <f>IFERROR(($G61-$H61)/ABS($H61),"N/A")</f>
        <v/>
      </c>
      <c r="K61" s="604">
        <f>IFERROR($G61-$F61,"N/A")</f>
        <v/>
      </c>
      <c r="L61" s="622">
        <f>IFERROR(($G61-$F61)/ABS($F61),"N/A")</f>
        <v/>
      </c>
      <c r="M61" s="61" t="n"/>
      <c r="N61" s="61" t="n"/>
      <c r="O61" s="61" t="n"/>
      <c r="P61" s="604">
        <f>IFERROR($N61-$O61,"N/A")</f>
        <v/>
      </c>
      <c r="Q61" s="630">
        <f>IFERROR(($N61-$O61)/ABS($O61),"N/A")</f>
        <v/>
      </c>
      <c r="R61" s="604">
        <f>IFERROR($N61-$M61,"N/A")</f>
        <v/>
      </c>
      <c r="S61" s="622">
        <f>IFERROR(($N61-$M61)/ABS($M61),"N/A")</f>
        <v/>
      </c>
    </row>
    <row r="62">
      <c r="A62" s="629" t="inlineStr">
        <is>
          <t>Midstream</t>
        </is>
      </c>
      <c r="B62" s="629" t="inlineStr">
        <is>
          <t>Transportation costs by pipeline (crude oil)</t>
        </is>
      </c>
      <c r="C62" s="629" t="n"/>
      <c r="D62" s="616">
        <f>"thsd</f>
        <v/>
      </c>
      <c r="E62" s="630" t="inlineStr">
        <is>
          <t>-</t>
        </is>
      </c>
      <c r="F62" s="604">
        <f>SUM(F63:F69)</f>
        <v/>
      </c>
      <c r="G62" s="604">
        <f>SUM(G63:G69)</f>
        <v/>
      </c>
      <c r="H62" s="604">
        <f>SUM(H63:H69)</f>
        <v/>
      </c>
      <c r="I62" s="604">
        <f>IFERROR(G62-H62,"N/A")</f>
        <v/>
      </c>
      <c r="J62" s="622">
        <f>IFERROR(($G62-$H62)/ABS($H62),"N/A")</f>
        <v/>
      </c>
      <c r="K62" s="604">
        <f>IFERROR($G62-$F62,"N/A")</f>
        <v/>
      </c>
      <c r="L62" s="622">
        <f>IFERROR(($G62-$F62)/ABS($F62),"N/A")</f>
        <v/>
      </c>
      <c r="M62" s="604">
        <f>SUM(M63:M69)</f>
        <v/>
      </c>
      <c r="N62" s="604">
        <f>SUM(N63:N69)</f>
        <v/>
      </c>
      <c r="O62" s="604">
        <f>SUM(O63:O69)</f>
        <v/>
      </c>
      <c r="P62" s="604">
        <f>IFERROR($N62-$O62,"N/A")</f>
        <v/>
      </c>
      <c r="Q62" s="630">
        <f>IFERROR(($N62-$O62)/ABS($O62),"N/A")</f>
        <v/>
      </c>
      <c r="R62" s="604">
        <f>IFERROR($N62-$M62,"N/A")</f>
        <v/>
      </c>
      <c r="S62" s="622">
        <f>IFERROR(($N62-$M62)/ABS($M62),"N/A")</f>
        <v/>
      </c>
    </row>
    <row r="63">
      <c r="A63" s="515" t="inlineStr">
        <is>
          <t>Midstream</t>
        </is>
      </c>
      <c r="B63" s="631" t="inlineStr">
        <is>
          <t>Raw materials and consumables used</t>
        </is>
      </c>
      <c r="C63" s="631" t="n"/>
      <c r="D63" s="609">
        <f>"thsd</f>
        <v/>
      </c>
      <c r="E63" s="625" t="inlineStr">
        <is>
          <t>-</t>
        </is>
      </c>
      <c r="F63" s="61" t="n"/>
      <c r="G63" s="61" t="n"/>
      <c r="H63" s="61" t="n"/>
      <c r="I63" s="610">
        <f>IFERROR(G63-H63,"N/A")</f>
        <v/>
      </c>
      <c r="J63" s="385">
        <f>IFERROR(($G63-$H63)/ABS($H63),"N/A")</f>
        <v/>
      </c>
      <c r="K63" s="610">
        <f>IFERROR($G63-$F63,"N/A")</f>
        <v/>
      </c>
      <c r="L63" s="385">
        <f>IFERROR(($G63-$F63)/ABS($F63),"N/A")</f>
        <v/>
      </c>
      <c r="M63" s="61" t="n"/>
      <c r="N63" s="61" t="n"/>
      <c r="O63" s="61" t="n"/>
      <c r="P63" s="610">
        <f>IFERROR($N63-$O63,"N/A")</f>
        <v/>
      </c>
      <c r="Q63" s="385">
        <f>IFERROR(($N63-$O63)/ABS($O63),"N/A")</f>
        <v/>
      </c>
      <c r="R63" s="610">
        <f>IFERROR($N63-$M63,"N/A")</f>
        <v/>
      </c>
      <c r="S63" s="385">
        <f>IFERROR(($N63-$M63)/ABS($M63),"N/A")</f>
        <v/>
      </c>
    </row>
    <row r="64" ht="25.5" customHeight="1">
      <c r="A64" s="515" t="inlineStr">
        <is>
          <t>Midstream</t>
        </is>
      </c>
      <c r="B64" s="258" t="inlineStr">
        <is>
          <t>Wages, salaries, SSPF and other employee expenses</t>
        </is>
      </c>
      <c r="C64" s="258" t="n"/>
      <c r="D64" s="609">
        <f>"thsd</f>
        <v/>
      </c>
      <c r="E64" s="625" t="inlineStr">
        <is>
          <t>-</t>
        </is>
      </c>
      <c r="F64" s="61" t="n"/>
      <c r="G64" s="61" t="n"/>
      <c r="H64" s="61" t="n"/>
      <c r="I64" s="610">
        <f>IFERROR(G64-H64,"N/A")</f>
        <v/>
      </c>
      <c r="J64" s="385">
        <f>IFERROR(($G64-$H64)/ABS($H64),"N/A")</f>
        <v/>
      </c>
      <c r="K64" s="610">
        <f>IFERROR($G64-$F64,"N/A")</f>
        <v/>
      </c>
      <c r="L64" s="385">
        <f>IFERROR(($G64-$F64)/ABS($F64),"N/A")</f>
        <v/>
      </c>
      <c r="M64" s="61" t="n"/>
      <c r="N64" s="61" t="n"/>
      <c r="O64" s="61" t="n"/>
      <c r="P64" s="610">
        <f>IFERROR($N64-$O64,"N/A")</f>
        <v/>
      </c>
      <c r="Q64" s="385">
        <f>IFERROR(($N64-$O64)/ABS($O64),"N/A")</f>
        <v/>
      </c>
      <c r="R64" s="610">
        <f>IFERROR($N64-$M64,"N/A")</f>
        <v/>
      </c>
      <c r="S64" s="385">
        <f>IFERROR(($N64-$M64)/ABS($M64),"N/A")</f>
        <v/>
      </c>
    </row>
    <row r="65">
      <c r="A65" s="515" t="inlineStr">
        <is>
          <t>Midstream</t>
        </is>
      </c>
      <c r="B65" s="258" t="inlineStr">
        <is>
          <t>Repairs and maintenance expenses</t>
        </is>
      </c>
      <c r="C65" s="258" t="n"/>
      <c r="D65" s="609">
        <f>"thsd</f>
        <v/>
      </c>
      <c r="E65" s="625" t="inlineStr">
        <is>
          <t>-</t>
        </is>
      </c>
      <c r="F65" s="61" t="n"/>
      <c r="G65" s="61" t="n"/>
      <c r="H65" s="61" t="n"/>
      <c r="I65" s="610">
        <f>IFERROR(G65-H65,"N/A")</f>
        <v/>
      </c>
      <c r="J65" s="385">
        <f>IFERROR(($G65-$H65)/ABS($H65),"N/A")</f>
        <v/>
      </c>
      <c r="K65" s="610">
        <f>IFERROR($G65-$F65,"N/A")</f>
        <v/>
      </c>
      <c r="L65" s="385">
        <f>IFERROR(($G65-$F65)/ABS($F65),"N/A")</f>
        <v/>
      </c>
      <c r="M65" s="61" t="n"/>
      <c r="N65" s="61" t="n"/>
      <c r="O65" s="61" t="n"/>
      <c r="P65" s="610">
        <f>IFERROR($N65-$O65,"N/A")</f>
        <v/>
      </c>
      <c r="Q65" s="385">
        <f>IFERROR(($N65-$O65)/ABS($O65),"N/A")</f>
        <v/>
      </c>
      <c r="R65" s="610">
        <f>IFERROR($N65-$M65,"N/A")</f>
        <v/>
      </c>
      <c r="S65" s="385">
        <f>IFERROR(($N65-$M65)/ABS($M65),"N/A")</f>
        <v/>
      </c>
    </row>
    <row r="66">
      <c r="A66" s="515" t="inlineStr">
        <is>
          <t>Midstream</t>
        </is>
      </c>
      <c r="B66" s="193" t="inlineStr">
        <is>
          <t>Automobile and special machinery services</t>
        </is>
      </c>
      <c r="C66" s="193" t="n"/>
      <c r="D66" s="609">
        <f>"thsd</f>
        <v/>
      </c>
      <c r="E66" s="625" t="inlineStr">
        <is>
          <t>-</t>
        </is>
      </c>
      <c r="F66" s="61" t="n"/>
      <c r="G66" s="61" t="n"/>
      <c r="H66" s="61" t="n"/>
      <c r="I66" s="610">
        <f>IFERROR(G66-H66,"N/A")</f>
        <v/>
      </c>
      <c r="J66" s="385">
        <f>IFERROR(($G66-$H66)/ABS($H66),"N/A")</f>
        <v/>
      </c>
      <c r="K66" s="610">
        <f>IFERROR($G66-$F66,"N/A")</f>
        <v/>
      </c>
      <c r="L66" s="385">
        <f>IFERROR(($G66-$F66)/ABS($F66),"N/A")</f>
        <v/>
      </c>
      <c r="M66" s="61" t="n"/>
      <c r="N66" s="61" t="n"/>
      <c r="O66" s="61" t="n"/>
      <c r="P66" s="610">
        <f>IFERROR($N66-$O66,"N/A")</f>
        <v/>
      </c>
      <c r="Q66" s="385">
        <f>IFERROR(($N66-$O66)/ABS($O66),"N/A")</f>
        <v/>
      </c>
      <c r="R66" s="610">
        <f>IFERROR($N66-$M66,"N/A")</f>
        <v/>
      </c>
      <c r="S66" s="385">
        <f>IFERROR(($N66-$M66)/ABS($M66),"N/A")</f>
        <v/>
      </c>
    </row>
    <row r="67">
      <c r="A67" s="515" t="inlineStr">
        <is>
          <t>Midstream</t>
        </is>
      </c>
      <c r="B67" s="258" t="inlineStr">
        <is>
          <t>Utilities expenses</t>
        </is>
      </c>
      <c r="C67" s="258" t="n"/>
      <c r="D67" s="609">
        <f>"thsd</f>
        <v/>
      </c>
      <c r="E67" s="625" t="inlineStr">
        <is>
          <t>-</t>
        </is>
      </c>
      <c r="F67" s="61" t="n"/>
      <c r="G67" s="61" t="n"/>
      <c r="H67" s="61" t="n"/>
      <c r="I67" s="610">
        <f>IFERROR(G67-H67,"N/A")</f>
        <v/>
      </c>
      <c r="J67" s="385">
        <f>IFERROR(($G67-$H67)/ABS($H67),"N/A")</f>
        <v/>
      </c>
      <c r="K67" s="610">
        <f>IFERROR($G67-$F67,"N/A")</f>
        <v/>
      </c>
      <c r="L67" s="385">
        <f>IFERROR(($G67-$F67)/ABS($F67),"N/A")</f>
        <v/>
      </c>
      <c r="M67" s="61" t="n"/>
      <c r="N67" s="61" t="n"/>
      <c r="O67" s="61" t="n"/>
      <c r="P67" s="610">
        <f>IFERROR($N67-$O67,"N/A")</f>
        <v/>
      </c>
      <c r="Q67" s="385">
        <f>IFERROR(($N67-$O67)/ABS($O67),"N/A")</f>
        <v/>
      </c>
      <c r="R67" s="610">
        <f>IFERROR($N67-$M67,"N/A")</f>
        <v/>
      </c>
      <c r="S67" s="385">
        <f>IFERROR(($N67-$M67)/ABS($M67),"N/A")</f>
        <v/>
      </c>
    </row>
    <row r="68">
      <c r="A68" s="515" t="inlineStr">
        <is>
          <t>Midstream</t>
        </is>
      </c>
      <c r="B68" s="193" t="inlineStr">
        <is>
          <t>Security services</t>
        </is>
      </c>
      <c r="C68" s="193" t="n"/>
      <c r="D68" s="609">
        <f>"thsd</f>
        <v/>
      </c>
      <c r="E68" s="625" t="inlineStr">
        <is>
          <t>-</t>
        </is>
      </c>
      <c r="F68" s="61" t="n"/>
      <c r="G68" s="61" t="n"/>
      <c r="H68" s="61" t="n"/>
      <c r="I68" s="610">
        <f>IFERROR(G68-H68,"N/A")</f>
        <v/>
      </c>
      <c r="J68" s="385">
        <f>IFERROR(($G68-$H68)/ABS($H68),"N/A")</f>
        <v/>
      </c>
      <c r="K68" s="610">
        <f>IFERROR($G68-$F68,"N/A")</f>
        <v/>
      </c>
      <c r="L68" s="385">
        <f>IFERROR(($G68-$F68)/ABS($F68),"N/A")</f>
        <v/>
      </c>
      <c r="M68" s="61" t="n"/>
      <c r="N68" s="61" t="n"/>
      <c r="O68" s="61" t="n"/>
      <c r="P68" s="610">
        <f>IFERROR($N68-$O68,"N/A")</f>
        <v/>
      </c>
      <c r="Q68" s="385">
        <f>IFERROR(($N68-$O68)/ABS($O68),"N/A")</f>
        <v/>
      </c>
      <c r="R68" s="610">
        <f>IFERROR($N68-$M68,"N/A")</f>
        <v/>
      </c>
      <c r="S68" s="385">
        <f>IFERROR(($N68-$M68)/ABS($M68),"N/A")</f>
        <v/>
      </c>
    </row>
    <row r="69">
      <c r="A69" s="515" t="inlineStr">
        <is>
          <t>Midstream</t>
        </is>
      </c>
      <c r="B69" s="631" t="inlineStr">
        <is>
          <t>Other</t>
        </is>
      </c>
      <c r="C69" s="631" t="inlineStr">
        <is>
          <t>Digər</t>
        </is>
      </c>
      <c r="D69" s="609">
        <f>"thsd</f>
        <v/>
      </c>
      <c r="E69" s="625" t="inlineStr">
        <is>
          <t>-</t>
        </is>
      </c>
      <c r="F69" s="61" t="n"/>
      <c r="G69" s="61" t="n"/>
      <c r="H69" s="61" t="n"/>
      <c r="I69" s="610">
        <f>IFERROR(G69-H69,"N/A")</f>
        <v/>
      </c>
      <c r="J69" s="385">
        <f>IFERROR(($G69-$H69)/ABS($H69),"N/A")</f>
        <v/>
      </c>
      <c r="K69" s="610">
        <f>IFERROR($G69-$F69,"N/A")</f>
        <v/>
      </c>
      <c r="L69" s="385">
        <f>IFERROR(($G69-$F69)/ABS($F69),"N/A")</f>
        <v/>
      </c>
      <c r="M69" s="61" t="n"/>
      <c r="N69" s="61" t="n"/>
      <c r="O69" s="61" t="n"/>
      <c r="P69" s="610">
        <f>IFERROR($N69-$O69,"N/A")</f>
        <v/>
      </c>
      <c r="Q69" s="385">
        <f>IFERROR(($N69-$O69)/ABS($O69),"N/A")</f>
        <v/>
      </c>
      <c r="R69" s="610">
        <f>IFERROR($N69-$M69,"N/A")</f>
        <v/>
      </c>
      <c r="S69" s="385">
        <f>IFERROR(($N69-$M69)/ABS($M69),"N/A")</f>
        <v/>
      </c>
    </row>
    <row r="70">
      <c r="A70" s="629" t="inlineStr">
        <is>
          <t>Midstream</t>
        </is>
      </c>
      <c r="B70" s="629" t="inlineStr">
        <is>
          <t>Transportation costs by pipeline (natural gas)</t>
        </is>
      </c>
      <c r="C70" s="629" t="n"/>
      <c r="D70" s="616">
        <f>"thsd</f>
        <v/>
      </c>
      <c r="E70" s="630" t="inlineStr">
        <is>
          <t>-</t>
        </is>
      </c>
      <c r="F70" s="604">
        <f>SUM(F71:F77)</f>
        <v/>
      </c>
      <c r="G70" s="604">
        <f>SUM(G71:G77)</f>
        <v/>
      </c>
      <c r="H70" s="604">
        <f>SUM(H71:H77)</f>
        <v/>
      </c>
      <c r="I70" s="604">
        <f>IFERROR(G70-H70,"N/A")</f>
        <v/>
      </c>
      <c r="J70" s="622">
        <f>IFERROR(($G70-$H70)/ABS($H70),"N/A")</f>
        <v/>
      </c>
      <c r="K70" s="604">
        <f>IFERROR($G70-$F70,"N/A")</f>
        <v/>
      </c>
      <c r="L70" s="622">
        <f>IFERROR(($G70-$F70)/ABS($F70),"N/A")</f>
        <v/>
      </c>
      <c r="M70" s="604">
        <f>SUM(M71:M77)</f>
        <v/>
      </c>
      <c r="N70" s="604">
        <f>SUM(N71:N77)</f>
        <v/>
      </c>
      <c r="O70" s="604">
        <f>SUM(O71:O77)</f>
        <v/>
      </c>
      <c r="P70" s="604">
        <f>IFERROR($N70-$O70,"N/A")</f>
        <v/>
      </c>
      <c r="Q70" s="622">
        <f>IFERROR(($N70-$O70)/ABS($O70),"N/A")</f>
        <v/>
      </c>
      <c r="R70" s="604">
        <f>IFERROR($N70-$M70,"N/A")</f>
        <v/>
      </c>
      <c r="S70" s="617">
        <f>IFERROR(($N70-$M70)/ABS($M70),"N/A")</f>
        <v/>
      </c>
    </row>
    <row r="71">
      <c r="A71" s="515" t="inlineStr">
        <is>
          <t>Midstream</t>
        </is>
      </c>
      <c r="B71" s="631" t="inlineStr">
        <is>
          <t>Raw materials and consumables used</t>
        </is>
      </c>
      <c r="C71" s="631" t="n"/>
      <c r="D71" s="609">
        <f>"thsd</f>
        <v/>
      </c>
      <c r="E71" s="625" t="inlineStr">
        <is>
          <t>-</t>
        </is>
      </c>
      <c r="F71" s="61" t="n"/>
      <c r="G71" s="61" t="n"/>
      <c r="H71" s="61" t="n"/>
      <c r="I71" s="610">
        <f>IFERROR(G71-H71,"N/A")</f>
        <v/>
      </c>
      <c r="J71" s="385">
        <f>IFERROR(($G71-$H71)/ABS($H71),"N/A")</f>
        <v/>
      </c>
      <c r="K71" s="610">
        <f>IFERROR($G71-$F71,"N/A")</f>
        <v/>
      </c>
      <c r="L71" s="385">
        <f>IFERROR(($G71-$F71)/ABS($F71),"N/A")</f>
        <v/>
      </c>
      <c r="M71" s="61" t="n"/>
      <c r="N71" s="61" t="n"/>
      <c r="O71" s="61" t="n"/>
      <c r="P71" s="610">
        <f>IFERROR($N71-$O71,"N/A")</f>
        <v/>
      </c>
      <c r="Q71" s="385">
        <f>IFERROR(($N71-$O71)/ABS($O71),"N/A")</f>
        <v/>
      </c>
      <c r="R71" s="610">
        <f>IFERROR($N71-$M71,"N/A")</f>
        <v/>
      </c>
      <c r="S71" s="385">
        <f>IFERROR(($N71-$M71)/ABS($M71),"N/A")</f>
        <v/>
      </c>
    </row>
    <row r="72" ht="25.5" customHeight="1">
      <c r="A72" s="515" t="inlineStr">
        <is>
          <t>Midstream</t>
        </is>
      </c>
      <c r="B72" s="258" t="inlineStr">
        <is>
          <t>Wages, salaries, SSPF and other employee expenses</t>
        </is>
      </c>
      <c r="C72" s="258" t="n"/>
      <c r="D72" s="609">
        <f>"thsd</f>
        <v/>
      </c>
      <c r="E72" s="625" t="inlineStr">
        <is>
          <t>-</t>
        </is>
      </c>
      <c r="F72" s="61" t="n"/>
      <c r="G72" s="61" t="n"/>
      <c r="H72" s="61" t="n"/>
      <c r="I72" s="610">
        <f>IFERROR(G72-H72,"N/A")</f>
        <v/>
      </c>
      <c r="J72" s="385">
        <f>IFERROR(($G72-$H72)/ABS($H72),"N/A")</f>
        <v/>
      </c>
      <c r="K72" s="610">
        <f>IFERROR($G72-$F72,"N/A")</f>
        <v/>
      </c>
      <c r="L72" s="385">
        <f>IFERROR(($G72-$F72)/ABS($F72),"N/A")</f>
        <v/>
      </c>
      <c r="M72" s="61" t="n"/>
      <c r="N72" s="61" t="n"/>
      <c r="O72" s="61" t="n"/>
      <c r="P72" s="610">
        <f>IFERROR($N72-$O72,"N/A")</f>
        <v/>
      </c>
      <c r="Q72" s="385">
        <f>IFERROR(($N72-$O72)/ABS($O72),"N/A")</f>
        <v/>
      </c>
      <c r="R72" s="610">
        <f>IFERROR($N72-$M72,"N/A")</f>
        <v/>
      </c>
      <c r="S72" s="385">
        <f>IFERROR(($N72-$M72)/ABS($M72),"N/A")</f>
        <v/>
      </c>
    </row>
    <row r="73">
      <c r="A73" s="515" t="inlineStr">
        <is>
          <t>Midstream</t>
        </is>
      </c>
      <c r="B73" s="258" t="inlineStr">
        <is>
          <t>Repairs and maintenance expenses</t>
        </is>
      </c>
      <c r="C73" s="258" t="n"/>
      <c r="D73" s="609">
        <f>"thsd</f>
        <v/>
      </c>
      <c r="E73" s="625" t="inlineStr">
        <is>
          <t>-</t>
        </is>
      </c>
      <c r="F73" s="61" t="n"/>
      <c r="G73" s="61" t="n"/>
      <c r="H73" s="61" t="n"/>
      <c r="I73" s="610">
        <f>IFERROR(G73-H73,"N/A")</f>
        <v/>
      </c>
      <c r="J73" s="385">
        <f>IFERROR(($G73-$H73)/ABS($H73),"N/A")</f>
        <v/>
      </c>
      <c r="K73" s="610">
        <f>IFERROR($G73-$F73,"N/A")</f>
        <v/>
      </c>
      <c r="L73" s="385">
        <f>IFERROR(($G73-$F73)/ABS($F73),"N/A")</f>
        <v/>
      </c>
      <c r="M73" s="61" t="n"/>
      <c r="N73" s="61" t="n"/>
      <c r="O73" s="61" t="n"/>
      <c r="P73" s="610">
        <f>IFERROR($N73-$O73,"N/A")</f>
        <v/>
      </c>
      <c r="Q73" s="385">
        <f>IFERROR(($N73-$O73)/ABS($O73),"N/A")</f>
        <v/>
      </c>
      <c r="R73" s="610">
        <f>IFERROR($N73-$M73,"N/A")</f>
        <v/>
      </c>
      <c r="S73" s="385">
        <f>IFERROR(($N73-$M73)/ABS($M73),"N/A")</f>
        <v/>
      </c>
    </row>
    <row r="74">
      <c r="A74" s="515" t="inlineStr">
        <is>
          <t>Midstream</t>
        </is>
      </c>
      <c r="B74" s="193" t="inlineStr">
        <is>
          <t>Automobile and special machinery services</t>
        </is>
      </c>
      <c r="C74" s="193" t="n"/>
      <c r="D74" s="609">
        <f>"thsd</f>
        <v/>
      </c>
      <c r="E74" s="625" t="inlineStr">
        <is>
          <t>-</t>
        </is>
      </c>
      <c r="F74" s="61" t="n"/>
      <c r="G74" s="61" t="n"/>
      <c r="H74" s="61" t="n"/>
      <c r="I74" s="610">
        <f>IFERROR(G74-H74,"N/A")</f>
        <v/>
      </c>
      <c r="J74" s="385">
        <f>IFERROR(($G74-$H74)/ABS($H74),"N/A")</f>
        <v/>
      </c>
      <c r="K74" s="610">
        <f>IFERROR($G74-$F74,"N/A")</f>
        <v/>
      </c>
      <c r="L74" s="385">
        <f>IFERROR(($G74-$F74)/ABS($F74),"N/A")</f>
        <v/>
      </c>
      <c r="M74" s="61" t="n"/>
      <c r="N74" s="61" t="n"/>
      <c r="O74" s="61" t="n"/>
      <c r="P74" s="610">
        <f>IFERROR($N74-$O74,"N/A")</f>
        <v/>
      </c>
      <c r="Q74" s="385">
        <f>IFERROR(($N74-$O74)/ABS($O74),"N/A")</f>
        <v/>
      </c>
      <c r="R74" s="610">
        <f>IFERROR($N74-$M74,"N/A")</f>
        <v/>
      </c>
      <c r="S74" s="385">
        <f>IFERROR(($N74-$M74)/ABS($M74),"N/A")</f>
        <v/>
      </c>
    </row>
    <row r="75">
      <c r="A75" s="515" t="inlineStr">
        <is>
          <t>Midstream</t>
        </is>
      </c>
      <c r="B75" s="258" t="inlineStr">
        <is>
          <t>Utilities expenses</t>
        </is>
      </c>
      <c r="C75" s="258" t="n"/>
      <c r="D75" s="609">
        <f>"thsd</f>
        <v/>
      </c>
      <c r="E75" s="625" t="inlineStr">
        <is>
          <t>-</t>
        </is>
      </c>
      <c r="F75" s="61" t="n"/>
      <c r="G75" s="61" t="n"/>
      <c r="H75" s="61" t="n"/>
      <c r="I75" s="610">
        <f>IFERROR(G75-H75,"N/A")</f>
        <v/>
      </c>
      <c r="J75" s="385">
        <f>IFERROR(($G75-$H75)/ABS($H75),"N/A")</f>
        <v/>
      </c>
      <c r="K75" s="610">
        <f>IFERROR($G75-$F75,"N/A")</f>
        <v/>
      </c>
      <c r="L75" s="385">
        <f>IFERROR(($G75-$F75)/ABS($F75),"N/A")</f>
        <v/>
      </c>
      <c r="M75" s="61" t="n"/>
      <c r="N75" s="61" t="n"/>
      <c r="O75" s="61" t="n"/>
      <c r="P75" s="610">
        <f>IFERROR($N75-$O75,"N/A")</f>
        <v/>
      </c>
      <c r="Q75" s="385">
        <f>IFERROR(($N75-$O75)/ABS($O75),"N/A")</f>
        <v/>
      </c>
      <c r="R75" s="610">
        <f>IFERROR($N75-$M75,"N/A")</f>
        <v/>
      </c>
      <c r="S75" s="385">
        <f>IFERROR(($N75-$M75)/ABS($M75),"N/A")</f>
        <v/>
      </c>
    </row>
    <row r="76">
      <c r="A76" s="515" t="inlineStr">
        <is>
          <t>Midstream</t>
        </is>
      </c>
      <c r="B76" s="193" t="inlineStr">
        <is>
          <t>Security services</t>
        </is>
      </c>
      <c r="C76" s="193" t="n"/>
      <c r="D76" s="609">
        <f>"thsd</f>
        <v/>
      </c>
      <c r="E76" s="625" t="inlineStr">
        <is>
          <t>-</t>
        </is>
      </c>
      <c r="F76" s="61" t="n"/>
      <c r="G76" s="61" t="n"/>
      <c r="H76" s="61" t="n"/>
      <c r="I76" s="610">
        <f>IFERROR(G76-H76,"N/A")</f>
        <v/>
      </c>
      <c r="J76" s="385">
        <f>IFERROR(($G76-$H76)/ABS($H76),"N/A")</f>
        <v/>
      </c>
      <c r="K76" s="610">
        <f>IFERROR($G76-$F76,"N/A")</f>
        <v/>
      </c>
      <c r="L76" s="385">
        <f>IFERROR(($G76-$F76)/ABS($F76),"N/A")</f>
        <v/>
      </c>
      <c r="M76" s="61" t="n"/>
      <c r="N76" s="61" t="n"/>
      <c r="O76" s="61" t="n"/>
      <c r="P76" s="610">
        <f>IFERROR($N76-$O76,"N/A")</f>
        <v/>
      </c>
      <c r="Q76" s="385">
        <f>IFERROR(($N76-$O76)/ABS($O76),"N/A")</f>
        <v/>
      </c>
      <c r="R76" s="610">
        <f>IFERROR($N76-$M76,"N/A")</f>
        <v/>
      </c>
      <c r="S76" s="385">
        <f>IFERROR(($N76-$M76)/ABS($M76),"N/A")</f>
        <v/>
      </c>
    </row>
    <row r="77">
      <c r="A77" s="515" t="inlineStr">
        <is>
          <t>Midstream</t>
        </is>
      </c>
      <c r="B77" s="631" t="inlineStr">
        <is>
          <t>Other</t>
        </is>
      </c>
      <c r="C77" s="631" t="inlineStr">
        <is>
          <t>Digər</t>
        </is>
      </c>
      <c r="D77" s="609">
        <f>"thsd</f>
        <v/>
      </c>
      <c r="E77" s="625" t="inlineStr">
        <is>
          <t>-</t>
        </is>
      </c>
      <c r="F77" s="61" t="n"/>
      <c r="G77" s="61" t="n"/>
      <c r="H77" s="61" t="n"/>
      <c r="I77" s="610">
        <f>IFERROR(G77-H77,"N/A")</f>
        <v/>
      </c>
      <c r="J77" s="385">
        <f>IFERROR(($G77-$H77)/ABS($H77),"N/A")</f>
        <v/>
      </c>
      <c r="K77" s="610">
        <f>IFERROR($G77-$F77,"N/A")</f>
        <v/>
      </c>
      <c r="L77" s="385">
        <f>IFERROR(($G77-$F77)/ABS($F77),"N/A")</f>
        <v/>
      </c>
      <c r="M77" s="61" t="n"/>
      <c r="N77" s="61" t="n"/>
      <c r="O77" s="61" t="n"/>
      <c r="P77" s="610">
        <f>IFERROR($N77-$O77,"N/A")</f>
        <v/>
      </c>
      <c r="Q77" s="385">
        <f>IFERROR(($N77-$O77)/ABS($O77),"N/A")</f>
        <v/>
      </c>
      <c r="R77" s="610">
        <f>IFERROR($N77-$M77,"N/A")</f>
        <v/>
      </c>
      <c r="S77" s="385">
        <f>IFERROR(($N77-$M77)/ABS($M77),"N/A")</f>
        <v/>
      </c>
    </row>
    <row r="78" customFormat="1" s="407">
      <c r="A78" s="632" t="n"/>
      <c r="B78" s="632" t="inlineStr">
        <is>
          <t>Personnel costs</t>
        </is>
      </c>
      <c r="C78" s="632" t="n"/>
      <c r="D78" s="616">
        <f>"thsd</f>
        <v/>
      </c>
      <c r="E78" s="633" t="inlineStr">
        <is>
          <t>-</t>
        </is>
      </c>
      <c r="F78" s="634">
        <f>SUM(F79:F89)</f>
        <v/>
      </c>
      <c r="G78" s="634">
        <f>SUM(G79:G89)</f>
        <v/>
      </c>
      <c r="H78" s="634">
        <f>SUM(H79:H89)</f>
        <v/>
      </c>
      <c r="I78" s="634">
        <f>IFERROR(G78-H78,"N/A")</f>
        <v/>
      </c>
      <c r="J78" s="635">
        <f>IFERROR(($G78-$H78)/ABS($H78),"N/A")</f>
        <v/>
      </c>
      <c r="K78" s="634">
        <f>IFERROR($G78-$F78,"N/A")</f>
        <v/>
      </c>
      <c r="L78" s="635">
        <f>IFERROR(($G78-$F78)/ABS($F78),"N/A")</f>
        <v/>
      </c>
      <c r="M78" s="634">
        <f>SUM(M79:M89)</f>
        <v/>
      </c>
      <c r="N78" s="634">
        <f>SUM(N79:N89)</f>
        <v/>
      </c>
      <c r="O78" s="634">
        <f>SUM(O79:O89)</f>
        <v/>
      </c>
      <c r="P78" s="634">
        <f>IFERROR($N78-$O78,"N/A")</f>
        <v/>
      </c>
      <c r="Q78" s="635">
        <f>IFERROR(($N78-$O78)/ABS($O78),"N/A")</f>
        <v/>
      </c>
      <c r="R78" s="634">
        <f>IFERROR($N78-$M78,"N/A")</f>
        <v/>
      </c>
      <c r="S78" s="635">
        <f>IFERROR(($N78-$M78)/ABS($M78),"N/A")</f>
        <v/>
      </c>
    </row>
    <row r="79">
      <c r="A79" s="636" t="n"/>
      <c r="B79" s="631" t="inlineStr">
        <is>
          <t>Salaries (gross)</t>
        </is>
      </c>
      <c r="C79" s="631" t="n"/>
      <c r="D79" s="609">
        <f>"thsd</f>
        <v/>
      </c>
      <c r="E79" s="625" t="inlineStr">
        <is>
          <t>-</t>
        </is>
      </c>
      <c r="F79" s="61" t="n">
        <v>-2669.957572538859</v>
      </c>
      <c r="G79" s="61" t="n">
        <v>-2960.772313527181</v>
      </c>
      <c r="H79" s="61" t="n">
        <v>-2724.229526287922</v>
      </c>
      <c r="I79" s="610">
        <f>IFERROR(G79-H79,"N/A")</f>
        <v/>
      </c>
      <c r="J79" s="385">
        <f>IFERROR(($G79-$H79)/ABS($H79),"N/A")</f>
        <v/>
      </c>
      <c r="K79" s="610">
        <f>IFERROR($G79-$F79,"N/A")</f>
        <v/>
      </c>
      <c r="L79" s="385">
        <f>IFERROR(($G79-$F79)/ABS($F79),"N/A")</f>
        <v/>
      </c>
      <c r="M79" s="61" t="n">
        <v>-24572.09712590674</v>
      </c>
      <c r="N79" s="61" t="n">
        <v>-34565.17275972336</v>
      </c>
      <c r="O79" s="61" t="n">
        <v>-32438.77128714985</v>
      </c>
      <c r="P79" s="610">
        <f>IFERROR($N79-$O79,"N/A")</f>
        <v/>
      </c>
      <c r="Q79" s="385">
        <f>IFERROR(($N79-$O79)/ABS($O79),"N/A")</f>
        <v/>
      </c>
      <c r="R79" s="610">
        <f>IFERROR($N79-$M79,"N/A")</f>
        <v/>
      </c>
      <c r="S79" s="385">
        <f>IFERROR(($N79-$M79)/ABS($M79),"N/A")</f>
        <v/>
      </c>
    </row>
    <row r="80">
      <c r="A80" s="636" t="n"/>
      <c r="B80" s="631" t="inlineStr">
        <is>
          <t>Bonuses and other variable remuneration</t>
        </is>
      </c>
      <c r="C80" s="631" t="n"/>
      <c r="D80" s="609">
        <f>"thsd</f>
        <v/>
      </c>
      <c r="E80" s="625" t="inlineStr">
        <is>
          <t>-</t>
        </is>
      </c>
      <c r="F80" s="61" t="n">
        <v>-2212.602837527751</v>
      </c>
      <c r="G80" s="61" t="n">
        <v>-456.3633375474143</v>
      </c>
      <c r="H80" s="61" t="n">
        <v>-2655.333983974548</v>
      </c>
      <c r="I80" s="610">
        <f>IFERROR(G80-H80,"N/A")</f>
        <v/>
      </c>
      <c r="J80" s="385">
        <f>IFERROR(($G80-$H80)/ABS($H80),"N/A")</f>
        <v/>
      </c>
      <c r="K80" s="610">
        <f>IFERROR($G80-$F80,"N/A")</f>
        <v/>
      </c>
      <c r="L80" s="385">
        <f>IFERROR(($G80-$F80)/ABS($F80),"N/A")</f>
        <v/>
      </c>
      <c r="M80" s="61" t="n">
        <v>-3827.938072464842</v>
      </c>
      <c r="N80" s="61" t="n">
        <v>-2980.05298951439</v>
      </c>
      <c r="O80" s="61" t="n">
        <v>-4077.328270761222</v>
      </c>
      <c r="P80" s="610">
        <f>IFERROR($N80-$O80,"N/A")</f>
        <v/>
      </c>
      <c r="Q80" s="385">
        <f>IFERROR(($N80-$O80)/ABS($O80),"N/A")</f>
        <v/>
      </c>
      <c r="R80" s="610">
        <f>IFERROR($N80-$M80,"N/A")</f>
        <v/>
      </c>
      <c r="S80" s="385">
        <f>IFERROR(($N80-$M80)/ABS($M80),"N/A")</f>
        <v/>
      </c>
    </row>
    <row r="81">
      <c r="A81" s="636" t="n"/>
      <c r="B81" s="631" t="inlineStr">
        <is>
          <t>Allowances &amp; benefits</t>
        </is>
      </c>
      <c r="C81" s="631" t="n"/>
      <c r="D81" s="609">
        <f>"thsd</f>
        <v/>
      </c>
      <c r="E81" s="625" t="inlineStr">
        <is>
          <t>-</t>
        </is>
      </c>
      <c r="F81" s="61" t="n">
        <v>-73.78853145817914</v>
      </c>
      <c r="G81" s="61" t="n">
        <v>-16.16043355395256</v>
      </c>
      <c r="H81" s="61" t="n">
        <v>-13.89005847953216</v>
      </c>
      <c r="I81" s="610">
        <f>IFERROR(G81-H81,"N/A")</f>
        <v/>
      </c>
      <c r="J81" s="385">
        <f>IFERROR(($G81-$H81)/ABS($H81),"N/A")</f>
        <v/>
      </c>
      <c r="K81" s="610">
        <f>IFERROR($G81-$F81,"N/A")</f>
        <v/>
      </c>
      <c r="L81" s="385">
        <f>IFERROR(($G81-$F81)/ABS($F81),"N/A")</f>
        <v/>
      </c>
      <c r="M81" s="61" t="n">
        <v>-816.5932287194671</v>
      </c>
      <c r="N81" s="61" t="n">
        <v>-170.9020822488287</v>
      </c>
      <c r="O81" s="61" t="n">
        <v>-166.680701754386</v>
      </c>
      <c r="P81" s="610">
        <f>IFERROR($N81-$O81,"N/A")</f>
        <v/>
      </c>
      <c r="Q81" s="385">
        <f>IFERROR(($N81-$O81)/ABS($O81),"N/A")</f>
        <v/>
      </c>
      <c r="R81" s="610">
        <f>IFERROR($N81-$M81,"N/A")</f>
        <v/>
      </c>
      <c r="S81" s="385">
        <f>IFERROR(($N81-$M81)/ABS($M81),"N/A")</f>
        <v/>
      </c>
    </row>
    <row r="82">
      <c r="A82" s="636" t="n"/>
      <c r="B82" s="631" t="inlineStr">
        <is>
          <t>Social security contributions - employer</t>
        </is>
      </c>
      <c r="C82" s="631" t="n"/>
      <c r="D82" s="609">
        <f>"thsd</f>
        <v/>
      </c>
      <c r="E82" s="625" t="inlineStr">
        <is>
          <t>-</t>
        </is>
      </c>
      <c r="F82" s="61" t="n">
        <v>-67.61840488527017</v>
      </c>
      <c r="G82" s="61" t="n">
        <v>-107.0165055402692</v>
      </c>
      <c r="H82" s="61" t="n">
        <v>-92.78191655260599</v>
      </c>
      <c r="I82" s="610">
        <f>IFERROR(G82-H82,"N/A")</f>
        <v/>
      </c>
      <c r="J82" s="385">
        <f>IFERROR(($G82-$H82)/ABS($H82),"N/A")</f>
        <v/>
      </c>
      <c r="K82" s="610">
        <f>IFERROR($G82-$F82,"N/A")</f>
        <v/>
      </c>
      <c r="L82" s="385">
        <f>IFERROR(($G82-$F82)/ABS($F82),"N/A")</f>
        <v/>
      </c>
      <c r="M82" s="61" t="n">
        <v>-403.1158512213174</v>
      </c>
      <c r="N82" s="61" t="n">
        <v>-981.8578776527586</v>
      </c>
      <c r="O82" s="61" t="n">
        <v>-915.1898366930932</v>
      </c>
      <c r="P82" s="610">
        <f>IFERROR($N82-$O82,"N/A")</f>
        <v/>
      </c>
      <c r="Q82" s="385">
        <f>IFERROR(($N82-$O82)/ABS($O82),"N/A")</f>
        <v/>
      </c>
      <c r="R82" s="610">
        <f>IFERROR($N82-$M82,"N/A")</f>
        <v/>
      </c>
      <c r="S82" s="385">
        <f>IFERROR(($N82-$M82)/ABS($M82),"N/A")</f>
        <v/>
      </c>
    </row>
    <row r="83">
      <c r="A83" s="636" t="n"/>
      <c r="B83" s="631" t="inlineStr">
        <is>
          <t>Unemployment Insuarance contributions - employer</t>
        </is>
      </c>
      <c r="C83" s="631" t="n"/>
      <c r="D83" s="609">
        <f>"thsd</f>
        <v/>
      </c>
      <c r="E83" s="625" t="inlineStr">
        <is>
          <t>-</t>
        </is>
      </c>
      <c r="F83" s="61" t="n">
        <v>0</v>
      </c>
      <c r="G83" s="61" t="n">
        <v>0</v>
      </c>
      <c r="H83" s="61" t="n">
        <v>0</v>
      </c>
      <c r="I83" s="610">
        <f>IFERROR(G83-H83,"N/A")</f>
        <v/>
      </c>
      <c r="J83" s="385">
        <f>IFERROR(($G83-$H83)/ABS($H83),"N/A")</f>
        <v/>
      </c>
      <c r="K83" s="610">
        <f>IFERROR($G83-$F83,"N/A")</f>
        <v/>
      </c>
      <c r="L83" s="385">
        <f>IFERROR(($G83-$F83)/ABS($F83),"N/A")</f>
        <v/>
      </c>
      <c r="M83" s="61" t="n">
        <v>0</v>
      </c>
      <c r="N83" s="61" t="n">
        <v>0</v>
      </c>
      <c r="O83" s="61" t="n">
        <v>0</v>
      </c>
      <c r="P83" s="610">
        <f>IFERROR($N83-$O83,"N/A")</f>
        <v/>
      </c>
      <c r="Q83" s="385">
        <f>IFERROR(($N83-$O83)/ABS($O83),"N/A")</f>
        <v/>
      </c>
      <c r="R83" s="610">
        <f>IFERROR($N83-$M83,"N/A")</f>
        <v/>
      </c>
      <c r="S83" s="385">
        <f>IFERROR(($N83-$M83)/ABS($M83),"N/A")</f>
        <v/>
      </c>
    </row>
    <row r="84">
      <c r="A84" s="636" t="n"/>
      <c r="B84" s="631" t="inlineStr">
        <is>
          <t>Compulsory Medical insurance - employer</t>
        </is>
      </c>
      <c r="C84" s="631" t="n"/>
      <c r="D84" s="609">
        <f>"thsd</f>
        <v/>
      </c>
      <c r="E84" s="625" t="inlineStr">
        <is>
          <t>-</t>
        </is>
      </c>
      <c r="F84" s="61" t="n">
        <v>-66.73388971132493</v>
      </c>
      <c r="G84" s="61" t="n">
        <v>-75.76766565033091</v>
      </c>
      <c r="H84" s="61" t="n">
        <v>-69.43101981620724</v>
      </c>
      <c r="I84" s="610">
        <f>IFERROR(G84-H84,"N/A")</f>
        <v/>
      </c>
      <c r="J84" s="385">
        <f>IFERROR(($G84-$H84)/ABS($H84),"N/A")</f>
        <v/>
      </c>
      <c r="K84" s="610">
        <f>IFERROR($G84-$F84,"N/A")</f>
        <v/>
      </c>
      <c r="L84" s="385">
        <f>IFERROR(($G84-$F84)/ABS($F84),"N/A")</f>
        <v/>
      </c>
      <c r="M84" s="61" t="n">
        <v>-2503.98347549963</v>
      </c>
      <c r="N84" s="61" t="n">
        <v>-842.2966275005575</v>
      </c>
      <c r="O84" s="61" t="n">
        <v>-794.5416020050127</v>
      </c>
      <c r="P84" s="610">
        <f>IFERROR($N84-$O84,"N/A")</f>
        <v/>
      </c>
      <c r="Q84" s="385">
        <f>IFERROR(($N84-$O84)/ABS($O84),"N/A")</f>
        <v/>
      </c>
      <c r="R84" s="610">
        <f>IFERROR($N84-$M84,"N/A")</f>
        <v/>
      </c>
      <c r="S84" s="385">
        <f>IFERROR(($N84-$M84)/ABS($M84),"N/A")</f>
        <v/>
      </c>
    </row>
    <row r="85">
      <c r="A85" s="636" t="n"/>
      <c r="B85" s="631" t="inlineStr">
        <is>
          <t>Trainings</t>
        </is>
      </c>
      <c r="C85" s="631" t="n"/>
      <c r="D85" s="609">
        <f>"thsd</f>
        <v/>
      </c>
      <c r="E85" s="625" t="inlineStr">
        <is>
          <t>-</t>
        </is>
      </c>
      <c r="F85" s="61" t="n">
        <v>-13.76733900814212</v>
      </c>
      <c r="G85" s="61" t="n">
        <v>-3.131163084702908</v>
      </c>
      <c r="H85" s="61" t="n">
        <v>-2.372598162071846</v>
      </c>
      <c r="I85" s="610">
        <f>IFERROR(G85-H85,"N/A")</f>
        <v/>
      </c>
      <c r="J85" s="385">
        <f>IFERROR(($G85-$H85)/ABS($H85),"N/A")</f>
        <v/>
      </c>
      <c r="K85" s="610">
        <f>IFERROR($G85-$F85,"N/A")</f>
        <v/>
      </c>
      <c r="L85" s="385">
        <f>IFERROR(($G85-$F85)/ABS($F85),"N/A")</f>
        <v/>
      </c>
      <c r="M85" s="61" t="n">
        <v>-72.44969652109548</v>
      </c>
      <c r="N85" s="61" t="n">
        <v>-49.17767903621625</v>
      </c>
      <c r="O85" s="61" t="n">
        <v>-98.07518796992481</v>
      </c>
      <c r="P85" s="610">
        <f>IFERROR($N85-$O85,"N/A")</f>
        <v/>
      </c>
      <c r="Q85" s="385">
        <f>IFERROR(($N85-$O85)/ABS($O85),"N/A")</f>
        <v/>
      </c>
      <c r="R85" s="610">
        <f>IFERROR($N85-$M85,"N/A")</f>
        <v/>
      </c>
      <c r="S85" s="385">
        <f>IFERROR(($N85-$M85)/ABS($M85),"N/A")</f>
        <v/>
      </c>
    </row>
    <row r="86">
      <c r="A86" s="636" t="n"/>
      <c r="B86" s="631" t="inlineStr">
        <is>
          <t>Education &amp; Scholarship</t>
        </is>
      </c>
      <c r="C86" s="631" t="n"/>
      <c r="D86" s="609">
        <f>"thsd</f>
        <v/>
      </c>
      <c r="E86" s="625" t="inlineStr">
        <is>
          <t>-</t>
        </is>
      </c>
      <c r="F86" s="61" t="n">
        <v>0</v>
      </c>
      <c r="G86" s="61" t="n">
        <v>0</v>
      </c>
      <c r="H86" s="61" t="n">
        <v>0</v>
      </c>
      <c r="I86" s="610">
        <f>IFERROR(G86-H86,"N/A")</f>
        <v/>
      </c>
      <c r="J86" s="385">
        <f>IFERROR(($G86-$H86)/ABS($H86),"N/A")</f>
        <v/>
      </c>
      <c r="K86" s="610">
        <f>IFERROR($G86-$F86,"N/A")</f>
        <v/>
      </c>
      <c r="L86" s="385">
        <f>IFERROR(($G86-$F86)/ABS($F86),"N/A")</f>
        <v/>
      </c>
      <c r="M86" s="61" t="n">
        <v>0</v>
      </c>
      <c r="N86" s="61" t="n">
        <v>0</v>
      </c>
      <c r="O86" s="61" t="n">
        <v>0</v>
      </c>
      <c r="P86" s="610">
        <f>IFERROR($N86-$O86,"N/A")</f>
        <v/>
      </c>
      <c r="Q86" s="385">
        <f>IFERROR(($N86-$O86)/ABS($O86),"N/A")</f>
        <v/>
      </c>
      <c r="R86" s="610">
        <f>IFERROR($N86-$M86,"N/A")</f>
        <v/>
      </c>
      <c r="S86" s="385">
        <f>IFERROR(($N86-$M86)/ABS($M86),"N/A")</f>
        <v/>
      </c>
    </row>
    <row r="87">
      <c r="A87" s="636" t="n"/>
      <c r="B87" s="631" t="inlineStr">
        <is>
          <t>Meal expenses</t>
        </is>
      </c>
      <c r="C87" s="631" t="n"/>
      <c r="D87" s="609">
        <f>"thsd</f>
        <v/>
      </c>
      <c r="E87" s="625" t="inlineStr">
        <is>
          <t>-</t>
        </is>
      </c>
      <c r="F87" s="61" t="n">
        <v>-19.31760917838638</v>
      </c>
      <c r="G87" s="61" t="n">
        <v>-21.201015096304</v>
      </c>
      <c r="H87" s="61" t="n">
        <v>-18.43148496240601</v>
      </c>
      <c r="I87" s="610">
        <f>IFERROR(G87-H87,"N/A")</f>
        <v/>
      </c>
      <c r="J87" s="385">
        <f>IFERROR(($G87-$H87)/ABS($H87),"N/A")</f>
        <v/>
      </c>
      <c r="K87" s="610">
        <f>IFERROR($G87-$F87,"N/A")</f>
        <v/>
      </c>
      <c r="L87" s="385">
        <f>IFERROR(($G87-$F87)/ABS($F87),"N/A")</f>
        <v/>
      </c>
      <c r="M87" s="61" t="n">
        <v>-239.8051517394523</v>
      </c>
      <c r="N87" s="61" t="n">
        <v>-255.6101212166282</v>
      </c>
      <c r="O87" s="61" t="n">
        <v>-221.1778195488722</v>
      </c>
      <c r="P87" s="610">
        <f>IFERROR($N87-$O87,"N/A")</f>
        <v/>
      </c>
      <c r="Q87" s="385">
        <f>IFERROR(($N87-$O87)/ABS($O87),"N/A")</f>
        <v/>
      </c>
      <c r="R87" s="610">
        <f>IFERROR($N87-$M87,"N/A")</f>
        <v/>
      </c>
      <c r="S87" s="385">
        <f>IFERROR(($N87-$M87)/ABS($M87),"N/A")</f>
        <v/>
      </c>
    </row>
    <row r="88">
      <c r="A88" s="636" t="n"/>
      <c r="B88" s="631" t="inlineStr">
        <is>
          <t>Financial aid</t>
        </is>
      </c>
      <c r="C88" s="631" t="inlineStr">
        <is>
          <t>Maddi yardım</t>
        </is>
      </c>
      <c r="D88" s="609">
        <f>"thsd</f>
        <v/>
      </c>
      <c r="E88" s="625" t="inlineStr">
        <is>
          <t>-</t>
        </is>
      </c>
      <c r="F88" s="61" t="n">
        <v>0</v>
      </c>
      <c r="G88" s="61" t="n">
        <v>0</v>
      </c>
      <c r="H88" s="61" t="n">
        <v>0</v>
      </c>
      <c r="I88" s="610">
        <f>IFERROR(G88-H88,"N/A")</f>
        <v/>
      </c>
      <c r="J88" s="385">
        <f>IFERROR(($G88-$H88)/ABS($H88),"N/A")</f>
        <v/>
      </c>
      <c r="K88" s="610">
        <f>IFERROR($G88-$F88,"N/A")</f>
        <v/>
      </c>
      <c r="L88" s="385">
        <f>IFERROR(($G88-$F88)/ABS($F88),"N/A")</f>
        <v/>
      </c>
      <c r="M88" s="61" t="n">
        <v>0</v>
      </c>
      <c r="N88" s="61" t="n">
        <v>0</v>
      </c>
      <c r="O88" s="61" t="n">
        <v>0</v>
      </c>
      <c r="P88" s="610">
        <f>IFERROR($N88-$O88,"N/A")</f>
        <v/>
      </c>
      <c r="Q88" s="385">
        <f>IFERROR(($N88-$O88)/ABS($O88),"N/A")</f>
        <v/>
      </c>
      <c r="R88" s="610">
        <f>IFERROR($N88-$M88,"N/A")</f>
        <v/>
      </c>
      <c r="S88" s="385">
        <f>IFERROR(($N88-$M88)/ABS($M88),"N/A")</f>
        <v/>
      </c>
    </row>
    <row r="89">
      <c r="A89" s="636" t="n"/>
      <c r="B89" s="631" t="inlineStr">
        <is>
          <t>Other</t>
        </is>
      </c>
      <c r="C89" s="631" t="inlineStr">
        <is>
          <t>Digər</t>
        </is>
      </c>
      <c r="D89" s="609">
        <f>"thsd</f>
        <v/>
      </c>
      <c r="E89" s="625" t="inlineStr">
        <is>
          <t>-</t>
        </is>
      </c>
      <c r="F89" s="61" t="n">
        <v>0</v>
      </c>
      <c r="G89" s="61" t="n">
        <v>0</v>
      </c>
      <c r="H89" s="61" t="n">
        <v>0</v>
      </c>
      <c r="I89" s="610">
        <f>IFERROR(G89-H89,"N/A")</f>
        <v/>
      </c>
      <c r="J89" s="385">
        <f>IFERROR(($G89-$H89)/ABS($H89),"N/A")</f>
        <v/>
      </c>
      <c r="K89" s="610">
        <f>IFERROR($G89-$F89,"N/A")</f>
        <v/>
      </c>
      <c r="L89" s="385">
        <f>IFERROR(($G89-$F89)/ABS($F89),"N/A")</f>
        <v/>
      </c>
      <c r="M89" s="61" t="n">
        <v>0</v>
      </c>
      <c r="N89" s="61" t="n">
        <v>0</v>
      </c>
      <c r="O89" s="61" t="n">
        <v>0</v>
      </c>
      <c r="P89" s="610">
        <f>IFERROR($N89-$O89,"N/A")</f>
        <v/>
      </c>
      <c r="Q89" s="385">
        <f>IFERROR(($N89-$O89)/ABS($O89),"N/A")</f>
        <v/>
      </c>
      <c r="R89" s="610">
        <f>IFERROR($N89-$M89,"N/A")</f>
        <v/>
      </c>
      <c r="S89" s="385">
        <f>IFERROR(($N89-$M89)/ABS($M89),"N/A")</f>
        <v/>
      </c>
    </row>
  </sheetData>
  <mergeCells count="19">
    <mergeCell ref="F13:L13"/>
    <mergeCell ref="B14:B15"/>
    <mergeCell ref="N14:N15"/>
    <mergeCell ref="F16:L16"/>
    <mergeCell ref="A14:A15"/>
    <mergeCell ref="G14:G15"/>
    <mergeCell ref="M14:M15"/>
    <mergeCell ref="I14:J14"/>
    <mergeCell ref="K14:L14"/>
    <mergeCell ref="O14:O15"/>
    <mergeCell ref="D14:D15"/>
    <mergeCell ref="F14:F15"/>
    <mergeCell ref="H14:H15"/>
    <mergeCell ref="M13:S13"/>
    <mergeCell ref="M16:S16"/>
    <mergeCell ref="P14:Q14"/>
    <mergeCell ref="R14:S14"/>
    <mergeCell ref="C14:C15"/>
    <mergeCell ref="E14:E15"/>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X188"/>
  <sheetViews>
    <sheetView topLeftCell="C1" workbookViewId="0">
      <selection activeCell="A1" sqref="A1:XFD1048576"/>
    </sheetView>
  </sheetViews>
  <sheetFormatPr baseColWidth="8" defaultColWidth="8.5703125" defaultRowHeight="12.75" outlineLevelRow="1"/>
  <cols>
    <col hidden="1" width="13" customWidth="1" style="30" min="1" max="1"/>
    <col hidden="1" width="12.42578125" customWidth="1" style="30" min="2" max="2"/>
    <col width="42.5703125" customWidth="1" style="30" min="3" max="3"/>
    <col width="14.42578125" customWidth="1" style="30" min="4" max="4"/>
    <col width="20.42578125" customWidth="1" style="30" min="5" max="5"/>
    <col width="20.5703125" customWidth="1" style="638" min="6" max="6"/>
    <col width="15.5703125" bestFit="1" customWidth="1" style="30" min="7" max="7"/>
    <col width="29.5703125" customWidth="1" style="30" min="8" max="8"/>
    <col width="33" customWidth="1" style="30" min="9" max="11"/>
    <col width="27" customWidth="1" style="30" min="12" max="12"/>
    <col width="25.42578125" customWidth="1" style="30" min="13" max="13"/>
    <col width="28.42578125" customWidth="1" style="30" min="14" max="14"/>
    <col width="23.42578125" customWidth="1" style="30" min="15" max="16"/>
    <col width="29.5703125" customWidth="1" style="30" min="17" max="18"/>
    <col width="27" customWidth="1" style="30" min="19" max="19"/>
    <col width="32.5703125" customWidth="1" style="638" min="20" max="20"/>
    <col width="8.5703125" customWidth="1" style="30" min="21" max="16384"/>
  </cols>
  <sheetData>
    <row r="1" ht="18" customHeight="1">
      <c r="E1" s="494" t="n"/>
      <c r="H1" s="494" t="n"/>
      <c r="L1" s="494" t="n"/>
    </row>
    <row r="2"/>
    <row r="3"/>
    <row r="4"/>
    <row r="5"/>
    <row r="6" ht="24" customHeight="1"/>
    <row r="7"/>
    <row r="8" ht="15.75" customHeight="1">
      <c r="C8" s="639" t="inlineStr">
        <is>
          <t>Entity Name</t>
        </is>
      </c>
      <c r="D8" s="833">
        <f>IF([1]Segment_map!$D$4=0,"THE COMPANY HAS NOT BEEN PICKED",[1]Segment_map!$D$4)</f>
        <v/>
      </c>
    </row>
    <row r="9" ht="15.75" customHeight="1">
      <c r="C9" s="640" t="inlineStr">
        <is>
          <t>Currency</t>
        </is>
      </c>
      <c r="D9" s="915">
        <f>IF([1]Segment_map!$J$4="","CURRENCY HAS NOT BEEN PICKED",[1]Segment_map!$J$4)</f>
        <v/>
      </c>
      <c r="E9" s="872" t="n"/>
      <c r="F9" s="641" t="n"/>
    </row>
    <row r="10" ht="15.75" customHeight="1">
      <c r="C10" s="641" t="n"/>
      <c r="F10" s="30" t="n"/>
    </row>
    <row r="11" ht="15.75" customHeight="1">
      <c r="C11" s="641" t="n"/>
      <c r="D11" s="828" t="n"/>
      <c r="E11" s="828" t="n"/>
      <c r="F11" s="829" t="n"/>
    </row>
    <row r="12" ht="15.75" customHeight="1">
      <c r="C12" s="641" t="n"/>
      <c r="D12" s="843" t="n"/>
      <c r="E12" s="843" t="n"/>
      <c r="F12" s="843" t="n"/>
    </row>
    <row r="13" ht="15.75" customHeight="1">
      <c r="C13" s="641" t="n"/>
      <c r="D13" s="843" t="n"/>
      <c r="E13" s="843" t="n"/>
      <c r="F13" s="843" t="n"/>
    </row>
    <row r="14" ht="15.75" customHeight="1">
      <c r="C14" s="641" t="n"/>
      <c r="D14" s="547" t="n"/>
      <c r="E14" s="547" t="n"/>
      <c r="F14" s="547" t="n"/>
      <c r="G14" s="547" t="n"/>
    </row>
    <row r="15" ht="15" customHeight="1">
      <c r="D15" s="916">
        <f>"! Please, enter amounts in thousands in required currency"</f>
        <v/>
      </c>
      <c r="E15" s="917" t="n"/>
      <c r="F15" s="918" t="n"/>
      <c r="G15" s="645" t="n"/>
      <c r="H15" s="830" t="inlineStr">
        <is>
          <t>Month</t>
        </is>
      </c>
      <c r="U15" s="646" t="n"/>
      <c r="V15" s="646" t="n"/>
      <c r="W15" s="646" t="n"/>
      <c r="X15" s="646" t="n"/>
    </row>
    <row r="16" ht="126" customHeight="1">
      <c r="B16" s="647" t="inlineStr">
        <is>
          <t>Code</t>
        </is>
      </c>
      <c r="C16" s="712" t="inlineStr">
        <is>
          <t>Lender name /
(ranking in accordance with 
outstanding balance as of reporting period in reporting currency)</t>
        </is>
      </c>
      <c r="D16" s="762" t="inlineStr">
        <is>
          <t>Original currency</t>
        </is>
      </c>
      <c r="E16" s="649" t="inlineStr">
        <is>
          <t>Start date /</t>
        </is>
      </c>
      <c r="F16" s="650" t="inlineStr">
        <is>
          <t>Maturity Date /</t>
        </is>
      </c>
      <c r="G16" s="650" t="n"/>
      <c r="H16" s="715" t="n"/>
      <c r="I16" s="715" t="n"/>
      <c r="J16" s="787">
        <f>"Outstanding principal balance as of the beginning of reporting period in thsd "&amp;[1]Segment_map!$J$4&amp;")"&amp; "</f>
        <v/>
      </c>
      <c r="K16" s="787">
        <f>"Outstanding accrued interest balance as of the beginning of reporting period in thsd "&amp;[1]Segment_map!$J$4&amp;")"&amp; "</f>
        <v/>
      </c>
      <c r="L16" s="787">
        <f>"Loan received during the period in thsd " &amp; [1]Segment_map!$J$4 &amp; "</f>
        <v/>
      </c>
      <c r="M16" s="787" t="n"/>
      <c r="N16" s="787" t="n"/>
      <c r="O16" s="787" t="n"/>
      <c r="P16" s="787">
        <f>"FOREX differences during the period in thsd "&amp;[1]Segment_map!$J$4&amp;")"&amp;"</f>
        <v/>
      </c>
      <c r="Q16" s="787">
        <f>"Outstanding principal balance as of the end of reporting period in thsd "&amp;[1]Segment_map!$J$4&amp;")"&amp;"</f>
        <v/>
      </c>
      <c r="R16" s="787">
        <f>"Outstanding accrued interest as of the end of reporting period in thsd "&amp;[1]Segment_map!$J$4&amp;")"&amp;"</f>
        <v/>
      </c>
      <c r="S16" s="715" t="n"/>
      <c r="T16" s="715" t="n"/>
    </row>
    <row r="17" ht="14.1" customHeight="1">
      <c r="B17" s="647" t="n"/>
      <c r="C17" s="712" t="n"/>
      <c r="D17" s="762" t="n"/>
      <c r="E17" s="762" t="n"/>
      <c r="F17" s="762" t="n"/>
      <c r="G17" s="762" t="n"/>
      <c r="H17" s="832" t="inlineStr">
        <is>
          <t>Reporting period (month)</t>
        </is>
      </c>
      <c r="I17" s="861" t="n"/>
      <c r="J17" s="861" t="n"/>
      <c r="K17" s="861" t="n"/>
      <c r="L17" s="861" t="n"/>
      <c r="M17" s="861" t="n"/>
      <c r="N17" s="861" t="n"/>
      <c r="O17" s="861" t="n"/>
      <c r="P17" s="861" t="n"/>
      <c r="Q17" s="861" t="n"/>
      <c r="R17" s="861" t="n"/>
      <c r="S17" s="861" t="n"/>
      <c r="T17" s="861" t="n"/>
    </row>
    <row r="18">
      <c r="B18" s="43">
        <f>COLUMN()-1</f>
        <v/>
      </c>
      <c r="C18" s="240">
        <f>COLUMN()-1</f>
        <v/>
      </c>
      <c r="D18" s="43">
        <f>COLUMN()-1</f>
        <v/>
      </c>
      <c r="E18" s="43">
        <f>COLUMN()-1</f>
        <v/>
      </c>
      <c r="F18" s="43">
        <f>COLUMN()-1</f>
        <v/>
      </c>
      <c r="G18" s="43">
        <f>COLUMN()-1</f>
        <v/>
      </c>
      <c r="H18" s="43">
        <f>COLUMN()-1</f>
        <v/>
      </c>
      <c r="I18" s="43">
        <f>COLUMN()-1</f>
        <v/>
      </c>
      <c r="J18" s="43">
        <f>COLUMN()-1</f>
        <v/>
      </c>
      <c r="K18" s="43">
        <f>COLUMN()-1</f>
        <v/>
      </c>
      <c r="L18" s="43">
        <f>COLUMN()-1</f>
        <v/>
      </c>
      <c r="M18" s="43">
        <f>COLUMN()-1</f>
        <v/>
      </c>
      <c r="N18" s="43">
        <f>COLUMN()-1</f>
        <v/>
      </c>
      <c r="O18" s="43">
        <f>COLUMN()-1</f>
        <v/>
      </c>
      <c r="P18" s="43">
        <f>COLUMN()-1</f>
        <v/>
      </c>
      <c r="Q18" s="43">
        <f>COLUMN()-1</f>
        <v/>
      </c>
      <c r="R18" s="43">
        <f>COLUMN()-1</f>
        <v/>
      </c>
      <c r="S18" s="43">
        <f>COLUMN()-1</f>
        <v/>
      </c>
      <c r="T18" s="43">
        <f>COLUMN()-1</f>
        <v/>
      </c>
    </row>
    <row r="19">
      <c r="B19" s="652" t="n"/>
      <c r="C19" s="653" t="inlineStr">
        <is>
          <t>Total</t>
        </is>
      </c>
      <c r="D19" s="654" t="n"/>
      <c r="E19" s="652" t="n"/>
      <c r="F19" s="652" t="n"/>
      <c r="G19" s="654" t="n"/>
      <c r="H19" s="654" t="n"/>
      <c r="I19" s="654">
        <f>I20+I36+I145</f>
        <v/>
      </c>
      <c r="J19" s="654">
        <f>J20+J36+J145</f>
        <v/>
      </c>
      <c r="K19" s="654">
        <f>K20+K36+K145</f>
        <v/>
      </c>
      <c r="L19" s="654">
        <f>L20+L36+L145</f>
        <v/>
      </c>
      <c r="M19" s="654">
        <f>M20+M36+M145</f>
        <v/>
      </c>
      <c r="N19" s="654">
        <f>N20+N36+N145</f>
        <v/>
      </c>
      <c r="O19" s="654">
        <f>O20+O36+O145</f>
        <v/>
      </c>
      <c r="P19" s="654">
        <f>P20+P36+P145</f>
        <v/>
      </c>
      <c r="Q19" s="654">
        <f>Q20+Q36+Q145</f>
        <v/>
      </c>
      <c r="R19" s="654">
        <f>R20+R36+R145</f>
        <v/>
      </c>
      <c r="S19" s="654">
        <f>SUM(P19:R19)</f>
        <v/>
      </c>
      <c r="T19" s="654" t="n"/>
    </row>
    <row r="20" ht="25.5" customFormat="1" customHeight="1" s="626">
      <c r="B20" s="655" t="n"/>
      <c r="C20" s="656" t="n"/>
      <c r="D20" s="657" t="n"/>
      <c r="E20" s="655" t="n"/>
      <c r="F20" s="655" t="n"/>
      <c r="G20" s="658">
        <f>CHAR(10)</f>
        <v/>
      </c>
      <c r="H20" s="658">
        <f>CHAR(10)</f>
        <v/>
      </c>
      <c r="I20" s="657">
        <f>SUM(I21:I35)</f>
        <v/>
      </c>
      <c r="J20" s="657">
        <f>SUM(J21:J35)</f>
        <v/>
      </c>
      <c r="K20" s="657">
        <f>SUM(K21:K35)</f>
        <v/>
      </c>
      <c r="L20" s="657">
        <f>SUM(L21:L35)</f>
        <v/>
      </c>
      <c r="M20" s="657">
        <f>SUM(M21:M35)</f>
        <v/>
      </c>
      <c r="N20" s="657">
        <f>SUM(N21:N35)</f>
        <v/>
      </c>
      <c r="O20" s="657">
        <f>SUM(O21:O35)</f>
        <v/>
      </c>
      <c r="P20" s="657">
        <f>SUM(P21:P35)</f>
        <v/>
      </c>
      <c r="Q20" s="657">
        <f>SUM(Q21:Q35)</f>
        <v/>
      </c>
      <c r="R20" s="657">
        <f>SUM(R21:R35)</f>
        <v/>
      </c>
      <c r="S20" s="657">
        <f>SUM(P20:R20)</f>
        <v/>
      </c>
      <c r="T20" s="657" t="n"/>
    </row>
    <row r="21" outlineLevel="1" ht="14.1" customHeight="1">
      <c r="B21" s="515" t="n"/>
      <c r="C21" s="659" t="n"/>
      <c r="D21" s="660" t="n"/>
      <c r="E21" s="661" t="n"/>
      <c r="F21" s="661" t="n"/>
      <c r="G21" s="662" t="n"/>
      <c r="H21" s="61" t="n"/>
      <c r="I21" s="663">
        <f>SUM(J21:K21)</f>
        <v/>
      </c>
      <c r="J21" s="61" t="n"/>
      <c r="K21" s="61" t="n"/>
      <c r="L21" s="61" t="n"/>
      <c r="M21" s="61" t="n"/>
      <c r="N21" s="61" t="n"/>
      <c r="O21" s="61" t="n"/>
      <c r="P21" s="61" t="n"/>
      <c r="Q21" s="663">
        <f>IFERROR(SUM(J21,+L21,-N21),"n/a")</f>
        <v/>
      </c>
      <c r="R21" s="663">
        <f>IFERROR(SUM(K21,M21,-O21),"n/a")</f>
        <v/>
      </c>
      <c r="S21" s="663">
        <f>IFERROR(SUM(P21:R21),"n/a")</f>
        <v/>
      </c>
      <c r="T21" s="61" t="n"/>
    </row>
    <row r="22" outlineLevel="1" ht="14.1" customHeight="1">
      <c r="B22" s="515" t="n"/>
      <c r="C22" s="659" t="n"/>
      <c r="D22" s="660" t="n"/>
      <c r="E22" s="661" t="n"/>
      <c r="F22" s="661" t="n"/>
      <c r="G22" s="662" t="n"/>
      <c r="H22" s="61" t="n"/>
      <c r="I22" s="663">
        <f>SUM(J22:K22)</f>
        <v/>
      </c>
      <c r="J22" s="61" t="n"/>
      <c r="K22" s="61" t="n"/>
      <c r="L22" s="61" t="n"/>
      <c r="M22" s="61" t="n"/>
      <c r="N22" s="61" t="n"/>
      <c r="O22" s="61" t="n"/>
      <c r="P22" s="61" t="n"/>
      <c r="Q22" s="663">
        <f>IFERROR(SUM(J22,+L22,-N22),"n/a")</f>
        <v/>
      </c>
      <c r="R22" s="663">
        <f>IFERROR(SUM(K22,M22,-O22),"n/a")</f>
        <v/>
      </c>
      <c r="S22" s="663">
        <f>IFERROR(SUM(P22:R22),"n/a")</f>
        <v/>
      </c>
      <c r="T22" s="61" t="n"/>
    </row>
    <row r="23" outlineLevel="1" ht="14.1" customHeight="1">
      <c r="B23" s="515" t="n"/>
      <c r="C23" s="659" t="n"/>
      <c r="D23" s="660" t="n"/>
      <c r="E23" s="661" t="n"/>
      <c r="F23" s="661" t="n"/>
      <c r="G23" s="662" t="n"/>
      <c r="H23" s="61" t="n"/>
      <c r="I23" s="663">
        <f>SUM(J23:K23)</f>
        <v/>
      </c>
      <c r="J23" s="61" t="n"/>
      <c r="K23" s="61" t="n"/>
      <c r="L23" s="61" t="n"/>
      <c r="M23" s="61" t="n"/>
      <c r="N23" s="61" t="n"/>
      <c r="O23" s="61" t="n"/>
      <c r="P23" s="61" t="n"/>
      <c r="Q23" s="663">
        <f>IFERROR(SUM(J23,+L23,-N23),"n/a")</f>
        <v/>
      </c>
      <c r="R23" s="663">
        <f>IFERROR(SUM(K23,M23,-O23),"n/a")</f>
        <v/>
      </c>
      <c r="S23" s="663">
        <f>IFERROR(SUM(P23:R23),"n/a")</f>
        <v/>
      </c>
      <c r="T23" s="61" t="n"/>
    </row>
    <row r="24" outlineLevel="1" ht="14.1" customHeight="1">
      <c r="B24" s="515" t="n"/>
      <c r="C24" s="659" t="n"/>
      <c r="D24" s="660" t="n"/>
      <c r="E24" s="661" t="n"/>
      <c r="F24" s="661" t="n"/>
      <c r="G24" s="662" t="n"/>
      <c r="H24" s="61" t="n"/>
      <c r="I24" s="663">
        <f>SUM(J24:K24)</f>
        <v/>
      </c>
      <c r="J24" s="61" t="n"/>
      <c r="K24" s="61" t="n"/>
      <c r="L24" s="61" t="n"/>
      <c r="M24" s="61" t="n"/>
      <c r="N24" s="61" t="n"/>
      <c r="O24" s="61" t="n"/>
      <c r="P24" s="61" t="n"/>
      <c r="Q24" s="663">
        <f>IFERROR(SUM(J24,+L24,-N24),"n/a")</f>
        <v/>
      </c>
      <c r="R24" s="663">
        <f>IFERROR(SUM(K24,M24,-O24),"n/a")</f>
        <v/>
      </c>
      <c r="S24" s="663">
        <f>IFERROR(SUM(P24:R24),"n/a")</f>
        <v/>
      </c>
      <c r="T24" s="61" t="n"/>
    </row>
    <row r="25" outlineLevel="1" ht="14.1" customHeight="1">
      <c r="B25" s="515" t="n"/>
      <c r="C25" s="659" t="n"/>
      <c r="D25" s="660" t="n"/>
      <c r="E25" s="661" t="n"/>
      <c r="F25" s="661" t="n"/>
      <c r="G25" s="662" t="n"/>
      <c r="H25" s="61" t="n"/>
      <c r="I25" s="663">
        <f>SUM(J25:K25)</f>
        <v/>
      </c>
      <c r="J25" s="61" t="n"/>
      <c r="K25" s="61" t="n"/>
      <c r="L25" s="61" t="n"/>
      <c r="M25" s="61" t="n"/>
      <c r="N25" s="61" t="n"/>
      <c r="O25" s="61" t="n"/>
      <c r="P25" s="61" t="n"/>
      <c r="Q25" s="663">
        <f>IFERROR(SUM(J25,+L25,-N25),"n/a")</f>
        <v/>
      </c>
      <c r="R25" s="663">
        <f>IFERROR(SUM(K25,M25,-O25),"n/a")</f>
        <v/>
      </c>
      <c r="S25" s="663">
        <f>IFERROR(SUM(P25:R25),"n/a")</f>
        <v/>
      </c>
      <c r="T25" s="61" t="n"/>
    </row>
    <row r="26" outlineLevel="1" ht="14.1" customHeight="1">
      <c r="B26" s="515" t="n"/>
      <c r="C26" s="664" t="n"/>
      <c r="D26" s="660" t="n"/>
      <c r="E26" s="661" t="n"/>
      <c r="F26" s="661" t="n"/>
      <c r="G26" s="662" t="n"/>
      <c r="H26" s="61" t="n"/>
      <c r="I26" s="663">
        <f>SUM(J26:K26)</f>
        <v/>
      </c>
      <c r="J26" s="61" t="n"/>
      <c r="K26" s="61" t="n"/>
      <c r="L26" s="61" t="n"/>
      <c r="M26" s="61" t="n"/>
      <c r="N26" s="61" t="n"/>
      <c r="O26" s="61" t="n"/>
      <c r="P26" s="61" t="n"/>
      <c r="Q26" s="663">
        <f>IFERROR(SUM(J26,+L26,-N26),"n/a")</f>
        <v/>
      </c>
      <c r="R26" s="663">
        <f>IFERROR(SUM(K26,M26,-O26),"n/a")</f>
        <v/>
      </c>
      <c r="S26" s="663">
        <f>IFERROR(SUM(P26:R26),"n/a")</f>
        <v/>
      </c>
      <c r="T26" s="61" t="n"/>
    </row>
    <row r="27" outlineLevel="1" ht="14.1" customHeight="1">
      <c r="B27" s="515" t="n"/>
      <c r="C27" s="659" t="n"/>
      <c r="D27" s="660" t="n"/>
      <c r="E27" s="661" t="n"/>
      <c r="F27" s="661" t="n"/>
      <c r="G27" s="662" t="n"/>
      <c r="H27" s="61" t="n"/>
      <c r="I27" s="663">
        <f>SUM(J27:K27)</f>
        <v/>
      </c>
      <c r="J27" s="61" t="n"/>
      <c r="K27" s="61" t="n"/>
      <c r="L27" s="61" t="n"/>
      <c r="M27" s="61" t="n"/>
      <c r="N27" s="61" t="n"/>
      <c r="O27" s="61" t="n"/>
      <c r="P27" s="61" t="n"/>
      <c r="Q27" s="663">
        <f>IFERROR(SUM(J27,+L27,-N27),"n/a")</f>
        <v/>
      </c>
      <c r="R27" s="663">
        <f>IFERROR(SUM(K27,M27,-O27),"n/a")</f>
        <v/>
      </c>
      <c r="S27" s="663">
        <f>IFERROR(SUM(P27:R27),"n/a")</f>
        <v/>
      </c>
      <c r="T27" s="61" t="n"/>
    </row>
    <row r="28" outlineLevel="1" ht="14.1" customHeight="1">
      <c r="B28" s="515" t="n"/>
      <c r="C28" s="659" t="n"/>
      <c r="D28" s="660" t="n"/>
      <c r="E28" s="661" t="n"/>
      <c r="F28" s="661" t="n"/>
      <c r="G28" s="662" t="n"/>
      <c r="H28" s="61" t="n"/>
      <c r="I28" s="663">
        <f>SUM(J28:K28)</f>
        <v/>
      </c>
      <c r="J28" s="61" t="n"/>
      <c r="K28" s="61" t="n"/>
      <c r="L28" s="61" t="n"/>
      <c r="M28" s="61" t="n"/>
      <c r="N28" s="61" t="n"/>
      <c r="O28" s="61" t="n"/>
      <c r="P28" s="61" t="n"/>
      <c r="Q28" s="663">
        <f>IFERROR(SUM(J28,+L28,-N28),"n/a")</f>
        <v/>
      </c>
      <c r="R28" s="663">
        <f>IFERROR(SUM(K28,M28,-O28),"n/a")</f>
        <v/>
      </c>
      <c r="S28" s="663">
        <f>IFERROR(SUM(P28:R28),"n/a")</f>
        <v/>
      </c>
      <c r="T28" s="61" t="n"/>
    </row>
    <row r="29" outlineLevel="1" ht="14.1" customHeight="1">
      <c r="B29" s="515" t="n"/>
      <c r="C29" s="664" t="n"/>
      <c r="D29" s="660" t="n"/>
      <c r="E29" s="661" t="n"/>
      <c r="F29" s="661" t="n"/>
      <c r="G29" s="662" t="n"/>
      <c r="H29" s="61" t="n"/>
      <c r="I29" s="663">
        <f>SUM(J29:K29)</f>
        <v/>
      </c>
      <c r="J29" s="61" t="n"/>
      <c r="K29" s="61" t="n"/>
      <c r="L29" s="61" t="n"/>
      <c r="M29" s="61" t="n"/>
      <c r="N29" s="61" t="n"/>
      <c r="O29" s="61" t="n"/>
      <c r="P29" s="61" t="n"/>
      <c r="Q29" s="663">
        <f>IFERROR(SUM(J29,+L29,-N29),"n/a")</f>
        <v/>
      </c>
      <c r="R29" s="663">
        <f>IFERROR(SUM(K29,M29,-O29),"n/a")</f>
        <v/>
      </c>
      <c r="S29" s="663">
        <f>IFERROR(SUM(P29:R29),"n/a")</f>
        <v/>
      </c>
      <c r="T29" s="61" t="n"/>
    </row>
    <row r="30" outlineLevel="1" ht="14.1" customHeight="1">
      <c r="B30" s="515" t="n"/>
      <c r="C30" s="659" t="n"/>
      <c r="D30" s="660" t="n"/>
      <c r="E30" s="661" t="n"/>
      <c r="F30" s="661" t="n"/>
      <c r="G30" s="662" t="n"/>
      <c r="H30" s="61" t="n"/>
      <c r="I30" s="663">
        <f>SUM(J30:K30)</f>
        <v/>
      </c>
      <c r="J30" s="61" t="n"/>
      <c r="K30" s="61" t="n"/>
      <c r="L30" s="61" t="n"/>
      <c r="M30" s="61" t="n"/>
      <c r="N30" s="61" t="n"/>
      <c r="O30" s="61" t="n"/>
      <c r="P30" s="61" t="n"/>
      <c r="Q30" s="663">
        <f>IFERROR(SUM(J30,+L30,-N30),"n/a")</f>
        <v/>
      </c>
      <c r="R30" s="663">
        <f>IFERROR(SUM(K30,M30,-O30),"n/a")</f>
        <v/>
      </c>
      <c r="S30" s="663">
        <f>IFERROR(SUM(P30:R30),"n/a")</f>
        <v/>
      </c>
      <c r="T30" s="61" t="n"/>
    </row>
    <row r="31" outlineLevel="1" ht="14.1" customHeight="1">
      <c r="B31" s="515" t="n"/>
      <c r="C31" s="659" t="n"/>
      <c r="D31" s="660" t="n"/>
      <c r="E31" s="661" t="n"/>
      <c r="F31" s="661" t="n"/>
      <c r="G31" s="662" t="n"/>
      <c r="H31" s="61" t="n"/>
      <c r="I31" s="663">
        <f>SUM(J31:K31)</f>
        <v/>
      </c>
      <c r="J31" s="61" t="n"/>
      <c r="K31" s="61" t="n"/>
      <c r="L31" s="61" t="n"/>
      <c r="M31" s="61" t="n"/>
      <c r="N31" s="61" t="n"/>
      <c r="O31" s="61" t="n"/>
      <c r="P31" s="61" t="n"/>
      <c r="Q31" s="663">
        <f>IFERROR(SUM(J31,+L31,-N31),"n/a")</f>
        <v/>
      </c>
      <c r="R31" s="663">
        <f>IFERROR(SUM(K31,M31,-O31),"n/a")</f>
        <v/>
      </c>
      <c r="S31" s="663">
        <f>IFERROR(SUM(P31:R31),"n/a")</f>
        <v/>
      </c>
      <c r="T31" s="61" t="n"/>
    </row>
    <row r="32" outlineLevel="1" ht="14.1" customHeight="1">
      <c r="B32" s="515" t="n"/>
      <c r="C32" s="664" t="n"/>
      <c r="D32" s="660" t="n"/>
      <c r="E32" s="661" t="n"/>
      <c r="F32" s="661" t="n"/>
      <c r="G32" s="662" t="n"/>
      <c r="H32" s="61" t="n"/>
      <c r="I32" s="663">
        <f>SUM(J32:K32)</f>
        <v/>
      </c>
      <c r="J32" s="61" t="n"/>
      <c r="K32" s="61" t="n"/>
      <c r="L32" s="61" t="n"/>
      <c r="M32" s="61" t="n"/>
      <c r="N32" s="61" t="n"/>
      <c r="O32" s="61" t="n"/>
      <c r="P32" s="61" t="n"/>
      <c r="Q32" s="663">
        <f>IFERROR(SUM(J32,+L32,-N32),"n/a")</f>
        <v/>
      </c>
      <c r="R32" s="663">
        <f>IFERROR(SUM(K32,M32,-O32),"n/a")</f>
        <v/>
      </c>
      <c r="S32" s="663">
        <f>IFERROR(SUM(P32:R32),"n/a")</f>
        <v/>
      </c>
      <c r="T32" s="61" t="n"/>
    </row>
    <row r="33" outlineLevel="1" ht="14.1" customHeight="1">
      <c r="B33" s="515" t="n"/>
      <c r="C33" s="659" t="n"/>
      <c r="D33" s="660" t="n"/>
      <c r="E33" s="661" t="n"/>
      <c r="F33" s="661" t="n"/>
      <c r="G33" s="662" t="n"/>
      <c r="H33" s="61" t="n"/>
      <c r="I33" s="663">
        <f>SUM(J33:K33)</f>
        <v/>
      </c>
      <c r="J33" s="61" t="n"/>
      <c r="K33" s="61" t="n"/>
      <c r="L33" s="61" t="n"/>
      <c r="M33" s="61" t="n"/>
      <c r="N33" s="61" t="n"/>
      <c r="O33" s="61" t="n"/>
      <c r="P33" s="61" t="n"/>
      <c r="Q33" s="663">
        <f>IFERROR(SUM(J33,+L33,-N33),"n/a")</f>
        <v/>
      </c>
      <c r="R33" s="663">
        <f>IFERROR(SUM(K33,M33,-O33),"n/a")</f>
        <v/>
      </c>
      <c r="S33" s="663">
        <f>IFERROR(SUM(P33:R33),"n/a")</f>
        <v/>
      </c>
      <c r="T33" s="61" t="n"/>
    </row>
    <row r="34" outlineLevel="1" ht="14.1" customHeight="1">
      <c r="B34" s="515" t="n"/>
      <c r="C34" s="659" t="n"/>
      <c r="D34" s="660" t="n"/>
      <c r="E34" s="661" t="n"/>
      <c r="F34" s="661" t="n"/>
      <c r="G34" s="662" t="n"/>
      <c r="H34" s="61" t="n"/>
      <c r="I34" s="663">
        <f>SUM(J34:K34)</f>
        <v/>
      </c>
      <c r="J34" s="61" t="n"/>
      <c r="K34" s="61" t="n"/>
      <c r="L34" s="61" t="n"/>
      <c r="M34" s="61" t="n"/>
      <c r="N34" s="61" t="n"/>
      <c r="O34" s="61" t="n"/>
      <c r="P34" s="61" t="n"/>
      <c r="Q34" s="663">
        <f>IFERROR(SUM(J34,+L34,-N34),"n/a")</f>
        <v/>
      </c>
      <c r="R34" s="663">
        <f>IFERROR(SUM(K34,M34,-O34),"n/a")</f>
        <v/>
      </c>
      <c r="S34" s="663">
        <f>IFERROR(SUM(P34:R34),"n/a")</f>
        <v/>
      </c>
      <c r="T34" s="61" t="n"/>
    </row>
    <row r="35" outlineLevel="1" ht="14.1" customHeight="1">
      <c r="B35" s="515" t="n"/>
      <c r="C35" s="659" t="n"/>
      <c r="D35" s="660" t="n"/>
      <c r="E35" s="661" t="n"/>
      <c r="F35" s="661" t="n"/>
      <c r="G35" s="662" t="n"/>
      <c r="H35" s="61" t="n"/>
      <c r="I35" s="663">
        <f>SUM(J35:K35)</f>
        <v/>
      </c>
      <c r="J35" s="61" t="n"/>
      <c r="K35" s="61" t="n"/>
      <c r="L35" s="61" t="n"/>
      <c r="M35" s="61" t="n"/>
      <c r="N35" s="61" t="n"/>
      <c r="O35" s="61" t="n"/>
      <c r="P35" s="61" t="n"/>
      <c r="Q35" s="663">
        <f>IFERROR(SUM(J35,+L35,-N35),"n/a")</f>
        <v/>
      </c>
      <c r="R35" s="663">
        <f>IFERROR(SUM(K35,M35,-O35),"n/a")</f>
        <v/>
      </c>
      <c r="S35" s="663">
        <f>IFERROR(SUM(P35:R35),"n/a")</f>
        <v/>
      </c>
      <c r="T35" s="61" t="n"/>
    </row>
    <row r="36" ht="14.1" customHeight="1">
      <c r="B36" s="655" t="n"/>
      <c r="C36" s="656" t="inlineStr">
        <is>
          <t>Foreign financial institution/</t>
        </is>
      </c>
      <c r="D36" s="665" t="n"/>
      <c r="E36" s="666" t="n"/>
      <c r="F36" s="666" t="n"/>
      <c r="G36" s="658">
        <f>CHAR(10)</f>
        <v/>
      </c>
      <c r="H36" s="658">
        <f>CHAR(10)</f>
        <v/>
      </c>
      <c r="I36" s="657">
        <f>SUM(J36:K36)</f>
        <v/>
      </c>
      <c r="J36" s="657">
        <f>SUM(J37:J144)</f>
        <v/>
      </c>
      <c r="K36" s="657">
        <f>SUM(K37:K144)</f>
        <v/>
      </c>
      <c r="L36" s="657">
        <f>SUM(L37:L144)</f>
        <v/>
      </c>
      <c r="M36" s="657">
        <f>SUM(M37:M144)</f>
        <v/>
      </c>
      <c r="N36" s="657">
        <f>SUM(N37:N144)</f>
        <v/>
      </c>
      <c r="O36" s="657">
        <f>SUM(O37:O144)</f>
        <v/>
      </c>
      <c r="P36" s="657">
        <f>SUM(P37:P144)</f>
        <v/>
      </c>
      <c r="Q36" s="657">
        <f>SUM(Q37:Q144)</f>
        <v/>
      </c>
      <c r="R36" s="657">
        <f>SUM(R37:R144)</f>
        <v/>
      </c>
      <c r="S36" s="657">
        <f>SUM(P36:R36)</f>
        <v/>
      </c>
      <c r="T36" s="657" t="n"/>
    </row>
    <row r="37" outlineLevel="1" ht="14.1" customHeight="1">
      <c r="B37" s="515" t="n"/>
      <c r="C37" s="659" t="inlineStr">
        <is>
          <t>Pasha Bank Georgia</t>
        </is>
      </c>
      <c r="D37" s="660" t="inlineStr">
        <is>
          <t>GEL</t>
        </is>
      </c>
      <c r="E37" s="661" t="n">
        <v>44186</v>
      </c>
      <c r="F37" s="661" t="n">
        <v>44916</v>
      </c>
      <c r="G37" s="662" t="n">
        <v>0.135</v>
      </c>
      <c r="H37" s="61" t="n">
        <v>18436.0275952764</v>
      </c>
      <c r="I37" s="663">
        <f>SUM(J37:K37)</f>
        <v/>
      </c>
      <c r="J37" s="61" t="n">
        <v>6795.690071612077</v>
      </c>
      <c r="K37" s="61" t="n">
        <v>0</v>
      </c>
      <c r="L37" s="61" t="n">
        <v>799.4348181750577</v>
      </c>
      <c r="M37" s="61" t="n">
        <v>105.6823157581617</v>
      </c>
      <c r="N37" s="61" t="n">
        <v>949.4348181750577</v>
      </c>
      <c r="O37" s="61" t="n">
        <v>106.1995389306165</v>
      </c>
      <c r="P37" s="61" t="n">
        <v>59.38079745775303</v>
      </c>
      <c r="Q37" s="663">
        <f>IFERROR(SUM(J37,+L37,-N37),"n/a")</f>
        <v/>
      </c>
      <c r="R37" s="663">
        <f>IFERROR(SUM(K37,M37,-O37),"n/a")</f>
        <v/>
      </c>
      <c r="S37" s="663">
        <f>IFERROR(SUM(P37:R37),"n/a")</f>
        <v/>
      </c>
      <c r="T37" s="61" t="n"/>
    </row>
    <row r="38" outlineLevel="1" ht="14.1" customHeight="1">
      <c r="B38" s="515" t="n"/>
      <c r="C38" s="659" t="inlineStr">
        <is>
          <t>Pasha Bank Georgia</t>
        </is>
      </c>
      <c r="D38" s="660" t="inlineStr">
        <is>
          <t>USD</t>
        </is>
      </c>
      <c r="E38" s="661" t="n">
        <v>44035</v>
      </c>
      <c r="F38" s="661" t="n">
        <v>45116</v>
      </c>
      <c r="G38" s="662" t="n">
        <v>0.07000000000000001</v>
      </c>
      <c r="H38" s="61" t="n">
        <v>2205.96694957455</v>
      </c>
      <c r="I38" s="663">
        <f>SUM(J38:K38)</f>
        <v/>
      </c>
      <c r="J38" s="61" t="n">
        <v>2205.96694957455</v>
      </c>
      <c r="K38" s="61" t="n">
        <v>0</v>
      </c>
      <c r="L38" s="61" t="n">
        <v>0</v>
      </c>
      <c r="M38" s="61" t="n">
        <v>24.32088569941251</v>
      </c>
      <c r="N38" s="61" t="n">
        <v>0</v>
      </c>
      <c r="O38" s="61" t="n">
        <v>12.41129619989589</v>
      </c>
      <c r="P38" s="61" t="n">
        <v>0</v>
      </c>
      <c r="Q38" s="663">
        <f>IFERROR(SUM(J38,+L38,-N38),"n/a")</f>
        <v/>
      </c>
      <c r="R38" s="663">
        <f>IFERROR(SUM(K38,M38,-O38),"n/a")</f>
        <v/>
      </c>
      <c r="S38" s="663">
        <f>IFERROR(SUM(P38:R38),"n/a")</f>
        <v/>
      </c>
      <c r="T38" s="61" t="n"/>
    </row>
    <row r="39" outlineLevel="1" ht="14.1" customHeight="1">
      <c r="B39" s="515" t="n"/>
      <c r="C39" s="659" t="inlineStr">
        <is>
          <t>TBC Bank Georgia</t>
        </is>
      </c>
      <c r="D39" s="660" t="inlineStr">
        <is>
          <t>GEL</t>
        </is>
      </c>
      <c r="E39" s="661" t="n">
        <v>43635</v>
      </c>
      <c r="F39" s="661" t="n">
        <v>45529</v>
      </c>
      <c r="G39" s="662" t="n">
        <v>0.1494</v>
      </c>
      <c r="H39" s="61" t="n">
        <v>124052.3599149294</v>
      </c>
      <c r="I39" s="663">
        <f>SUM(J39:K39)</f>
        <v/>
      </c>
      <c r="J39" s="61" t="n">
        <v>45667.26171458096</v>
      </c>
      <c r="K39" s="61" t="n">
        <v>59.58406481723682</v>
      </c>
      <c r="L39" s="61" t="n">
        <v>0</v>
      </c>
      <c r="M39" s="61" t="n">
        <v>966.8448129694359</v>
      </c>
      <c r="N39" s="61" t="n">
        <v>1009.737975013014</v>
      </c>
      <c r="O39" s="61" t="n">
        <v>677.9119060013386</v>
      </c>
      <c r="P39" s="61" t="n">
        <v>145.6264212957176</v>
      </c>
      <c r="Q39" s="663">
        <f>IFERROR(SUM(J39,+L39,-N39),"n/a")</f>
        <v/>
      </c>
      <c r="R39" s="663">
        <f>IFERROR(SUM(K39,M39,-O39),"n/a")</f>
        <v/>
      </c>
      <c r="S39" s="663">
        <f>IFERROR(SUM(P39:R39),"n/a")</f>
        <v/>
      </c>
      <c r="T39" s="61" t="n"/>
    </row>
    <row r="40" outlineLevel="1" ht="14.1" customHeight="1">
      <c r="B40" s="515" t="n"/>
      <c r="C40" s="659" t="inlineStr">
        <is>
          <t>TBC Bank Georgia</t>
        </is>
      </c>
      <c r="D40" s="660" t="inlineStr">
        <is>
          <t>USD</t>
        </is>
      </c>
      <c r="E40" s="661" t="n">
        <v>44365</v>
      </c>
      <c r="F40" s="661" t="n">
        <v>44729</v>
      </c>
      <c r="G40" s="662" t="n">
        <v>0.0775</v>
      </c>
      <c r="H40" s="61" t="n">
        <v>10215.61055720518</v>
      </c>
      <c r="I40" s="663">
        <f>SUM(J40:K40)</f>
        <v/>
      </c>
      <c r="J40" s="61" t="n">
        <v>10169.28907720518</v>
      </c>
      <c r="K40" s="61" t="n">
        <v>46.32148000000001</v>
      </c>
      <c r="L40" s="61" t="n">
        <v>9940.507176321857</v>
      </c>
      <c r="M40" s="61" t="n">
        <v>241.3920911727523</v>
      </c>
      <c r="N40" s="61" t="n">
        <v>0.0006172380456607421</v>
      </c>
      <c r="O40" s="61" t="n">
        <v>240.5970922882427</v>
      </c>
      <c r="P40" s="61" t="n">
        <v>0</v>
      </c>
      <c r="Q40" s="663">
        <f>IFERROR(SUM(J40,+L40,-N40),"n/a")</f>
        <v/>
      </c>
      <c r="R40" s="663">
        <f>IFERROR(SUM(K40,M40,-O40),"n/a")</f>
        <v/>
      </c>
      <c r="S40" s="663">
        <f>IFERROR(SUM(P40:R40),"n/a")</f>
        <v/>
      </c>
      <c r="T40" s="61" t="n"/>
    </row>
    <row r="41" outlineLevel="1" ht="14.1" customHeight="1">
      <c r="B41" s="515" t="n"/>
      <c r="C41" s="659" t="inlineStr">
        <is>
          <t>Liberty Bank Georgia</t>
        </is>
      </c>
      <c r="D41" s="660" t="inlineStr">
        <is>
          <t>GEL</t>
        </is>
      </c>
      <c r="E41" s="661" t="n">
        <v>44223</v>
      </c>
      <c r="F41" s="661" t="n">
        <v>44949</v>
      </c>
      <c r="G41" s="662" t="n">
        <v>0.12</v>
      </c>
      <c r="H41" s="61" t="n">
        <v>28949.8138455467</v>
      </c>
      <c r="I41" s="663">
        <f>SUM(J41:K41)</f>
        <v/>
      </c>
      <c r="J41" s="61" t="n">
        <v>10671.16880295871</v>
      </c>
      <c r="K41" s="61" t="n">
        <v>0</v>
      </c>
      <c r="L41" s="61" t="n">
        <v>5577.452219825983</v>
      </c>
      <c r="M41" s="61" t="n">
        <v>199.871439726333</v>
      </c>
      <c r="N41" s="61" t="n">
        <v>0</v>
      </c>
      <c r="O41" s="61" t="n">
        <v>123.7735963411914</v>
      </c>
      <c r="P41" s="61" t="n">
        <v>93.24476346751362</v>
      </c>
      <c r="Q41" s="663">
        <f>IFERROR(SUM(J41,+L41,-N41),"n/a")</f>
        <v/>
      </c>
      <c r="R41" s="663">
        <f>IFERROR(SUM(K41,M41,-O41),"n/a")</f>
        <v/>
      </c>
      <c r="S41" s="663">
        <f>IFERROR(SUM(P41:R41),"n/a")</f>
        <v/>
      </c>
      <c r="T41" s="61" t="n"/>
    </row>
    <row r="42" outlineLevel="1" ht="14.1" customHeight="1">
      <c r="B42" s="515" t="n"/>
      <c r="C42" s="664" t="inlineStr">
        <is>
          <t>Bank of Georgia</t>
        </is>
      </c>
      <c r="D42" s="660" t="inlineStr">
        <is>
          <t>GEL</t>
        </is>
      </c>
      <c r="E42" s="661" t="n">
        <v>44124</v>
      </c>
      <c r="F42" s="661" t="n">
        <v>44854</v>
      </c>
      <c r="G42" s="662" t="n">
        <v>0.135</v>
      </c>
      <c r="H42" s="61" t="n">
        <v>167471.5454966102</v>
      </c>
      <c r="I42" s="663">
        <f>SUM(J42:K42)</f>
        <v/>
      </c>
      <c r="J42" s="61" t="n">
        <v>61692.39436291061</v>
      </c>
      <c r="K42" s="61" t="n">
        <v>39.16430000000003</v>
      </c>
      <c r="L42" s="61" t="n">
        <v>0</v>
      </c>
      <c r="M42" s="61" t="n">
        <v>700.4996467613595</v>
      </c>
      <c r="N42" s="61" t="n">
        <v>622.1961775860786</v>
      </c>
      <c r="O42" s="61" t="n">
        <v>700.4996467613595</v>
      </c>
      <c r="P42" s="61" t="n">
        <v>339.4108829398392</v>
      </c>
      <c r="Q42" s="663">
        <f>IFERROR(SUM(J42,+L42,-N42),"n/a")</f>
        <v/>
      </c>
      <c r="R42" s="663">
        <f>IFERROR(SUM(K42,M42,-O42),"n/a")</f>
        <v/>
      </c>
      <c r="S42" s="663">
        <f>IFERROR(SUM(P42:R42),"n/a")</f>
        <v/>
      </c>
      <c r="T42" s="61" t="n"/>
    </row>
    <row r="43" outlineLevel="1" ht="14.1" customHeight="1">
      <c r="B43" s="515" t="n"/>
      <c r="C43" s="659" t="inlineStr">
        <is>
          <t>EVENTUS GENERAL TREIDING FZE</t>
        </is>
      </c>
      <c r="D43" s="660" t="inlineStr">
        <is>
          <t>USD</t>
        </is>
      </c>
      <c r="E43" s="661" t="n"/>
      <c r="F43" s="661" t="n">
        <v>45046</v>
      </c>
      <c r="G43" s="662" t="inlineStr">
        <is>
          <t>Libor+2%</t>
        </is>
      </c>
      <c r="H43" s="61" t="n">
        <v>6676.433770988004</v>
      </c>
      <c r="I43" s="663">
        <f>SUM(J43:K43)</f>
        <v/>
      </c>
      <c r="J43" s="61" t="n">
        <v>4781.953299595792</v>
      </c>
      <c r="K43" s="61" t="n">
        <v>1894.480471392213</v>
      </c>
      <c r="L43" s="61" t="n">
        <v>0</v>
      </c>
      <c r="M43" s="61" t="n">
        <v>32.42518777422473</v>
      </c>
      <c r="N43" s="61" t="n">
        <v>0</v>
      </c>
      <c r="O43" s="61" t="n">
        <v>33.6817355408707</v>
      </c>
      <c r="P43" s="61" t="n">
        <v>0</v>
      </c>
      <c r="Q43" s="663">
        <f>IFERROR(SUM(J43,+L43,-N43),"n/a")</f>
        <v/>
      </c>
      <c r="R43" s="663">
        <f>IFERROR(SUM(K43,M43,-O43),"n/a")</f>
        <v/>
      </c>
      <c r="S43" s="663">
        <f>IFERROR(SUM(P43:R43),"n/a")</f>
        <v/>
      </c>
      <c r="T43" s="61" t="n"/>
    </row>
    <row r="44" outlineLevel="1" ht="14.1" customHeight="1">
      <c r="B44" s="515" t="n"/>
      <c r="C44" s="659" t="inlineStr">
        <is>
          <t>TBC Bank Georgia(Letter of credit)</t>
        </is>
      </c>
      <c r="D44" s="660" t="inlineStr">
        <is>
          <t>USD</t>
        </is>
      </c>
      <c r="E44" s="661" t="n"/>
      <c r="F44" s="661" t="n">
        <v>45137</v>
      </c>
      <c r="G44" s="662" t="n"/>
      <c r="H44" s="61" t="n">
        <v>19193.97125373913</v>
      </c>
      <c r="I44" s="663">
        <f>SUM(J44:K44)</f>
        <v/>
      </c>
      <c r="J44" s="61" t="n">
        <v>19133.81660373913</v>
      </c>
      <c r="K44" s="61" t="n">
        <v>60.15465</v>
      </c>
      <c r="L44" s="61" t="n">
        <v>0</v>
      </c>
      <c r="M44" s="61" t="n">
        <v>0</v>
      </c>
      <c r="N44" s="61" t="n">
        <v>2896.281698520116</v>
      </c>
      <c r="O44" s="61" t="n">
        <v>0</v>
      </c>
      <c r="P44" s="61" t="n">
        <v>0</v>
      </c>
      <c r="Q44" s="663">
        <f>IFERROR(SUM(J44,+L44,-N44),"n/a")</f>
        <v/>
      </c>
      <c r="R44" s="663">
        <f>IFERROR(SUM(K44,M44,-O44),"n/a")</f>
        <v/>
      </c>
      <c r="S44" s="663">
        <f>IFERROR(SUM(P44:R44),"n/a")</f>
        <v/>
      </c>
      <c r="T44" s="61" t="n"/>
    </row>
    <row r="45" outlineLevel="1" ht="14.1" customHeight="1">
      <c r="B45" s="515" t="n"/>
      <c r="C45" s="664" t="n"/>
      <c r="D45" s="660" t="n"/>
      <c r="E45" s="661" t="n"/>
      <c r="F45" s="661" t="n"/>
      <c r="G45" s="662" t="n"/>
      <c r="H45" s="61" t="n"/>
      <c r="I45" s="663">
        <f>SUM(J45:K45)</f>
        <v/>
      </c>
      <c r="J45" s="61" t="n"/>
      <c r="K45" s="61" t="n"/>
      <c r="L45" s="61" t="n"/>
      <c r="M45" s="61" t="n"/>
      <c r="N45" s="61" t="n"/>
      <c r="O45" s="61" t="n"/>
      <c r="P45" s="61" t="n"/>
      <c r="Q45" s="663">
        <f>IFERROR(SUM(J45,+L45,-N45),"n/a")</f>
        <v/>
      </c>
      <c r="R45" s="663">
        <f>IFERROR(SUM(K45,M45,-O45),"n/a")</f>
        <v/>
      </c>
      <c r="S45" s="663">
        <f>IFERROR(SUM(P45:R45),"n/a")</f>
        <v/>
      </c>
      <c r="T45" s="61" t="n"/>
    </row>
    <row r="46" outlineLevel="1" ht="14.1" customHeight="1">
      <c r="B46" s="515" t="n"/>
      <c r="C46" s="659" t="n"/>
      <c r="D46" s="660" t="n"/>
      <c r="E46" s="661" t="n"/>
      <c r="F46" s="661" t="n"/>
      <c r="G46" s="662" t="n"/>
      <c r="H46" s="61" t="n"/>
      <c r="I46" s="663">
        <f>SUM(J46:K46)</f>
        <v/>
      </c>
      <c r="J46" s="61" t="n"/>
      <c r="K46" s="61" t="n"/>
      <c r="L46" s="61" t="n"/>
      <c r="M46" s="61" t="n"/>
      <c r="N46" s="61" t="n"/>
      <c r="O46" s="61" t="n"/>
      <c r="P46" s="61" t="n"/>
      <c r="Q46" s="663">
        <f>IFERROR(SUM(J46,+L46,-N46),"n/a")</f>
        <v/>
      </c>
      <c r="R46" s="663">
        <f>IFERROR(SUM(K46,M46,-O46),"n/a")</f>
        <v/>
      </c>
      <c r="S46" s="663">
        <f>IFERROR(SUM(P46:R46),"n/a")</f>
        <v/>
      </c>
      <c r="T46" s="61" t="n"/>
    </row>
    <row r="47" outlineLevel="1" ht="14.1" customHeight="1">
      <c r="B47" s="515" t="n"/>
      <c r="C47" s="659" t="n"/>
      <c r="D47" s="660" t="n"/>
      <c r="E47" s="661" t="n"/>
      <c r="F47" s="661" t="n"/>
      <c r="G47" s="662" t="n"/>
      <c r="H47" s="61" t="n"/>
      <c r="I47" s="663">
        <f>SUM(J47:K47)</f>
        <v/>
      </c>
      <c r="J47" s="61" t="n"/>
      <c r="K47" s="61" t="n"/>
      <c r="L47" s="61" t="n"/>
      <c r="M47" s="61" t="n"/>
      <c r="N47" s="61" t="n"/>
      <c r="O47" s="61" t="n"/>
      <c r="P47" s="61" t="n"/>
      <c r="Q47" s="663">
        <f>IFERROR(SUM(J47,+L47,-N47),"n/a")</f>
        <v/>
      </c>
      <c r="R47" s="663">
        <f>IFERROR(SUM(K47,M47,-O47),"n/a")</f>
        <v/>
      </c>
      <c r="S47" s="663">
        <f>IFERROR(SUM(P47:R47),"n/a")</f>
        <v/>
      </c>
      <c r="T47" s="61" t="n"/>
    </row>
    <row r="48" outlineLevel="1" ht="14.1" customHeight="1">
      <c r="B48" s="515" t="n"/>
      <c r="C48" s="664" t="n"/>
      <c r="D48" s="660" t="n"/>
      <c r="E48" s="661" t="n"/>
      <c r="F48" s="661" t="n"/>
      <c r="G48" s="662" t="n"/>
      <c r="H48" s="61" t="n"/>
      <c r="I48" s="663">
        <f>SUM(J48:K48)</f>
        <v/>
      </c>
      <c r="J48" s="61" t="n"/>
      <c r="K48" s="61" t="n"/>
      <c r="L48" s="61" t="n"/>
      <c r="M48" s="61" t="n"/>
      <c r="N48" s="61" t="n"/>
      <c r="O48" s="61" t="n"/>
      <c r="P48" s="61" t="n"/>
      <c r="Q48" s="663">
        <f>IFERROR(SUM(J48,+L48,-N48),"n/a")</f>
        <v/>
      </c>
      <c r="R48" s="663">
        <f>IFERROR(SUM(K48,M48,-O48),"n/a")</f>
        <v/>
      </c>
      <c r="S48" s="663">
        <f>IFERROR(SUM(P48:R48),"n/a")</f>
        <v/>
      </c>
      <c r="T48" s="61" t="n"/>
    </row>
    <row r="49" outlineLevel="1" ht="14.1" customHeight="1">
      <c r="B49" s="515" t="n"/>
      <c r="C49" s="659" t="n"/>
      <c r="D49" s="660" t="n"/>
      <c r="E49" s="661" t="n"/>
      <c r="F49" s="661" t="n"/>
      <c r="G49" s="662" t="n"/>
      <c r="H49" s="61" t="n"/>
      <c r="I49" s="663">
        <f>SUM(J49:K49)</f>
        <v/>
      </c>
      <c r="J49" s="61" t="n"/>
      <c r="K49" s="61" t="n"/>
      <c r="L49" s="61" t="n"/>
      <c r="M49" s="61" t="n"/>
      <c r="N49" s="61" t="n"/>
      <c r="O49" s="61" t="n"/>
      <c r="P49" s="61" t="n"/>
      <c r="Q49" s="663">
        <f>IFERROR(SUM(J49,+L49,-N49),"n/a")</f>
        <v/>
      </c>
      <c r="R49" s="663">
        <f>IFERROR(SUM(K49,M49,-O49),"n/a")</f>
        <v/>
      </c>
      <c r="S49" s="663">
        <f>IFERROR(SUM(P49:R49),"n/a")</f>
        <v/>
      </c>
      <c r="T49" s="61" t="n"/>
    </row>
    <row r="50" outlineLevel="1" ht="14.1" customHeight="1">
      <c r="B50" s="515" t="n"/>
      <c r="C50" s="659" t="n"/>
      <c r="D50" s="660" t="n"/>
      <c r="E50" s="661" t="n"/>
      <c r="F50" s="661" t="n"/>
      <c r="G50" s="662" t="n"/>
      <c r="H50" s="61" t="n"/>
      <c r="I50" s="663">
        <f>SUM(J50:K50)</f>
        <v/>
      </c>
      <c r="J50" s="61" t="n"/>
      <c r="K50" s="61" t="n"/>
      <c r="L50" s="61" t="n"/>
      <c r="M50" s="61" t="n"/>
      <c r="N50" s="61" t="n"/>
      <c r="O50" s="61" t="n"/>
      <c r="P50" s="61" t="n"/>
      <c r="Q50" s="663">
        <f>IFERROR(SUM(J50,+L50,-N50),"n/a")</f>
        <v/>
      </c>
      <c r="R50" s="663">
        <f>IFERROR(SUM(K50,M50,-O50),"n/a")</f>
        <v/>
      </c>
      <c r="S50" s="663">
        <f>IFERROR(SUM(P50:R50),"n/a")</f>
        <v/>
      </c>
      <c r="T50" s="61" t="n"/>
    </row>
    <row r="51" outlineLevel="1" ht="14.1" customHeight="1">
      <c r="B51" s="515" t="n"/>
      <c r="C51" s="659" t="n"/>
      <c r="D51" s="660" t="n"/>
      <c r="E51" s="661" t="n"/>
      <c r="F51" s="661" t="n"/>
      <c r="G51" s="662" t="n"/>
      <c r="H51" s="61" t="n"/>
      <c r="I51" s="663">
        <f>SUM(J51:K51)</f>
        <v/>
      </c>
      <c r="J51" s="61" t="n"/>
      <c r="K51" s="61" t="n"/>
      <c r="L51" s="61" t="n"/>
      <c r="M51" s="61" t="n"/>
      <c r="N51" s="61" t="n"/>
      <c r="O51" s="61" t="n"/>
      <c r="P51" s="61" t="n"/>
      <c r="Q51" s="663">
        <f>IFERROR(SUM(J51,+L51,-N51),"n/a")</f>
        <v/>
      </c>
      <c r="R51" s="663">
        <f>IFERROR(SUM(K51,M51,-O51),"n/a")</f>
        <v/>
      </c>
      <c r="S51" s="663">
        <f>IFERROR(SUM(P51:R51),"n/a")</f>
        <v/>
      </c>
      <c r="T51" s="61" t="n"/>
    </row>
    <row r="52" outlineLevel="1" ht="14.1" customHeight="1">
      <c r="B52" s="515" t="n"/>
      <c r="C52" s="659" t="n"/>
      <c r="D52" s="660" t="n"/>
      <c r="E52" s="661" t="n"/>
      <c r="F52" s="661" t="n"/>
      <c r="G52" s="662" t="n"/>
      <c r="H52" s="61" t="n"/>
      <c r="I52" s="663">
        <f>SUM(J52:K52)</f>
        <v/>
      </c>
      <c r="J52" s="61" t="n"/>
      <c r="K52" s="61" t="n"/>
      <c r="L52" s="61" t="n"/>
      <c r="M52" s="61" t="n"/>
      <c r="N52" s="61" t="n"/>
      <c r="O52" s="61" t="n"/>
      <c r="P52" s="61" t="n"/>
      <c r="Q52" s="663">
        <f>IFERROR(SUM(J52,+L52,-N52),"n/a")</f>
        <v/>
      </c>
      <c r="R52" s="663">
        <f>IFERROR(SUM(K52,M52,-O52),"n/a")</f>
        <v/>
      </c>
      <c r="S52" s="663">
        <f>IFERROR(SUM(P52:R52),"n/a")</f>
        <v/>
      </c>
      <c r="T52" s="61" t="n"/>
    </row>
    <row r="53" outlineLevel="1" ht="14.1" customHeight="1">
      <c r="B53" s="515" t="n"/>
      <c r="C53" s="659" t="n"/>
      <c r="D53" s="660" t="n"/>
      <c r="E53" s="661" t="n"/>
      <c r="F53" s="661" t="n"/>
      <c r="G53" s="662" t="n"/>
      <c r="H53" s="61" t="n"/>
      <c r="I53" s="663">
        <f>SUM(J53:K53)</f>
        <v/>
      </c>
      <c r="J53" s="61" t="n"/>
      <c r="K53" s="61" t="n"/>
      <c r="L53" s="61" t="n"/>
      <c r="M53" s="61" t="n"/>
      <c r="N53" s="61" t="n"/>
      <c r="O53" s="61" t="n"/>
      <c r="P53" s="61" t="n"/>
      <c r="Q53" s="663">
        <f>IFERROR(SUM(J53,+L53,-N53),"n/a")</f>
        <v/>
      </c>
      <c r="R53" s="663">
        <f>IFERROR(SUM(K53,M53,-O53),"n/a")</f>
        <v/>
      </c>
      <c r="S53" s="663">
        <f>IFERROR(SUM(P53:R53),"n/a")</f>
        <v/>
      </c>
      <c r="T53" s="61" t="n"/>
    </row>
    <row r="54" outlineLevel="1" ht="14.1" customHeight="1">
      <c r="B54" s="515" t="n"/>
      <c r="C54" s="659" t="n"/>
      <c r="D54" s="660" t="n"/>
      <c r="E54" s="661" t="n"/>
      <c r="F54" s="661" t="n"/>
      <c r="G54" s="662" t="n"/>
      <c r="H54" s="61" t="n"/>
      <c r="I54" s="663">
        <f>SUM(J54:K54)</f>
        <v/>
      </c>
      <c r="J54" s="61" t="n"/>
      <c r="K54" s="61" t="n"/>
      <c r="L54" s="61" t="n"/>
      <c r="M54" s="61" t="n"/>
      <c r="N54" s="61" t="n"/>
      <c r="O54" s="61" t="n"/>
      <c r="P54" s="61" t="n"/>
      <c r="Q54" s="663">
        <f>IFERROR(SUM(J54,+L54,-N54),"n/a")</f>
        <v/>
      </c>
      <c r="R54" s="663">
        <f>IFERROR(SUM(K54,M54,-O54),"n/a")</f>
        <v/>
      </c>
      <c r="S54" s="663">
        <f>IFERROR(SUM(P54:R54),"n/a")</f>
        <v/>
      </c>
      <c r="T54" s="61" t="n"/>
    </row>
    <row r="55" outlineLevel="1" ht="14.1" customHeight="1">
      <c r="B55" s="515" t="n"/>
      <c r="C55" s="659" t="n"/>
      <c r="D55" s="660" t="n"/>
      <c r="E55" s="661" t="n"/>
      <c r="F55" s="661" t="n"/>
      <c r="G55" s="662" t="n"/>
      <c r="H55" s="61" t="n"/>
      <c r="I55" s="663">
        <f>SUM(J55:K55)</f>
        <v/>
      </c>
      <c r="J55" s="61" t="n"/>
      <c r="K55" s="61" t="n"/>
      <c r="L55" s="61" t="n"/>
      <c r="M55" s="61" t="n"/>
      <c r="N55" s="61" t="n"/>
      <c r="O55" s="61" t="n"/>
      <c r="P55" s="61" t="n"/>
      <c r="Q55" s="663">
        <f>IFERROR(SUM(J55,+L55,-N55),"n/a")</f>
        <v/>
      </c>
      <c r="R55" s="663">
        <f>IFERROR(SUM(K55,M55,-O55),"n/a")</f>
        <v/>
      </c>
      <c r="S55" s="663">
        <f>IFERROR(SUM(P55:R55),"n/a")</f>
        <v/>
      </c>
      <c r="T55" s="61" t="n"/>
    </row>
    <row r="56" outlineLevel="1" ht="14.1" customHeight="1">
      <c r="B56" s="515" t="n"/>
      <c r="C56" s="659" t="n"/>
      <c r="D56" s="660" t="n"/>
      <c r="E56" s="661" t="n"/>
      <c r="F56" s="661" t="n"/>
      <c r="G56" s="662" t="n"/>
      <c r="H56" s="61" t="n"/>
      <c r="I56" s="663">
        <f>SUM(J56:K56)</f>
        <v/>
      </c>
      <c r="J56" s="61" t="n"/>
      <c r="K56" s="61" t="n"/>
      <c r="L56" s="61" t="n"/>
      <c r="M56" s="61" t="n"/>
      <c r="N56" s="61" t="n"/>
      <c r="O56" s="61" t="n"/>
      <c r="P56" s="61" t="n"/>
      <c r="Q56" s="663">
        <f>IFERROR(SUM(J56,+L56,-N56),"n/a")</f>
        <v/>
      </c>
      <c r="R56" s="663">
        <f>IFERROR(SUM(K56,M56,-O56),"n/a")</f>
        <v/>
      </c>
      <c r="S56" s="663">
        <f>IFERROR(SUM(P56:R56),"n/a")</f>
        <v/>
      </c>
      <c r="T56" s="61" t="n"/>
    </row>
    <row r="57" outlineLevel="1" ht="14.1" customHeight="1">
      <c r="B57" s="515" t="n"/>
      <c r="C57" s="659" t="n"/>
      <c r="D57" s="660" t="n"/>
      <c r="E57" s="661" t="n"/>
      <c r="F57" s="661" t="n"/>
      <c r="G57" s="662" t="n"/>
      <c r="H57" s="61" t="n"/>
      <c r="I57" s="663">
        <f>SUM(J57:K57)</f>
        <v/>
      </c>
      <c r="J57" s="61" t="n"/>
      <c r="K57" s="61" t="n"/>
      <c r="L57" s="61" t="n"/>
      <c r="M57" s="61" t="n"/>
      <c r="N57" s="61" t="n"/>
      <c r="O57" s="61" t="n"/>
      <c r="P57" s="61" t="n"/>
      <c r="Q57" s="663">
        <f>IFERROR(SUM(J57,+L57,-N57),"n/a")</f>
        <v/>
      </c>
      <c r="R57" s="663">
        <f>IFERROR(SUM(K57,M57,-O57),"n/a")</f>
        <v/>
      </c>
      <c r="S57" s="663">
        <f>IFERROR(SUM(P57:R57),"n/a")</f>
        <v/>
      </c>
      <c r="T57" s="61" t="n"/>
    </row>
    <row r="58" outlineLevel="1" ht="14.1" customHeight="1">
      <c r="B58" s="515" t="n"/>
      <c r="C58" s="659" t="n"/>
      <c r="D58" s="660" t="n"/>
      <c r="E58" s="661" t="n"/>
      <c r="F58" s="661" t="n"/>
      <c r="G58" s="662" t="n"/>
      <c r="H58" s="61" t="n"/>
      <c r="I58" s="663">
        <f>SUM(J58:K58)</f>
        <v/>
      </c>
      <c r="J58" s="61" t="n"/>
      <c r="K58" s="61" t="n"/>
      <c r="L58" s="61" t="n"/>
      <c r="M58" s="61" t="n"/>
      <c r="N58" s="61" t="n"/>
      <c r="O58" s="61" t="n"/>
      <c r="P58" s="61" t="n"/>
      <c r="Q58" s="663">
        <f>IFERROR(SUM(J58,+L58,-N58),"n/a")</f>
        <v/>
      </c>
      <c r="R58" s="663">
        <f>IFERROR(SUM(K58,M58,-O58),"n/a")</f>
        <v/>
      </c>
      <c r="S58" s="663">
        <f>IFERROR(SUM(P58:R58),"n/a")</f>
        <v/>
      </c>
      <c r="T58" s="61" t="n"/>
    </row>
    <row r="59" outlineLevel="1" ht="14.1" customHeight="1">
      <c r="B59" s="515" t="n"/>
      <c r="C59" s="659" t="n"/>
      <c r="D59" s="660" t="n"/>
      <c r="E59" s="661" t="n"/>
      <c r="F59" s="661" t="n"/>
      <c r="G59" s="662" t="n"/>
      <c r="H59" s="61" t="n"/>
      <c r="I59" s="663">
        <f>SUM(J59:K59)</f>
        <v/>
      </c>
      <c r="J59" s="61" t="n"/>
      <c r="K59" s="61" t="n"/>
      <c r="L59" s="61" t="n"/>
      <c r="M59" s="61" t="n"/>
      <c r="N59" s="61" t="n"/>
      <c r="O59" s="61" t="n"/>
      <c r="P59" s="61" t="n"/>
      <c r="Q59" s="663">
        <f>IFERROR(SUM(J59,+L59,-N59),"n/a")</f>
        <v/>
      </c>
      <c r="R59" s="663">
        <f>IFERROR(SUM(K59,M59,-O59),"n/a")</f>
        <v/>
      </c>
      <c r="S59" s="663">
        <f>IFERROR(SUM(P59:R59),"n/a")</f>
        <v/>
      </c>
      <c r="T59" s="61" t="n"/>
    </row>
    <row r="60" outlineLevel="1" ht="14.1" customHeight="1">
      <c r="B60" s="515" t="n"/>
      <c r="C60" s="659" t="n"/>
      <c r="D60" s="660" t="n"/>
      <c r="E60" s="661" t="n"/>
      <c r="F60" s="661" t="n"/>
      <c r="G60" s="662" t="n"/>
      <c r="H60" s="61" t="n"/>
      <c r="I60" s="663">
        <f>SUM(J60:K60)</f>
        <v/>
      </c>
      <c r="J60" s="61" t="n"/>
      <c r="K60" s="61" t="n"/>
      <c r="L60" s="61" t="n"/>
      <c r="M60" s="61" t="n"/>
      <c r="N60" s="61" t="n"/>
      <c r="O60" s="61" t="n"/>
      <c r="P60" s="61" t="n"/>
      <c r="Q60" s="663">
        <f>IFERROR(SUM(J60,+L60,-N60),"n/a")</f>
        <v/>
      </c>
      <c r="R60" s="663">
        <f>IFERROR(SUM(K60,M60,-O60),"n/a")</f>
        <v/>
      </c>
      <c r="S60" s="663">
        <f>IFERROR(SUM(P60:R60),"n/a")</f>
        <v/>
      </c>
      <c r="T60" s="61" t="n"/>
    </row>
    <row r="61" outlineLevel="1" ht="14.1" customHeight="1">
      <c r="B61" s="515" t="n"/>
      <c r="C61" s="659" t="n"/>
      <c r="D61" s="660" t="n"/>
      <c r="E61" s="661" t="n"/>
      <c r="F61" s="661" t="n"/>
      <c r="G61" s="662" t="n"/>
      <c r="H61" s="61" t="n"/>
      <c r="I61" s="663">
        <f>SUM(J61:K61)</f>
        <v/>
      </c>
      <c r="J61" s="61" t="n"/>
      <c r="K61" s="61" t="n"/>
      <c r="L61" s="61" t="n"/>
      <c r="M61" s="61" t="n"/>
      <c r="N61" s="61" t="n"/>
      <c r="O61" s="61" t="n"/>
      <c r="P61" s="61" t="n"/>
      <c r="Q61" s="663">
        <f>IFERROR(SUM(J61,+L61,-N61),"n/a")</f>
        <v/>
      </c>
      <c r="R61" s="663">
        <f>IFERROR(SUM(K61,M61,-O61),"n/a")</f>
        <v/>
      </c>
      <c r="S61" s="663">
        <f>IFERROR(SUM(P61:R61),"n/a")</f>
        <v/>
      </c>
      <c r="T61" s="61" t="n"/>
    </row>
    <row r="62" outlineLevel="1" ht="14.1" customHeight="1">
      <c r="B62" s="515" t="n"/>
      <c r="C62" s="659" t="n"/>
      <c r="D62" s="660" t="n"/>
      <c r="E62" s="661" t="n"/>
      <c r="F62" s="661" t="n"/>
      <c r="G62" s="662" t="n"/>
      <c r="H62" s="61" t="n"/>
      <c r="I62" s="663">
        <f>SUM(J62:K62)</f>
        <v/>
      </c>
      <c r="J62" s="61" t="n"/>
      <c r="K62" s="61" t="n"/>
      <c r="L62" s="61" t="n"/>
      <c r="M62" s="61" t="n"/>
      <c r="N62" s="61" t="n"/>
      <c r="O62" s="61" t="n"/>
      <c r="P62" s="61" t="n"/>
      <c r="Q62" s="663">
        <f>IFERROR(SUM(J62,+L62,-N62),"n/a")</f>
        <v/>
      </c>
      <c r="R62" s="663">
        <f>IFERROR(SUM(K62,M62,-O62),"n/a")</f>
        <v/>
      </c>
      <c r="S62" s="663">
        <f>IFERROR(SUM(P62:R62),"n/a")</f>
        <v/>
      </c>
      <c r="T62" s="61" t="n"/>
    </row>
    <row r="63" outlineLevel="1" ht="14.1" customHeight="1">
      <c r="B63" s="515" t="n"/>
      <c r="C63" s="659" t="n"/>
      <c r="D63" s="660" t="n"/>
      <c r="E63" s="661" t="n"/>
      <c r="F63" s="661" t="n"/>
      <c r="G63" s="662" t="n"/>
      <c r="H63" s="61" t="n"/>
      <c r="I63" s="663">
        <f>SUM(J63:K63)</f>
        <v/>
      </c>
      <c r="J63" s="61" t="n"/>
      <c r="K63" s="61" t="n"/>
      <c r="L63" s="61" t="n"/>
      <c r="M63" s="61" t="n"/>
      <c r="N63" s="61" t="n"/>
      <c r="O63" s="61" t="n"/>
      <c r="P63" s="61" t="n"/>
      <c r="Q63" s="663">
        <f>IFERROR(SUM(J63,+L63,-N63),"n/a")</f>
        <v/>
      </c>
      <c r="R63" s="663">
        <f>IFERROR(SUM(K63,M63,-O63),"n/a")</f>
        <v/>
      </c>
      <c r="S63" s="663">
        <f>IFERROR(SUM(P63:R63),"n/a")</f>
        <v/>
      </c>
      <c r="T63" s="61" t="n"/>
    </row>
    <row r="64" outlineLevel="1" ht="14.1" customHeight="1">
      <c r="B64" s="515" t="n"/>
      <c r="C64" s="659" t="n"/>
      <c r="D64" s="660" t="n"/>
      <c r="E64" s="661" t="n"/>
      <c r="F64" s="661" t="n"/>
      <c r="G64" s="662" t="n"/>
      <c r="H64" s="61" t="n"/>
      <c r="I64" s="663">
        <f>SUM(J64:K64)</f>
        <v/>
      </c>
      <c r="J64" s="61" t="n"/>
      <c r="K64" s="61" t="n"/>
      <c r="L64" s="61" t="n"/>
      <c r="M64" s="61" t="n"/>
      <c r="N64" s="61" t="n"/>
      <c r="O64" s="61" t="n"/>
      <c r="P64" s="61" t="n"/>
      <c r="Q64" s="663">
        <f>IFERROR(SUM(J64,+L64,-N64),"n/a")</f>
        <v/>
      </c>
      <c r="R64" s="663">
        <f>IFERROR(SUM(K64,M64,-O64),"n/a")</f>
        <v/>
      </c>
      <c r="S64" s="663">
        <f>IFERROR(SUM(P64:R64),"n/a")</f>
        <v/>
      </c>
      <c r="T64" s="61" t="n"/>
    </row>
    <row r="65" outlineLevel="1" ht="14.1" customHeight="1">
      <c r="B65" s="515" t="n"/>
      <c r="C65" s="659" t="n"/>
      <c r="D65" s="660" t="n"/>
      <c r="E65" s="661" t="n"/>
      <c r="F65" s="661" t="n"/>
      <c r="G65" s="662" t="n"/>
      <c r="H65" s="61" t="n"/>
      <c r="I65" s="663">
        <f>SUM(J65:K65)</f>
        <v/>
      </c>
      <c r="J65" s="61" t="n"/>
      <c r="K65" s="61" t="n"/>
      <c r="L65" s="61" t="n"/>
      <c r="M65" s="61" t="n"/>
      <c r="N65" s="61" t="n"/>
      <c r="O65" s="61" t="n"/>
      <c r="P65" s="61" t="n"/>
      <c r="Q65" s="663">
        <f>IFERROR(SUM(J65,+L65,-N65),"n/a")</f>
        <v/>
      </c>
      <c r="R65" s="663">
        <f>IFERROR(SUM(K65,M65,-O65),"n/a")</f>
        <v/>
      </c>
      <c r="S65" s="663">
        <f>IFERROR(SUM(P65:R65),"n/a")</f>
        <v/>
      </c>
      <c r="T65" s="61" t="n"/>
    </row>
    <row r="66" outlineLevel="1" ht="14.1" customHeight="1">
      <c r="B66" s="515" t="n"/>
      <c r="C66" s="659" t="n"/>
      <c r="D66" s="660" t="n"/>
      <c r="E66" s="661" t="n"/>
      <c r="F66" s="661" t="n"/>
      <c r="G66" s="662" t="n"/>
      <c r="H66" s="61" t="n"/>
      <c r="I66" s="663">
        <f>SUM(J66:K66)</f>
        <v/>
      </c>
      <c r="J66" s="61" t="n"/>
      <c r="K66" s="61" t="n"/>
      <c r="L66" s="61" t="n"/>
      <c r="M66" s="61" t="n"/>
      <c r="N66" s="61" t="n"/>
      <c r="O66" s="61" t="n"/>
      <c r="P66" s="61" t="n"/>
      <c r="Q66" s="663">
        <f>IFERROR(SUM(J66,+L66,-N66),"n/a")</f>
        <v/>
      </c>
      <c r="R66" s="663">
        <f>IFERROR(SUM(K66,M66,-O66),"n/a")</f>
        <v/>
      </c>
      <c r="S66" s="663">
        <f>IFERROR(SUM(P66:R66),"n/a")</f>
        <v/>
      </c>
      <c r="T66" s="61" t="n"/>
    </row>
    <row r="67" outlineLevel="1" ht="14.1" customHeight="1">
      <c r="B67" s="515" t="n"/>
      <c r="C67" s="659" t="n"/>
      <c r="D67" s="660" t="n"/>
      <c r="E67" s="661" t="n"/>
      <c r="F67" s="661" t="n"/>
      <c r="G67" s="662" t="n"/>
      <c r="H67" s="61" t="n"/>
      <c r="I67" s="663">
        <f>SUM(J67:K67)</f>
        <v/>
      </c>
      <c r="J67" s="61" t="n"/>
      <c r="K67" s="61" t="n"/>
      <c r="L67" s="61" t="n"/>
      <c r="M67" s="61" t="n"/>
      <c r="N67" s="61" t="n"/>
      <c r="O67" s="61" t="n"/>
      <c r="P67" s="61" t="n"/>
      <c r="Q67" s="663">
        <f>IFERROR(SUM(J67,+L67,-N67),"n/a")</f>
        <v/>
      </c>
      <c r="R67" s="663">
        <f>IFERROR(SUM(K67,M67,-O67),"n/a")</f>
        <v/>
      </c>
      <c r="S67" s="663">
        <f>IFERROR(SUM(P67:R67),"n/a")</f>
        <v/>
      </c>
      <c r="T67" s="61" t="n"/>
    </row>
    <row r="68" outlineLevel="1" ht="14.1" customHeight="1">
      <c r="B68" s="515" t="n"/>
      <c r="C68" s="659" t="n"/>
      <c r="D68" s="660" t="n"/>
      <c r="E68" s="661" t="n"/>
      <c r="F68" s="661" t="n"/>
      <c r="G68" s="662" t="n"/>
      <c r="H68" s="61" t="n"/>
      <c r="I68" s="663">
        <f>SUM(J68:K68)</f>
        <v/>
      </c>
      <c r="J68" s="61" t="n"/>
      <c r="K68" s="61" t="n"/>
      <c r="L68" s="61" t="n"/>
      <c r="M68" s="61" t="n"/>
      <c r="N68" s="61" t="n"/>
      <c r="O68" s="61" t="n"/>
      <c r="P68" s="61" t="n"/>
      <c r="Q68" s="663">
        <f>IFERROR(SUM(J68,+L68,-N68),"n/a")</f>
        <v/>
      </c>
      <c r="R68" s="663">
        <f>IFERROR(SUM(K68,M68,-O68),"n/a")</f>
        <v/>
      </c>
      <c r="S68" s="663">
        <f>IFERROR(SUM(P68:R68),"n/a")</f>
        <v/>
      </c>
      <c r="T68" s="61" t="n"/>
    </row>
    <row r="69" outlineLevel="1" ht="14.1" customHeight="1">
      <c r="B69" s="515" t="n"/>
      <c r="C69" s="659" t="n"/>
      <c r="D69" s="660" t="n"/>
      <c r="E69" s="661" t="n"/>
      <c r="F69" s="661" t="n"/>
      <c r="G69" s="662" t="n"/>
      <c r="H69" s="61" t="n"/>
      <c r="I69" s="663">
        <f>SUM(J69:K69)</f>
        <v/>
      </c>
      <c r="J69" s="61" t="n"/>
      <c r="K69" s="61" t="n"/>
      <c r="L69" s="61" t="n"/>
      <c r="M69" s="61" t="n"/>
      <c r="N69" s="61" t="n"/>
      <c r="O69" s="61" t="n"/>
      <c r="P69" s="61" t="n"/>
      <c r="Q69" s="663">
        <f>IFERROR(SUM(J69,+L69,-N69),"n/a")</f>
        <v/>
      </c>
      <c r="R69" s="663">
        <f>IFERROR(SUM(K69,M69,-O69),"n/a")</f>
        <v/>
      </c>
      <c r="S69" s="663">
        <f>IFERROR(SUM(P69:R69),"n/a")</f>
        <v/>
      </c>
      <c r="T69" s="61" t="n"/>
    </row>
    <row r="70" outlineLevel="1" ht="14.1" customHeight="1">
      <c r="B70" s="515" t="n"/>
      <c r="C70" s="659" t="n"/>
      <c r="D70" s="660" t="n"/>
      <c r="E70" s="661" t="n"/>
      <c r="F70" s="661" t="n"/>
      <c r="G70" s="662" t="n"/>
      <c r="H70" s="61" t="n"/>
      <c r="I70" s="663">
        <f>SUM(J70:K70)</f>
        <v/>
      </c>
      <c r="J70" s="61" t="n"/>
      <c r="K70" s="61" t="n"/>
      <c r="L70" s="61" t="n"/>
      <c r="M70" s="61" t="n"/>
      <c r="N70" s="61" t="n"/>
      <c r="O70" s="61" t="n"/>
      <c r="P70" s="61" t="n"/>
      <c r="Q70" s="663">
        <f>IFERROR(SUM(J70,+L70,-N70),"n/a")</f>
        <v/>
      </c>
      <c r="R70" s="663">
        <f>IFERROR(SUM(K70,M70,-O70),"n/a")</f>
        <v/>
      </c>
      <c r="S70" s="663">
        <f>IFERROR(SUM(P70:R70),"n/a")</f>
        <v/>
      </c>
      <c r="T70" s="61" t="n"/>
    </row>
    <row r="71" outlineLevel="1" ht="14.1" customHeight="1">
      <c r="B71" s="515" t="n"/>
      <c r="C71" s="659" t="n"/>
      <c r="D71" s="660" t="n"/>
      <c r="E71" s="661" t="n"/>
      <c r="F71" s="661" t="n"/>
      <c r="G71" s="662" t="n"/>
      <c r="H71" s="61" t="n"/>
      <c r="I71" s="663">
        <f>SUM(J71:K71)</f>
        <v/>
      </c>
      <c r="J71" s="61" t="n"/>
      <c r="K71" s="61" t="n"/>
      <c r="L71" s="61" t="n"/>
      <c r="M71" s="61" t="n"/>
      <c r="N71" s="61" t="n"/>
      <c r="O71" s="61" t="n"/>
      <c r="P71" s="61" t="n"/>
      <c r="Q71" s="663">
        <f>IFERROR(SUM(J71,+L71,-N71),"n/a")</f>
        <v/>
      </c>
      <c r="R71" s="663">
        <f>IFERROR(SUM(K71,M71,-O71),"n/a")</f>
        <v/>
      </c>
      <c r="S71" s="663">
        <f>IFERROR(SUM(P71:R71),"n/a")</f>
        <v/>
      </c>
      <c r="T71" s="61" t="n"/>
    </row>
    <row r="72" outlineLevel="1" ht="14.1" customHeight="1">
      <c r="B72" s="515" t="n"/>
      <c r="C72" s="659" t="n"/>
      <c r="D72" s="660" t="n"/>
      <c r="E72" s="661" t="n"/>
      <c r="F72" s="661" t="n"/>
      <c r="G72" s="662" t="n"/>
      <c r="H72" s="61" t="n"/>
      <c r="I72" s="663">
        <f>SUM(J72:K72)</f>
        <v/>
      </c>
      <c r="J72" s="61" t="n"/>
      <c r="K72" s="61" t="n"/>
      <c r="L72" s="61" t="n"/>
      <c r="M72" s="61" t="n"/>
      <c r="N72" s="61" t="n"/>
      <c r="O72" s="61" t="n"/>
      <c r="P72" s="61" t="n"/>
      <c r="Q72" s="663">
        <f>IFERROR(SUM(J72,+L72,-N72),"n/a")</f>
        <v/>
      </c>
      <c r="R72" s="663">
        <f>IFERROR(SUM(K72,M72,-O72),"n/a")</f>
        <v/>
      </c>
      <c r="S72" s="663">
        <f>IFERROR(SUM(P72:R72),"n/a")</f>
        <v/>
      </c>
      <c r="T72" s="61" t="n"/>
    </row>
    <row r="73" outlineLevel="1" ht="14.1" customHeight="1">
      <c r="B73" s="515" t="n"/>
      <c r="C73" s="659" t="n"/>
      <c r="D73" s="660" t="n"/>
      <c r="E73" s="661" t="n"/>
      <c r="F73" s="661" t="n"/>
      <c r="G73" s="662" t="n"/>
      <c r="H73" s="61" t="n"/>
      <c r="I73" s="663">
        <f>SUM(J73:K73)</f>
        <v/>
      </c>
      <c r="J73" s="61" t="n"/>
      <c r="K73" s="61" t="n"/>
      <c r="L73" s="61" t="n"/>
      <c r="M73" s="61" t="n"/>
      <c r="N73" s="61" t="n"/>
      <c r="O73" s="61" t="n"/>
      <c r="P73" s="61" t="n"/>
      <c r="Q73" s="663">
        <f>IFERROR(SUM(J73,+L73,-N73),"n/a")</f>
        <v/>
      </c>
      <c r="R73" s="663">
        <f>IFERROR(SUM(K73,M73,-O73),"n/a")</f>
        <v/>
      </c>
      <c r="S73" s="663">
        <f>IFERROR(SUM(P73:R73),"n/a")</f>
        <v/>
      </c>
      <c r="T73" s="61" t="n"/>
    </row>
    <row r="74" outlineLevel="1" ht="14.1" customHeight="1">
      <c r="B74" s="515" t="n"/>
      <c r="C74" s="659" t="n"/>
      <c r="D74" s="660" t="n"/>
      <c r="E74" s="661" t="n"/>
      <c r="F74" s="661" t="n"/>
      <c r="G74" s="662" t="n"/>
      <c r="H74" s="61" t="n"/>
      <c r="I74" s="663">
        <f>SUM(J74:K74)</f>
        <v/>
      </c>
      <c r="J74" s="61" t="n"/>
      <c r="K74" s="61" t="n"/>
      <c r="L74" s="61" t="n"/>
      <c r="M74" s="61" t="n"/>
      <c r="N74" s="61" t="n"/>
      <c r="O74" s="61" t="n"/>
      <c r="P74" s="61" t="n"/>
      <c r="Q74" s="663">
        <f>IFERROR(SUM(J74,+L74,-N74),"n/a")</f>
        <v/>
      </c>
      <c r="R74" s="663">
        <f>IFERROR(SUM(K74,M74,-O74),"n/a")</f>
        <v/>
      </c>
      <c r="S74" s="663">
        <f>IFERROR(SUM(P74:R74),"n/a")</f>
        <v/>
      </c>
      <c r="T74" s="61" t="n"/>
    </row>
    <row r="75" outlineLevel="1" ht="14.1" customHeight="1">
      <c r="B75" s="515" t="n"/>
      <c r="C75" s="659" t="n"/>
      <c r="D75" s="660" t="n"/>
      <c r="E75" s="661" t="n"/>
      <c r="F75" s="661" t="n"/>
      <c r="G75" s="662" t="n"/>
      <c r="H75" s="61" t="n"/>
      <c r="I75" s="663">
        <f>SUM(J75:K75)</f>
        <v/>
      </c>
      <c r="J75" s="61" t="n"/>
      <c r="K75" s="61" t="n"/>
      <c r="L75" s="61" t="n"/>
      <c r="M75" s="61" t="n"/>
      <c r="N75" s="61" t="n"/>
      <c r="O75" s="61" t="n"/>
      <c r="P75" s="61" t="n"/>
      <c r="Q75" s="663">
        <f>IFERROR(SUM(J75,+L75,-N75),"n/a")</f>
        <v/>
      </c>
      <c r="R75" s="663">
        <f>IFERROR(SUM(K75,M75,-O75),"n/a")</f>
        <v/>
      </c>
      <c r="S75" s="663">
        <f>IFERROR(SUM(P75:R75),"n/a")</f>
        <v/>
      </c>
      <c r="T75" s="61" t="n"/>
    </row>
    <row r="76" outlineLevel="1" ht="14.1" customHeight="1">
      <c r="B76" s="515" t="n"/>
      <c r="C76" s="659" t="n"/>
      <c r="D76" s="660" t="n"/>
      <c r="E76" s="661" t="n"/>
      <c r="F76" s="661" t="n"/>
      <c r="G76" s="662" t="n"/>
      <c r="H76" s="61" t="n"/>
      <c r="I76" s="663">
        <f>SUM(J76:K76)</f>
        <v/>
      </c>
      <c r="J76" s="61" t="n"/>
      <c r="K76" s="61" t="n"/>
      <c r="L76" s="61" t="n"/>
      <c r="M76" s="61" t="n"/>
      <c r="N76" s="61" t="n"/>
      <c r="O76" s="61" t="n"/>
      <c r="P76" s="61" t="n"/>
      <c r="Q76" s="663">
        <f>IFERROR(SUM(J76,+L76,-N76),"n/a")</f>
        <v/>
      </c>
      <c r="R76" s="663">
        <f>IFERROR(SUM(K76,M76,-O76),"n/a")</f>
        <v/>
      </c>
      <c r="S76" s="663">
        <f>IFERROR(SUM(P76:R76),"n/a")</f>
        <v/>
      </c>
      <c r="T76" s="61" t="n"/>
    </row>
    <row r="77" outlineLevel="1" ht="14.1" customHeight="1">
      <c r="B77" s="515" t="n"/>
      <c r="C77" s="659" t="n"/>
      <c r="D77" s="660" t="n"/>
      <c r="E77" s="661" t="n"/>
      <c r="F77" s="661" t="n"/>
      <c r="G77" s="662" t="n"/>
      <c r="H77" s="61" t="n"/>
      <c r="I77" s="663">
        <f>SUM(J77:K77)</f>
        <v/>
      </c>
      <c r="J77" s="61" t="n"/>
      <c r="K77" s="61" t="n"/>
      <c r="L77" s="61" t="n"/>
      <c r="M77" s="61" t="n"/>
      <c r="N77" s="61" t="n"/>
      <c r="O77" s="61" t="n"/>
      <c r="P77" s="61" t="n"/>
      <c r="Q77" s="663">
        <f>IFERROR(SUM(J77,+L77,-N77),"n/a")</f>
        <v/>
      </c>
      <c r="R77" s="663">
        <f>IFERROR(SUM(K77,M77,-O77),"n/a")</f>
        <v/>
      </c>
      <c r="S77" s="663">
        <f>IFERROR(SUM(P77:R77),"n/a")</f>
        <v/>
      </c>
      <c r="T77" s="61" t="n"/>
    </row>
    <row r="78" outlineLevel="1" ht="14.1" customHeight="1">
      <c r="B78" s="515" t="n"/>
      <c r="C78" s="659" t="n"/>
      <c r="D78" s="660" t="n"/>
      <c r="E78" s="661" t="n"/>
      <c r="F78" s="661" t="n"/>
      <c r="G78" s="662" t="n"/>
      <c r="H78" s="61" t="n"/>
      <c r="I78" s="663">
        <f>SUM(J78:K78)</f>
        <v/>
      </c>
      <c r="J78" s="61" t="n"/>
      <c r="K78" s="61" t="n"/>
      <c r="L78" s="61" t="n"/>
      <c r="M78" s="61" t="n"/>
      <c r="N78" s="61" t="n"/>
      <c r="O78" s="61" t="n"/>
      <c r="P78" s="61" t="n"/>
      <c r="Q78" s="663">
        <f>IFERROR(SUM(J78,+L78,-N78),"n/a")</f>
        <v/>
      </c>
      <c r="R78" s="663">
        <f>IFERROR(SUM(K78,M78,-O78),"n/a")</f>
        <v/>
      </c>
      <c r="S78" s="663">
        <f>IFERROR(SUM(P78:R78),"n/a")</f>
        <v/>
      </c>
      <c r="T78" s="61" t="n"/>
    </row>
    <row r="79" outlineLevel="1" ht="14.1" customHeight="1">
      <c r="B79" s="515" t="n"/>
      <c r="C79" s="659" t="n"/>
      <c r="D79" s="660" t="n"/>
      <c r="E79" s="661" t="n"/>
      <c r="F79" s="661" t="n"/>
      <c r="G79" s="662" t="n"/>
      <c r="H79" s="61" t="n"/>
      <c r="I79" s="663">
        <f>SUM(J79:K79)</f>
        <v/>
      </c>
      <c r="J79" s="61" t="n"/>
      <c r="K79" s="61" t="n"/>
      <c r="L79" s="61" t="n"/>
      <c r="M79" s="61" t="n"/>
      <c r="N79" s="61" t="n"/>
      <c r="O79" s="61" t="n"/>
      <c r="P79" s="61" t="n"/>
      <c r="Q79" s="663">
        <f>IFERROR(SUM(J79,+L79,-N79),"n/a")</f>
        <v/>
      </c>
      <c r="R79" s="663">
        <f>IFERROR(SUM(K79,M79,-O79),"n/a")</f>
        <v/>
      </c>
      <c r="S79" s="663">
        <f>IFERROR(SUM(P79:R79),"n/a")</f>
        <v/>
      </c>
      <c r="T79" s="61" t="n"/>
    </row>
    <row r="80" outlineLevel="1" ht="14.1" customHeight="1">
      <c r="B80" s="515" t="n"/>
      <c r="C80" s="659" t="n"/>
      <c r="D80" s="660" t="n"/>
      <c r="E80" s="661" t="n"/>
      <c r="F80" s="661" t="n"/>
      <c r="G80" s="662" t="n"/>
      <c r="H80" s="61" t="n"/>
      <c r="I80" s="663">
        <f>SUM(J80:K80)</f>
        <v/>
      </c>
      <c r="J80" s="61" t="n"/>
      <c r="K80" s="61" t="n"/>
      <c r="L80" s="61" t="n"/>
      <c r="M80" s="61" t="n"/>
      <c r="N80" s="61" t="n"/>
      <c r="O80" s="61" t="n"/>
      <c r="P80" s="61" t="n"/>
      <c r="Q80" s="663">
        <f>IFERROR(SUM(J80,+L80,-N80),"n/a")</f>
        <v/>
      </c>
      <c r="R80" s="663">
        <f>IFERROR(SUM(K80,M80,-O80),"n/a")</f>
        <v/>
      </c>
      <c r="S80" s="663">
        <f>IFERROR(SUM(P80:R80),"n/a")</f>
        <v/>
      </c>
      <c r="T80" s="61" t="n"/>
    </row>
    <row r="81" outlineLevel="1" ht="14.1" customHeight="1">
      <c r="B81" s="515" t="n"/>
      <c r="C81" s="659" t="n"/>
      <c r="D81" s="660" t="n"/>
      <c r="E81" s="661" t="n"/>
      <c r="F81" s="661" t="n"/>
      <c r="G81" s="662" t="n"/>
      <c r="H81" s="61" t="n"/>
      <c r="I81" s="663">
        <f>SUM(J81:K81)</f>
        <v/>
      </c>
      <c r="J81" s="61" t="n"/>
      <c r="K81" s="61" t="n"/>
      <c r="L81" s="61" t="n"/>
      <c r="M81" s="61" t="n"/>
      <c r="N81" s="61" t="n"/>
      <c r="O81" s="61" t="n"/>
      <c r="P81" s="61" t="n"/>
      <c r="Q81" s="663">
        <f>IFERROR(SUM(J81,+L81,-N81),"n/a")</f>
        <v/>
      </c>
      <c r="R81" s="663">
        <f>IFERROR(SUM(K81,M81,-O81),"n/a")</f>
        <v/>
      </c>
      <c r="S81" s="663">
        <f>IFERROR(SUM(P81:R81),"n/a")</f>
        <v/>
      </c>
      <c r="T81" s="61" t="n"/>
    </row>
    <row r="82" outlineLevel="1" ht="14.1" customHeight="1">
      <c r="B82" s="515" t="n"/>
      <c r="C82" s="659" t="n"/>
      <c r="D82" s="660" t="n"/>
      <c r="E82" s="661" t="n"/>
      <c r="F82" s="661" t="n"/>
      <c r="G82" s="662" t="n"/>
      <c r="H82" s="61" t="n"/>
      <c r="I82" s="663">
        <f>SUM(J82:K82)</f>
        <v/>
      </c>
      <c r="J82" s="61" t="n"/>
      <c r="K82" s="61" t="n"/>
      <c r="L82" s="61" t="n"/>
      <c r="M82" s="61" t="n"/>
      <c r="N82" s="61" t="n"/>
      <c r="O82" s="61" t="n"/>
      <c r="P82" s="61" t="n"/>
      <c r="Q82" s="663">
        <f>IFERROR(SUM(J82,+L82,-N82),"n/a")</f>
        <v/>
      </c>
      <c r="R82" s="663">
        <f>IFERROR(SUM(K82,M82,-O82),"n/a")</f>
        <v/>
      </c>
      <c r="S82" s="663">
        <f>IFERROR(SUM(P82:R82),"n/a")</f>
        <v/>
      </c>
      <c r="T82" s="61" t="n"/>
    </row>
    <row r="83" outlineLevel="1" ht="14.1" customHeight="1">
      <c r="B83" s="515" t="n"/>
      <c r="C83" s="659" t="n"/>
      <c r="D83" s="660" t="n"/>
      <c r="E83" s="661" t="n"/>
      <c r="F83" s="661" t="n"/>
      <c r="G83" s="662" t="n"/>
      <c r="H83" s="61" t="n"/>
      <c r="I83" s="663">
        <f>SUM(J83:K83)</f>
        <v/>
      </c>
      <c r="J83" s="61" t="n"/>
      <c r="K83" s="61" t="n"/>
      <c r="L83" s="61" t="n"/>
      <c r="M83" s="61" t="n"/>
      <c r="N83" s="61" t="n"/>
      <c r="O83" s="61" t="n"/>
      <c r="P83" s="61" t="n"/>
      <c r="Q83" s="663">
        <f>IFERROR(SUM(J83,+L83,-N83),"n/a")</f>
        <v/>
      </c>
      <c r="R83" s="663">
        <f>IFERROR(SUM(K83,M83,-O83),"n/a")</f>
        <v/>
      </c>
      <c r="S83" s="663">
        <f>IFERROR(SUM(P83:R83),"n/a")</f>
        <v/>
      </c>
      <c r="T83" s="61" t="n"/>
    </row>
    <row r="84" outlineLevel="1" ht="14.1" customHeight="1">
      <c r="B84" s="515" t="n"/>
      <c r="C84" s="659" t="n"/>
      <c r="D84" s="660" t="n"/>
      <c r="E84" s="661" t="n"/>
      <c r="F84" s="661" t="n"/>
      <c r="G84" s="662" t="n"/>
      <c r="H84" s="61" t="n"/>
      <c r="I84" s="663">
        <f>SUM(J84:K84)</f>
        <v/>
      </c>
      <c r="J84" s="61" t="n"/>
      <c r="K84" s="61" t="n"/>
      <c r="L84" s="61" t="n"/>
      <c r="M84" s="61" t="n"/>
      <c r="N84" s="61" t="n"/>
      <c r="O84" s="61" t="n"/>
      <c r="P84" s="61" t="n"/>
      <c r="Q84" s="663">
        <f>IFERROR(SUM(J84,+L84,-N84),"n/a")</f>
        <v/>
      </c>
      <c r="R84" s="663">
        <f>IFERROR(SUM(K84,M84,-O84),"n/a")</f>
        <v/>
      </c>
      <c r="S84" s="663">
        <f>IFERROR(SUM(P84:R84),"n/a")</f>
        <v/>
      </c>
      <c r="T84" s="61" t="n"/>
    </row>
    <row r="85" outlineLevel="1" ht="14.1" customHeight="1">
      <c r="B85" s="515" t="n"/>
      <c r="C85" s="659" t="n"/>
      <c r="D85" s="660" t="n"/>
      <c r="E85" s="661" t="n"/>
      <c r="F85" s="661" t="n"/>
      <c r="G85" s="662" t="n"/>
      <c r="H85" s="61" t="n"/>
      <c r="I85" s="663">
        <f>SUM(J85:K85)</f>
        <v/>
      </c>
      <c r="J85" s="61" t="n"/>
      <c r="K85" s="61" t="n"/>
      <c r="L85" s="61" t="n"/>
      <c r="M85" s="61" t="n"/>
      <c r="N85" s="61" t="n"/>
      <c r="O85" s="61" t="n"/>
      <c r="P85" s="61" t="n"/>
      <c r="Q85" s="663">
        <f>IFERROR(SUM(J85,+L85,-N85),"n/a")</f>
        <v/>
      </c>
      <c r="R85" s="663">
        <f>IFERROR(SUM(K85,M85,-O85),"n/a")</f>
        <v/>
      </c>
      <c r="S85" s="663">
        <f>IFERROR(SUM(P85:R85),"n/a")</f>
        <v/>
      </c>
      <c r="T85" s="61" t="n"/>
    </row>
    <row r="86" outlineLevel="1" ht="14.1" customHeight="1">
      <c r="B86" s="515" t="n"/>
      <c r="C86" s="659" t="n"/>
      <c r="D86" s="660" t="n"/>
      <c r="E86" s="661" t="n"/>
      <c r="F86" s="661" t="n"/>
      <c r="G86" s="662" t="n"/>
      <c r="H86" s="61" t="n"/>
      <c r="I86" s="663">
        <f>SUM(J86:K86)</f>
        <v/>
      </c>
      <c r="J86" s="61" t="n"/>
      <c r="K86" s="61" t="n"/>
      <c r="L86" s="61" t="n"/>
      <c r="M86" s="61" t="n"/>
      <c r="N86" s="61" t="n"/>
      <c r="O86" s="61" t="n"/>
      <c r="P86" s="61" t="n"/>
      <c r="Q86" s="663">
        <f>IFERROR(SUM(J86,+L86,-N86),"n/a")</f>
        <v/>
      </c>
      <c r="R86" s="663">
        <f>IFERROR(SUM(K86,M86,-O86),"n/a")</f>
        <v/>
      </c>
      <c r="S86" s="663">
        <f>IFERROR(SUM(P86:R86),"n/a")</f>
        <v/>
      </c>
      <c r="T86" s="61" t="n"/>
    </row>
    <row r="87" outlineLevel="1" ht="14.1" customHeight="1">
      <c r="B87" s="515" t="n"/>
      <c r="C87" s="659" t="n"/>
      <c r="D87" s="660" t="n"/>
      <c r="E87" s="661" t="n"/>
      <c r="F87" s="661" t="n"/>
      <c r="G87" s="662" t="n"/>
      <c r="H87" s="61" t="n"/>
      <c r="I87" s="663">
        <f>SUM(J87:K87)</f>
        <v/>
      </c>
      <c r="J87" s="61" t="n"/>
      <c r="K87" s="61" t="n"/>
      <c r="L87" s="61" t="n"/>
      <c r="M87" s="61" t="n"/>
      <c r="N87" s="61" t="n"/>
      <c r="O87" s="61" t="n"/>
      <c r="P87" s="61" t="n"/>
      <c r="Q87" s="663">
        <f>IFERROR(SUM(J87,+L87,-N87),"n/a")</f>
        <v/>
      </c>
      <c r="R87" s="663">
        <f>IFERROR(SUM(K87,M87,-O87),"n/a")</f>
        <v/>
      </c>
      <c r="S87" s="663">
        <f>IFERROR(SUM(P87:R87),"n/a")</f>
        <v/>
      </c>
      <c r="T87" s="61" t="n"/>
    </row>
    <row r="88" outlineLevel="1" ht="14.1" customHeight="1">
      <c r="B88" s="515" t="n"/>
      <c r="C88" s="659" t="n"/>
      <c r="D88" s="660" t="n"/>
      <c r="E88" s="661" t="n"/>
      <c r="F88" s="661" t="n"/>
      <c r="G88" s="662" t="n"/>
      <c r="H88" s="61" t="n"/>
      <c r="I88" s="663">
        <f>SUM(J88:K88)</f>
        <v/>
      </c>
      <c r="J88" s="61" t="n"/>
      <c r="K88" s="61" t="n"/>
      <c r="L88" s="61" t="n"/>
      <c r="M88" s="61" t="n"/>
      <c r="N88" s="61" t="n"/>
      <c r="O88" s="61" t="n"/>
      <c r="P88" s="61" t="n"/>
      <c r="Q88" s="663">
        <f>IFERROR(SUM(J88,+L88,-N88),"n/a")</f>
        <v/>
      </c>
      <c r="R88" s="663">
        <f>IFERROR(SUM(K88,M88,-O88),"n/a")</f>
        <v/>
      </c>
      <c r="S88" s="663">
        <f>IFERROR(SUM(P88:R88),"n/a")</f>
        <v/>
      </c>
      <c r="T88" s="61" t="n"/>
    </row>
    <row r="89" outlineLevel="1" ht="14.1" customHeight="1">
      <c r="B89" s="515" t="n"/>
      <c r="C89" s="659" t="n"/>
      <c r="D89" s="660" t="n"/>
      <c r="E89" s="661" t="n"/>
      <c r="F89" s="661" t="n"/>
      <c r="G89" s="662" t="n"/>
      <c r="H89" s="61" t="n"/>
      <c r="I89" s="663">
        <f>SUM(J89:K89)</f>
        <v/>
      </c>
      <c r="J89" s="61" t="n"/>
      <c r="K89" s="61" t="n"/>
      <c r="L89" s="61" t="n"/>
      <c r="M89" s="61" t="n"/>
      <c r="N89" s="61" t="n"/>
      <c r="O89" s="61" t="n"/>
      <c r="P89" s="61" t="n"/>
      <c r="Q89" s="663">
        <f>IFERROR(SUM(J89,+L89,-N89),"n/a")</f>
        <v/>
      </c>
      <c r="R89" s="663">
        <f>IFERROR(SUM(K89,M89,-O89),"n/a")</f>
        <v/>
      </c>
      <c r="S89" s="663">
        <f>IFERROR(SUM(P89:R89),"n/a")</f>
        <v/>
      </c>
      <c r="T89" s="61" t="n"/>
    </row>
    <row r="90" outlineLevel="1" ht="14.1" customHeight="1">
      <c r="B90" s="515" t="n"/>
      <c r="C90" s="659" t="n"/>
      <c r="D90" s="660" t="n"/>
      <c r="E90" s="661" t="n"/>
      <c r="F90" s="661" t="n"/>
      <c r="G90" s="662" t="n"/>
      <c r="H90" s="61" t="n"/>
      <c r="I90" s="663">
        <f>SUM(J90:K90)</f>
        <v/>
      </c>
      <c r="J90" s="61" t="n"/>
      <c r="K90" s="61" t="n"/>
      <c r="L90" s="61" t="n"/>
      <c r="M90" s="61" t="n"/>
      <c r="N90" s="61" t="n"/>
      <c r="O90" s="61" t="n"/>
      <c r="P90" s="61" t="n"/>
      <c r="Q90" s="663">
        <f>IFERROR(SUM(J90,+L90,-N90),"n/a")</f>
        <v/>
      </c>
      <c r="R90" s="663">
        <f>IFERROR(SUM(K90,M90,-O90),"n/a")</f>
        <v/>
      </c>
      <c r="S90" s="663">
        <f>IFERROR(SUM(P90:R90),"n/a")</f>
        <v/>
      </c>
      <c r="T90" s="61" t="n"/>
    </row>
    <row r="91" outlineLevel="1" ht="14.1" customHeight="1">
      <c r="B91" s="515" t="n"/>
      <c r="C91" s="659" t="n"/>
      <c r="D91" s="660" t="n"/>
      <c r="E91" s="661" t="n"/>
      <c r="F91" s="661" t="n"/>
      <c r="G91" s="662" t="n"/>
      <c r="H91" s="61" t="n"/>
      <c r="I91" s="663">
        <f>SUM(J91:K91)</f>
        <v/>
      </c>
      <c r="J91" s="61" t="n"/>
      <c r="K91" s="61" t="n"/>
      <c r="L91" s="61" t="n"/>
      <c r="M91" s="61" t="n"/>
      <c r="N91" s="61" t="n"/>
      <c r="O91" s="61" t="n"/>
      <c r="P91" s="61" t="n"/>
      <c r="Q91" s="663">
        <f>IFERROR(SUM(J91,+L91,-N91),"n/a")</f>
        <v/>
      </c>
      <c r="R91" s="663">
        <f>IFERROR(SUM(K91,M91,-O91),"n/a")</f>
        <v/>
      </c>
      <c r="S91" s="663">
        <f>IFERROR(SUM(P91:R91),"n/a")</f>
        <v/>
      </c>
      <c r="T91" s="61" t="n"/>
    </row>
    <row r="92" outlineLevel="1" ht="14.1" customHeight="1">
      <c r="B92" s="515" t="n"/>
      <c r="C92" s="659" t="n"/>
      <c r="D92" s="660" t="n"/>
      <c r="E92" s="661" t="n"/>
      <c r="F92" s="661" t="n"/>
      <c r="G92" s="662" t="n"/>
      <c r="H92" s="61" t="n"/>
      <c r="I92" s="663">
        <f>SUM(J92:K92)</f>
        <v/>
      </c>
      <c r="J92" s="61" t="n"/>
      <c r="K92" s="61" t="n"/>
      <c r="L92" s="61" t="n"/>
      <c r="M92" s="61" t="n"/>
      <c r="N92" s="61" t="n"/>
      <c r="O92" s="61" t="n"/>
      <c r="P92" s="61" t="n"/>
      <c r="Q92" s="663">
        <f>IFERROR(SUM(J92,+L92,-N92),"n/a")</f>
        <v/>
      </c>
      <c r="R92" s="663">
        <f>IFERROR(SUM(K92,M92,-O92),"n/a")</f>
        <v/>
      </c>
      <c r="S92" s="663">
        <f>IFERROR(SUM(P92:R92),"n/a")</f>
        <v/>
      </c>
      <c r="T92" s="61" t="n"/>
    </row>
    <row r="93" outlineLevel="1" ht="14.1" customHeight="1">
      <c r="B93" s="515" t="n"/>
      <c r="C93" s="659" t="n"/>
      <c r="D93" s="660" t="n"/>
      <c r="E93" s="661" t="n"/>
      <c r="F93" s="661" t="n"/>
      <c r="G93" s="662" t="n"/>
      <c r="H93" s="61" t="n"/>
      <c r="I93" s="663">
        <f>SUM(J93:K93)</f>
        <v/>
      </c>
      <c r="J93" s="61" t="n"/>
      <c r="K93" s="61" t="n"/>
      <c r="L93" s="61" t="n"/>
      <c r="M93" s="61" t="n"/>
      <c r="N93" s="61" t="n"/>
      <c r="O93" s="61" t="n"/>
      <c r="P93" s="61" t="n"/>
      <c r="Q93" s="663">
        <f>IFERROR(SUM(J93,+L93,-N93),"n/a")</f>
        <v/>
      </c>
      <c r="R93" s="663">
        <f>IFERROR(SUM(K93,M93,-O93),"n/a")</f>
        <v/>
      </c>
      <c r="S93" s="663">
        <f>IFERROR(SUM(P93:R93),"n/a")</f>
        <v/>
      </c>
      <c r="T93" s="61" t="n"/>
    </row>
    <row r="94" outlineLevel="1" ht="14.1" customHeight="1">
      <c r="B94" s="515" t="n"/>
      <c r="C94" s="659" t="n"/>
      <c r="D94" s="660" t="n"/>
      <c r="E94" s="661" t="n"/>
      <c r="F94" s="661" t="n"/>
      <c r="G94" s="662" t="n"/>
      <c r="H94" s="61" t="n"/>
      <c r="I94" s="663">
        <f>SUM(J94:K94)</f>
        <v/>
      </c>
      <c r="J94" s="61" t="n"/>
      <c r="K94" s="61" t="n"/>
      <c r="L94" s="61" t="n"/>
      <c r="M94" s="61" t="n"/>
      <c r="N94" s="61" t="n"/>
      <c r="O94" s="61" t="n"/>
      <c r="P94" s="61" t="n"/>
      <c r="Q94" s="663">
        <f>IFERROR(SUM(J94,+L94,-N94),"n/a")</f>
        <v/>
      </c>
      <c r="R94" s="663">
        <f>IFERROR(SUM(K94,M94,-O94),"n/a")</f>
        <v/>
      </c>
      <c r="S94" s="663">
        <f>IFERROR(SUM(P94:R94),"n/a")</f>
        <v/>
      </c>
      <c r="T94" s="61" t="n"/>
    </row>
    <row r="95" outlineLevel="1" ht="14.1" customHeight="1">
      <c r="B95" s="515" t="n"/>
      <c r="C95" s="659" t="n"/>
      <c r="D95" s="660" t="n"/>
      <c r="E95" s="661" t="n"/>
      <c r="F95" s="661" t="n"/>
      <c r="G95" s="662" t="n"/>
      <c r="H95" s="61" t="n"/>
      <c r="I95" s="663">
        <f>SUM(J95:K95)</f>
        <v/>
      </c>
      <c r="J95" s="61" t="n"/>
      <c r="K95" s="61" t="n"/>
      <c r="L95" s="61" t="n"/>
      <c r="M95" s="61" t="n"/>
      <c r="N95" s="61" t="n"/>
      <c r="O95" s="61" t="n"/>
      <c r="P95" s="61" t="n"/>
      <c r="Q95" s="663">
        <f>IFERROR(SUM(J95,+L95,-N95),"n/a")</f>
        <v/>
      </c>
      <c r="R95" s="663">
        <f>IFERROR(SUM(K95,M95,-O95),"n/a")</f>
        <v/>
      </c>
      <c r="S95" s="663">
        <f>IFERROR(SUM(P95:R95),"n/a")</f>
        <v/>
      </c>
      <c r="T95" s="61" t="n"/>
    </row>
    <row r="96" outlineLevel="1" ht="14.1" customHeight="1">
      <c r="B96" s="515" t="n"/>
      <c r="C96" s="659" t="n"/>
      <c r="D96" s="660" t="n"/>
      <c r="E96" s="661" t="n"/>
      <c r="F96" s="661" t="n"/>
      <c r="G96" s="662" t="n"/>
      <c r="H96" s="61" t="n"/>
      <c r="I96" s="663">
        <f>SUM(J96:K96)</f>
        <v/>
      </c>
      <c r="J96" s="61" t="n"/>
      <c r="K96" s="61" t="n"/>
      <c r="L96" s="61" t="n"/>
      <c r="M96" s="61" t="n"/>
      <c r="N96" s="61" t="n"/>
      <c r="O96" s="61" t="n"/>
      <c r="P96" s="61" t="n"/>
      <c r="Q96" s="663">
        <f>IFERROR(SUM(J96,+L96,-N96),"n/a")</f>
        <v/>
      </c>
      <c r="R96" s="663">
        <f>IFERROR(SUM(K96,M96,-O96),"n/a")</f>
        <v/>
      </c>
      <c r="S96" s="663">
        <f>IFERROR(SUM(P96:R96),"n/a")</f>
        <v/>
      </c>
      <c r="T96" s="61" t="n"/>
    </row>
    <row r="97" outlineLevel="1" ht="14.1" customHeight="1">
      <c r="B97" s="515" t="n"/>
      <c r="C97" s="659" t="n"/>
      <c r="D97" s="660" t="n"/>
      <c r="E97" s="661" t="n"/>
      <c r="F97" s="661" t="n"/>
      <c r="G97" s="662" t="n"/>
      <c r="H97" s="61" t="n"/>
      <c r="I97" s="663">
        <f>SUM(J97:K97)</f>
        <v/>
      </c>
      <c r="J97" s="61" t="n"/>
      <c r="K97" s="61" t="n"/>
      <c r="L97" s="61" t="n"/>
      <c r="M97" s="61" t="n"/>
      <c r="N97" s="61" t="n"/>
      <c r="O97" s="61" t="n"/>
      <c r="P97" s="61" t="n"/>
      <c r="Q97" s="663">
        <f>IFERROR(SUM(J97,+L97,-N97),"n/a")</f>
        <v/>
      </c>
      <c r="R97" s="663">
        <f>IFERROR(SUM(K97,M97,-O97),"n/a")</f>
        <v/>
      </c>
      <c r="S97" s="663">
        <f>IFERROR(SUM(P97:R97),"n/a")</f>
        <v/>
      </c>
      <c r="T97" s="61" t="n"/>
    </row>
    <row r="98" outlineLevel="1" ht="14.1" customHeight="1">
      <c r="B98" s="515" t="n"/>
      <c r="C98" s="659" t="n"/>
      <c r="D98" s="660" t="n"/>
      <c r="E98" s="661" t="n"/>
      <c r="F98" s="661" t="n"/>
      <c r="G98" s="662" t="n"/>
      <c r="H98" s="61" t="n"/>
      <c r="I98" s="663">
        <f>SUM(J98:K98)</f>
        <v/>
      </c>
      <c r="J98" s="61" t="n"/>
      <c r="K98" s="61" t="n"/>
      <c r="L98" s="61" t="n"/>
      <c r="M98" s="61" t="n"/>
      <c r="N98" s="61" t="n"/>
      <c r="O98" s="61" t="n"/>
      <c r="P98" s="61" t="n"/>
      <c r="Q98" s="663">
        <f>IFERROR(SUM(J98,+L98,-N98),"n/a")</f>
        <v/>
      </c>
      <c r="R98" s="663">
        <f>IFERROR(SUM(K98,M98,-O98),"n/a")</f>
        <v/>
      </c>
      <c r="S98" s="663">
        <f>IFERROR(SUM(P98:R98),"n/a")</f>
        <v/>
      </c>
      <c r="T98" s="61" t="n"/>
    </row>
    <row r="99" outlineLevel="1" ht="14.1" customHeight="1">
      <c r="B99" s="515" t="n"/>
      <c r="C99" s="659" t="n"/>
      <c r="D99" s="660" t="n"/>
      <c r="E99" s="661" t="n"/>
      <c r="F99" s="661" t="n"/>
      <c r="G99" s="662" t="n"/>
      <c r="H99" s="61" t="n"/>
      <c r="I99" s="663">
        <f>SUM(J99:K99)</f>
        <v/>
      </c>
      <c r="J99" s="61" t="n"/>
      <c r="K99" s="61" t="n"/>
      <c r="L99" s="61" t="n"/>
      <c r="M99" s="61" t="n"/>
      <c r="N99" s="61" t="n"/>
      <c r="O99" s="61" t="n"/>
      <c r="P99" s="61" t="n"/>
      <c r="Q99" s="663">
        <f>IFERROR(SUM(J99,+L99,-N99),"n/a")</f>
        <v/>
      </c>
      <c r="R99" s="663">
        <f>IFERROR(SUM(K99,M99,-O99),"n/a")</f>
        <v/>
      </c>
      <c r="S99" s="663">
        <f>IFERROR(SUM(P99:R99),"n/a")</f>
        <v/>
      </c>
      <c r="T99" s="61" t="n"/>
    </row>
    <row r="100" outlineLevel="1" ht="14.1" customHeight="1">
      <c r="B100" s="515" t="n"/>
      <c r="C100" s="659" t="n"/>
      <c r="D100" s="660" t="n"/>
      <c r="E100" s="661" t="n"/>
      <c r="F100" s="661" t="n"/>
      <c r="G100" s="662" t="n"/>
      <c r="H100" s="61" t="n"/>
      <c r="I100" s="663">
        <f>SUM(J100:K100)</f>
        <v/>
      </c>
      <c r="J100" s="61" t="n"/>
      <c r="K100" s="61" t="n"/>
      <c r="L100" s="61" t="n"/>
      <c r="M100" s="61" t="n"/>
      <c r="N100" s="61" t="n"/>
      <c r="O100" s="61" t="n"/>
      <c r="P100" s="61" t="n"/>
      <c r="Q100" s="663">
        <f>IFERROR(SUM(J100,+L100,-N100),"n/a")</f>
        <v/>
      </c>
      <c r="R100" s="663">
        <f>IFERROR(SUM(K100,M100,-O100),"n/a")</f>
        <v/>
      </c>
      <c r="S100" s="663">
        <f>IFERROR(SUM(P100:R100),"n/a")</f>
        <v/>
      </c>
      <c r="T100" s="61" t="n"/>
    </row>
    <row r="101" outlineLevel="1" ht="14.1" customHeight="1">
      <c r="B101" s="515" t="n"/>
      <c r="C101" s="659" t="n"/>
      <c r="D101" s="660" t="n"/>
      <c r="E101" s="661" t="n"/>
      <c r="F101" s="661" t="n"/>
      <c r="G101" s="662" t="n"/>
      <c r="H101" s="61" t="n"/>
      <c r="I101" s="663">
        <f>SUM(J101:K101)</f>
        <v/>
      </c>
      <c r="J101" s="61" t="n"/>
      <c r="K101" s="61" t="n"/>
      <c r="L101" s="61" t="n"/>
      <c r="M101" s="61" t="n"/>
      <c r="N101" s="61" t="n"/>
      <c r="O101" s="61" t="n"/>
      <c r="P101" s="61" t="n"/>
      <c r="Q101" s="663">
        <f>IFERROR(SUM(J101,+L101,-N101),"n/a")</f>
        <v/>
      </c>
      <c r="R101" s="663">
        <f>IFERROR(SUM(K101,M101,-O101),"n/a")</f>
        <v/>
      </c>
      <c r="S101" s="663">
        <f>IFERROR(SUM(P101:R101),"n/a")</f>
        <v/>
      </c>
      <c r="T101" s="61" t="n"/>
    </row>
    <row r="102" outlineLevel="1" ht="14.1" customHeight="1">
      <c r="B102" s="515" t="n"/>
      <c r="C102" s="659" t="n"/>
      <c r="D102" s="660" t="n"/>
      <c r="E102" s="661" t="n"/>
      <c r="F102" s="661" t="n"/>
      <c r="G102" s="662" t="n"/>
      <c r="H102" s="61" t="n"/>
      <c r="I102" s="663">
        <f>SUM(J102:K102)</f>
        <v/>
      </c>
      <c r="J102" s="61" t="n"/>
      <c r="K102" s="61" t="n"/>
      <c r="L102" s="61" t="n"/>
      <c r="M102" s="61" t="n"/>
      <c r="N102" s="61" t="n"/>
      <c r="O102" s="61" t="n"/>
      <c r="P102" s="61" t="n"/>
      <c r="Q102" s="663">
        <f>IFERROR(SUM(J102,+L102,-N102),"n/a")</f>
        <v/>
      </c>
      <c r="R102" s="663">
        <f>IFERROR(SUM(K102,M102,-O102),"n/a")</f>
        <v/>
      </c>
      <c r="S102" s="663">
        <f>IFERROR(SUM(P102:R102),"n/a")</f>
        <v/>
      </c>
      <c r="T102" s="61" t="n"/>
    </row>
    <row r="103" outlineLevel="1" ht="14.1" customHeight="1">
      <c r="B103" s="515" t="n"/>
      <c r="C103" s="659" t="n"/>
      <c r="D103" s="660" t="n"/>
      <c r="E103" s="661" t="n"/>
      <c r="F103" s="661" t="n"/>
      <c r="G103" s="662" t="n"/>
      <c r="H103" s="61" t="n"/>
      <c r="I103" s="663">
        <f>SUM(J103:K103)</f>
        <v/>
      </c>
      <c r="J103" s="61" t="n"/>
      <c r="K103" s="61" t="n"/>
      <c r="L103" s="61" t="n"/>
      <c r="M103" s="61" t="n"/>
      <c r="N103" s="61" t="n"/>
      <c r="O103" s="61" t="n"/>
      <c r="P103" s="61" t="n"/>
      <c r="Q103" s="663">
        <f>IFERROR(SUM(J103,+L103,-N103),"n/a")</f>
        <v/>
      </c>
      <c r="R103" s="663">
        <f>IFERROR(SUM(K103,M103,-O103),"n/a")</f>
        <v/>
      </c>
      <c r="S103" s="663">
        <f>IFERROR(SUM(P103:R103),"n/a")</f>
        <v/>
      </c>
      <c r="T103" s="61" t="n"/>
    </row>
    <row r="104" outlineLevel="1" ht="14.1" customHeight="1">
      <c r="B104" s="515" t="n"/>
      <c r="C104" s="659" t="n"/>
      <c r="D104" s="660" t="n"/>
      <c r="E104" s="661" t="n"/>
      <c r="F104" s="661" t="n"/>
      <c r="G104" s="662" t="n"/>
      <c r="H104" s="61" t="n"/>
      <c r="I104" s="663">
        <f>SUM(J104:K104)</f>
        <v/>
      </c>
      <c r="J104" s="61" t="n"/>
      <c r="K104" s="61" t="n"/>
      <c r="L104" s="61" t="n"/>
      <c r="M104" s="61" t="n"/>
      <c r="N104" s="61" t="n"/>
      <c r="O104" s="61" t="n"/>
      <c r="P104" s="61" t="n"/>
      <c r="Q104" s="663">
        <f>IFERROR(SUM(J104,+L104,-N104),"n/a")</f>
        <v/>
      </c>
      <c r="R104" s="663">
        <f>IFERROR(SUM(K104,M104,-O104),"n/a")</f>
        <v/>
      </c>
      <c r="S104" s="663">
        <f>IFERROR(SUM(P104:R104),"n/a")</f>
        <v/>
      </c>
      <c r="T104" s="61" t="n"/>
    </row>
    <row r="105" outlineLevel="1" ht="14.1" customHeight="1">
      <c r="B105" s="515" t="n"/>
      <c r="C105" s="659" t="n"/>
      <c r="D105" s="660" t="n"/>
      <c r="E105" s="661" t="n"/>
      <c r="F105" s="661" t="n"/>
      <c r="G105" s="662" t="n"/>
      <c r="H105" s="61" t="n"/>
      <c r="I105" s="663">
        <f>SUM(J105:K105)</f>
        <v/>
      </c>
      <c r="J105" s="61" t="n"/>
      <c r="K105" s="61" t="n"/>
      <c r="L105" s="61" t="n"/>
      <c r="M105" s="61" t="n"/>
      <c r="N105" s="61" t="n"/>
      <c r="O105" s="61" t="n"/>
      <c r="P105" s="61" t="n"/>
      <c r="Q105" s="663">
        <f>IFERROR(SUM(J105,+L105,-N105),"n/a")</f>
        <v/>
      </c>
      <c r="R105" s="663">
        <f>IFERROR(SUM(K105,M105,-O105),"n/a")</f>
        <v/>
      </c>
      <c r="S105" s="663">
        <f>IFERROR(SUM(P105:R105),"n/a")</f>
        <v/>
      </c>
      <c r="T105" s="61" t="n"/>
    </row>
    <row r="106" outlineLevel="1" ht="14.1" customHeight="1">
      <c r="B106" s="515" t="n"/>
      <c r="C106" s="659" t="n"/>
      <c r="D106" s="660" t="n"/>
      <c r="E106" s="661" t="n"/>
      <c r="F106" s="661" t="n"/>
      <c r="G106" s="662" t="n"/>
      <c r="H106" s="61" t="n"/>
      <c r="I106" s="663">
        <f>SUM(J106:K106)</f>
        <v/>
      </c>
      <c r="J106" s="61" t="n"/>
      <c r="K106" s="61" t="n"/>
      <c r="L106" s="61" t="n"/>
      <c r="M106" s="61" t="n"/>
      <c r="N106" s="61" t="n"/>
      <c r="O106" s="61" t="n"/>
      <c r="P106" s="61" t="n"/>
      <c r="Q106" s="663">
        <f>IFERROR(SUM(J106,+L106,-N106),"n/a")</f>
        <v/>
      </c>
      <c r="R106" s="663">
        <f>IFERROR(SUM(K106,M106,-O106),"n/a")</f>
        <v/>
      </c>
      <c r="S106" s="663">
        <f>IFERROR(SUM(P106:R106),"n/a")</f>
        <v/>
      </c>
      <c r="T106" s="61" t="n"/>
    </row>
    <row r="107" outlineLevel="1" ht="14.1" customHeight="1">
      <c r="B107" s="515" t="n"/>
      <c r="C107" s="659" t="n"/>
      <c r="D107" s="660" t="n"/>
      <c r="E107" s="661" t="n"/>
      <c r="F107" s="661" t="n"/>
      <c r="G107" s="662" t="n"/>
      <c r="H107" s="61" t="n"/>
      <c r="I107" s="663">
        <f>SUM(J107:K107)</f>
        <v/>
      </c>
      <c r="J107" s="61" t="n"/>
      <c r="K107" s="61" t="n"/>
      <c r="L107" s="61" t="n"/>
      <c r="M107" s="61" t="n"/>
      <c r="N107" s="61" t="n"/>
      <c r="O107" s="61" t="n"/>
      <c r="P107" s="61" t="n"/>
      <c r="Q107" s="663">
        <f>IFERROR(SUM(J107,+L107,-N107),"n/a")</f>
        <v/>
      </c>
      <c r="R107" s="663">
        <f>IFERROR(SUM(K107,M107,-O107),"n/a")</f>
        <v/>
      </c>
      <c r="S107" s="663">
        <f>IFERROR(SUM(P107:R107),"n/a")</f>
        <v/>
      </c>
      <c r="T107" s="61" t="n"/>
    </row>
    <row r="108" outlineLevel="1" ht="14.1" customHeight="1">
      <c r="B108" s="515" t="n"/>
      <c r="C108" s="659" t="n"/>
      <c r="D108" s="660" t="n"/>
      <c r="E108" s="661" t="n"/>
      <c r="F108" s="661" t="n"/>
      <c r="G108" s="662" t="n"/>
      <c r="H108" s="61" t="n"/>
      <c r="I108" s="663">
        <f>SUM(J108:K108)</f>
        <v/>
      </c>
      <c r="J108" s="61" t="n"/>
      <c r="K108" s="61" t="n"/>
      <c r="L108" s="61" t="n"/>
      <c r="M108" s="61" t="n"/>
      <c r="N108" s="61" t="n"/>
      <c r="O108" s="61" t="n"/>
      <c r="P108" s="61" t="n"/>
      <c r="Q108" s="663">
        <f>IFERROR(SUM(J108,+L108,-N108),"n/a")</f>
        <v/>
      </c>
      <c r="R108" s="663">
        <f>IFERROR(SUM(K108,M108,-O108),"n/a")</f>
        <v/>
      </c>
      <c r="S108" s="663">
        <f>IFERROR(SUM(P108:R108),"n/a")</f>
        <v/>
      </c>
      <c r="T108" s="61" t="n"/>
    </row>
    <row r="109" outlineLevel="1" ht="14.1" customHeight="1">
      <c r="B109" s="515" t="n"/>
      <c r="C109" s="659" t="n"/>
      <c r="D109" s="660" t="n"/>
      <c r="E109" s="661" t="n"/>
      <c r="F109" s="661" t="n"/>
      <c r="G109" s="662" t="n"/>
      <c r="H109" s="61" t="n"/>
      <c r="I109" s="663">
        <f>SUM(J109:K109)</f>
        <v/>
      </c>
      <c r="J109" s="61" t="n"/>
      <c r="K109" s="61" t="n"/>
      <c r="L109" s="61" t="n"/>
      <c r="M109" s="61" t="n"/>
      <c r="N109" s="61" t="n"/>
      <c r="O109" s="61" t="n"/>
      <c r="P109" s="61" t="n"/>
      <c r="Q109" s="663">
        <f>IFERROR(SUM(J109,+L109,-N109),"n/a")</f>
        <v/>
      </c>
      <c r="R109" s="663">
        <f>IFERROR(SUM(K109,M109,-O109),"n/a")</f>
        <v/>
      </c>
      <c r="S109" s="663">
        <f>IFERROR(SUM(P109:R109),"n/a")</f>
        <v/>
      </c>
      <c r="T109" s="61" t="n"/>
    </row>
    <row r="110" outlineLevel="1" ht="14.1" customHeight="1">
      <c r="B110" s="515" t="n"/>
      <c r="C110" s="659" t="n"/>
      <c r="D110" s="660" t="n"/>
      <c r="E110" s="661" t="n"/>
      <c r="F110" s="661" t="n"/>
      <c r="G110" s="662" t="n"/>
      <c r="H110" s="61" t="n"/>
      <c r="I110" s="663">
        <f>SUM(J110:K110)</f>
        <v/>
      </c>
      <c r="J110" s="61" t="n"/>
      <c r="K110" s="61" t="n"/>
      <c r="L110" s="61" t="n"/>
      <c r="M110" s="61" t="n"/>
      <c r="N110" s="61" t="n"/>
      <c r="O110" s="61" t="n"/>
      <c r="P110" s="61" t="n"/>
      <c r="Q110" s="663">
        <f>IFERROR(SUM(J110,+L110,-N110),"n/a")</f>
        <v/>
      </c>
      <c r="R110" s="663">
        <f>IFERROR(SUM(K110,M110,-O110),"n/a")</f>
        <v/>
      </c>
      <c r="S110" s="663">
        <f>IFERROR(SUM(P110:R110),"n/a")</f>
        <v/>
      </c>
      <c r="T110" s="61" t="n"/>
    </row>
    <row r="111" outlineLevel="1" ht="14.1" customHeight="1">
      <c r="B111" s="515" t="n"/>
      <c r="C111" s="659" t="n"/>
      <c r="D111" s="660" t="n"/>
      <c r="E111" s="661" t="n"/>
      <c r="F111" s="661" t="n"/>
      <c r="G111" s="662" t="n"/>
      <c r="H111" s="61" t="n"/>
      <c r="I111" s="663">
        <f>SUM(J111:K111)</f>
        <v/>
      </c>
      <c r="J111" s="61" t="n"/>
      <c r="K111" s="61" t="n"/>
      <c r="L111" s="61" t="n"/>
      <c r="M111" s="61" t="n"/>
      <c r="N111" s="61" t="n"/>
      <c r="O111" s="61" t="n"/>
      <c r="P111" s="61" t="n"/>
      <c r="Q111" s="663">
        <f>IFERROR(SUM(J111,+L111,-N111),"n/a")</f>
        <v/>
      </c>
      <c r="R111" s="663">
        <f>IFERROR(SUM(K111,M111,-O111),"n/a")</f>
        <v/>
      </c>
      <c r="S111" s="663">
        <f>IFERROR(SUM(P111:R111),"n/a")</f>
        <v/>
      </c>
      <c r="T111" s="61" t="n"/>
    </row>
    <row r="112" outlineLevel="1" ht="14.1" customHeight="1">
      <c r="B112" s="515" t="n"/>
      <c r="C112" s="659" t="n"/>
      <c r="D112" s="660" t="n"/>
      <c r="E112" s="661" t="n"/>
      <c r="F112" s="661" t="n"/>
      <c r="G112" s="662" t="n"/>
      <c r="H112" s="61" t="n"/>
      <c r="I112" s="663">
        <f>SUM(J112:K112)</f>
        <v/>
      </c>
      <c r="J112" s="61" t="n"/>
      <c r="K112" s="61" t="n"/>
      <c r="L112" s="61" t="n"/>
      <c r="M112" s="61" t="n"/>
      <c r="N112" s="61" t="n"/>
      <c r="O112" s="61" t="n"/>
      <c r="P112" s="61" t="n"/>
      <c r="Q112" s="663">
        <f>IFERROR(SUM(J112,+L112,-N112),"n/a")</f>
        <v/>
      </c>
      <c r="R112" s="663">
        <f>IFERROR(SUM(K112,M112,-O112),"n/a")</f>
        <v/>
      </c>
      <c r="S112" s="663">
        <f>IFERROR(SUM(P112:R112),"n/a")</f>
        <v/>
      </c>
      <c r="T112" s="61" t="n"/>
    </row>
    <row r="113" outlineLevel="1" ht="14.1" customHeight="1">
      <c r="B113" s="515" t="n"/>
      <c r="C113" s="659" t="n"/>
      <c r="D113" s="660" t="n"/>
      <c r="E113" s="661" t="n"/>
      <c r="F113" s="661" t="n"/>
      <c r="G113" s="662" t="n"/>
      <c r="H113" s="61" t="n"/>
      <c r="I113" s="663">
        <f>SUM(J113:K113)</f>
        <v/>
      </c>
      <c r="J113" s="61" t="n"/>
      <c r="K113" s="61" t="n"/>
      <c r="L113" s="61" t="n"/>
      <c r="M113" s="61" t="n"/>
      <c r="N113" s="61" t="n"/>
      <c r="O113" s="61" t="n"/>
      <c r="P113" s="61" t="n"/>
      <c r="Q113" s="663">
        <f>IFERROR(SUM(J113,+L113,-N113),"n/a")</f>
        <v/>
      </c>
      <c r="R113" s="663">
        <f>IFERROR(SUM(K113,M113,-O113),"n/a")</f>
        <v/>
      </c>
      <c r="S113" s="663">
        <f>IFERROR(SUM(P113:R113),"n/a")</f>
        <v/>
      </c>
      <c r="T113" s="61" t="n"/>
    </row>
    <row r="114" outlineLevel="1" ht="14.1" customHeight="1">
      <c r="B114" s="515" t="n"/>
      <c r="C114" s="659" t="n"/>
      <c r="D114" s="660" t="n"/>
      <c r="E114" s="661" t="n"/>
      <c r="F114" s="661" t="n"/>
      <c r="G114" s="662" t="n"/>
      <c r="H114" s="61" t="n"/>
      <c r="I114" s="663">
        <f>SUM(J114:K114)</f>
        <v/>
      </c>
      <c r="J114" s="61" t="n"/>
      <c r="K114" s="61" t="n"/>
      <c r="L114" s="61" t="n"/>
      <c r="M114" s="61" t="n"/>
      <c r="N114" s="61" t="n"/>
      <c r="O114" s="61" t="n"/>
      <c r="P114" s="61" t="n"/>
      <c r="Q114" s="663">
        <f>IFERROR(SUM(J114,+L114,-N114),"n/a")</f>
        <v/>
      </c>
      <c r="R114" s="663">
        <f>IFERROR(SUM(K114,M114,-O114),"n/a")</f>
        <v/>
      </c>
      <c r="S114" s="663">
        <f>IFERROR(SUM(P114:R114),"n/a")</f>
        <v/>
      </c>
      <c r="T114" s="61" t="n"/>
    </row>
    <row r="115" outlineLevel="1" ht="14.1" customHeight="1">
      <c r="B115" s="515" t="n"/>
      <c r="C115" s="659" t="n"/>
      <c r="D115" s="660" t="n"/>
      <c r="E115" s="661" t="n"/>
      <c r="F115" s="661" t="n"/>
      <c r="G115" s="662" t="n"/>
      <c r="H115" s="61" t="n"/>
      <c r="I115" s="663">
        <f>SUM(J115:K115)</f>
        <v/>
      </c>
      <c r="J115" s="61" t="n"/>
      <c r="K115" s="61" t="n"/>
      <c r="L115" s="61" t="n"/>
      <c r="M115" s="61" t="n"/>
      <c r="N115" s="61" t="n"/>
      <c r="O115" s="61" t="n"/>
      <c r="P115" s="61" t="n"/>
      <c r="Q115" s="663">
        <f>IFERROR(SUM(J115,+L115,-N115),"n/a")</f>
        <v/>
      </c>
      <c r="R115" s="663">
        <f>IFERROR(SUM(K115,M115,-O115),"n/a")</f>
        <v/>
      </c>
      <c r="S115" s="663">
        <f>IFERROR(SUM(P115:R115),"n/a")</f>
        <v/>
      </c>
      <c r="T115" s="61" t="n"/>
    </row>
    <row r="116" outlineLevel="1" ht="14.1" customHeight="1">
      <c r="B116" s="515" t="n"/>
      <c r="C116" s="659" t="n"/>
      <c r="D116" s="660" t="n"/>
      <c r="E116" s="661" t="n"/>
      <c r="F116" s="661" t="n"/>
      <c r="G116" s="662" t="n"/>
      <c r="H116" s="61" t="n"/>
      <c r="I116" s="663">
        <f>SUM(J116:K116)</f>
        <v/>
      </c>
      <c r="J116" s="61" t="n"/>
      <c r="K116" s="61" t="n"/>
      <c r="L116" s="61" t="n"/>
      <c r="M116" s="61" t="n"/>
      <c r="N116" s="61" t="n"/>
      <c r="O116" s="61" t="n"/>
      <c r="P116" s="61" t="n"/>
      <c r="Q116" s="663">
        <f>IFERROR(SUM(J116,+L116,-N116),"n/a")</f>
        <v/>
      </c>
      <c r="R116" s="663">
        <f>IFERROR(SUM(K116,M116,-O116),"n/a")</f>
        <v/>
      </c>
      <c r="S116" s="663">
        <f>IFERROR(SUM(P116:R116),"n/a")</f>
        <v/>
      </c>
      <c r="T116" s="61" t="n"/>
    </row>
    <row r="117" outlineLevel="1" ht="14.1" customHeight="1">
      <c r="B117" s="515" t="n"/>
      <c r="C117" s="659" t="n"/>
      <c r="D117" s="660" t="n"/>
      <c r="E117" s="661" t="n"/>
      <c r="F117" s="661" t="n"/>
      <c r="G117" s="662" t="n"/>
      <c r="H117" s="61" t="n"/>
      <c r="I117" s="663">
        <f>SUM(J117:K117)</f>
        <v/>
      </c>
      <c r="J117" s="61" t="n"/>
      <c r="K117" s="61" t="n"/>
      <c r="L117" s="61" t="n"/>
      <c r="M117" s="61" t="n"/>
      <c r="N117" s="61" t="n"/>
      <c r="O117" s="61" t="n"/>
      <c r="P117" s="61" t="n"/>
      <c r="Q117" s="663">
        <f>IFERROR(SUM(J117,+L117,-N117),"n/a")</f>
        <v/>
      </c>
      <c r="R117" s="663">
        <f>IFERROR(SUM(K117,M117,-O117),"n/a")</f>
        <v/>
      </c>
      <c r="S117" s="663">
        <f>IFERROR(SUM(P117:R117),"n/a")</f>
        <v/>
      </c>
      <c r="T117" s="61" t="n"/>
    </row>
    <row r="118" outlineLevel="1" ht="14.1" customHeight="1">
      <c r="B118" s="515" t="n"/>
      <c r="C118" s="659" t="n"/>
      <c r="D118" s="660" t="n"/>
      <c r="E118" s="661" t="n"/>
      <c r="F118" s="661" t="n"/>
      <c r="G118" s="662" t="n"/>
      <c r="H118" s="61" t="n"/>
      <c r="I118" s="663">
        <f>SUM(J118:K118)</f>
        <v/>
      </c>
      <c r="J118" s="61" t="n"/>
      <c r="K118" s="61" t="n"/>
      <c r="L118" s="61" t="n"/>
      <c r="M118" s="61" t="n"/>
      <c r="N118" s="61" t="n"/>
      <c r="O118" s="61" t="n"/>
      <c r="P118" s="61" t="n"/>
      <c r="Q118" s="663">
        <f>IFERROR(SUM(J118,+L118,-N118),"n/a")</f>
        <v/>
      </c>
      <c r="R118" s="663">
        <f>IFERROR(SUM(K118,M118,-O118),"n/a")</f>
        <v/>
      </c>
      <c r="S118" s="663">
        <f>IFERROR(SUM(P118:R118),"n/a")</f>
        <v/>
      </c>
      <c r="T118" s="61" t="n"/>
    </row>
    <row r="119" outlineLevel="1" ht="14.1" customHeight="1">
      <c r="B119" s="515" t="n"/>
      <c r="C119" s="659" t="n"/>
      <c r="D119" s="660" t="n"/>
      <c r="E119" s="661" t="n"/>
      <c r="F119" s="661" t="n"/>
      <c r="G119" s="662" t="n"/>
      <c r="H119" s="61" t="n"/>
      <c r="I119" s="663">
        <f>SUM(J119:K119)</f>
        <v/>
      </c>
      <c r="J119" s="61" t="n"/>
      <c r="K119" s="61" t="n"/>
      <c r="L119" s="61" t="n"/>
      <c r="M119" s="61" t="n"/>
      <c r="N119" s="61" t="n"/>
      <c r="O119" s="61" t="n"/>
      <c r="P119" s="61" t="n"/>
      <c r="Q119" s="663">
        <f>IFERROR(SUM(J119,+L119,-N119),"n/a")</f>
        <v/>
      </c>
      <c r="R119" s="663">
        <f>IFERROR(SUM(K119,M119,-O119),"n/a")</f>
        <v/>
      </c>
      <c r="S119" s="663">
        <f>IFERROR(SUM(P119:R119),"n/a")</f>
        <v/>
      </c>
      <c r="T119" s="61" t="n"/>
    </row>
    <row r="120" outlineLevel="1" ht="14.1" customHeight="1">
      <c r="B120" s="515" t="n"/>
      <c r="C120" s="659" t="n"/>
      <c r="D120" s="660" t="n"/>
      <c r="E120" s="661" t="n"/>
      <c r="F120" s="661" t="n"/>
      <c r="G120" s="662" t="n"/>
      <c r="H120" s="61" t="n"/>
      <c r="I120" s="663">
        <f>SUM(J120:K120)</f>
        <v/>
      </c>
      <c r="J120" s="61" t="n"/>
      <c r="K120" s="61" t="n"/>
      <c r="L120" s="61" t="n"/>
      <c r="M120" s="61" t="n"/>
      <c r="N120" s="61" t="n"/>
      <c r="O120" s="61" t="n"/>
      <c r="P120" s="61" t="n"/>
      <c r="Q120" s="663">
        <f>IFERROR(SUM(J120,+L120,-N120),"n/a")</f>
        <v/>
      </c>
      <c r="R120" s="663">
        <f>IFERROR(SUM(K120,M120,-O120),"n/a")</f>
        <v/>
      </c>
      <c r="S120" s="663">
        <f>IFERROR(SUM(P120:R120),"n/a")</f>
        <v/>
      </c>
      <c r="T120" s="61" t="n"/>
    </row>
    <row r="121" outlineLevel="1" ht="14.1" customHeight="1">
      <c r="B121" s="515" t="n"/>
      <c r="C121" s="659" t="n"/>
      <c r="D121" s="660" t="n"/>
      <c r="E121" s="661" t="n"/>
      <c r="F121" s="661" t="n"/>
      <c r="G121" s="662" t="n"/>
      <c r="H121" s="61" t="n"/>
      <c r="I121" s="663">
        <f>SUM(J121:K121)</f>
        <v/>
      </c>
      <c r="J121" s="61" t="n"/>
      <c r="K121" s="61" t="n"/>
      <c r="L121" s="61" t="n"/>
      <c r="M121" s="61" t="n"/>
      <c r="N121" s="61" t="n"/>
      <c r="O121" s="61" t="n"/>
      <c r="P121" s="61" t="n"/>
      <c r="Q121" s="663">
        <f>IFERROR(SUM(J121,+L121,-N121),"n/a")</f>
        <v/>
      </c>
      <c r="R121" s="663">
        <f>IFERROR(SUM(K121,M121,-O121),"n/a")</f>
        <v/>
      </c>
      <c r="S121" s="663">
        <f>IFERROR(SUM(P121:R121),"n/a")</f>
        <v/>
      </c>
      <c r="T121" s="61" t="n"/>
    </row>
    <row r="122" outlineLevel="1" ht="14.1" customHeight="1">
      <c r="B122" s="515" t="n"/>
      <c r="C122" s="659" t="n"/>
      <c r="D122" s="660" t="n"/>
      <c r="E122" s="661" t="n"/>
      <c r="F122" s="661" t="n"/>
      <c r="G122" s="662" t="n"/>
      <c r="H122" s="61" t="n"/>
      <c r="I122" s="663">
        <f>SUM(J122:K122)</f>
        <v/>
      </c>
      <c r="J122" s="61" t="n"/>
      <c r="K122" s="61" t="n"/>
      <c r="L122" s="61" t="n"/>
      <c r="M122" s="61" t="n"/>
      <c r="N122" s="61" t="n"/>
      <c r="O122" s="61" t="n"/>
      <c r="P122" s="61" t="n"/>
      <c r="Q122" s="663">
        <f>IFERROR(SUM(J122,+L122,-N122),"n/a")</f>
        <v/>
      </c>
      <c r="R122" s="663">
        <f>IFERROR(SUM(K122,M122,-O122),"n/a")</f>
        <v/>
      </c>
      <c r="S122" s="663">
        <f>IFERROR(SUM(P122:R122),"n/a")</f>
        <v/>
      </c>
      <c r="T122" s="61" t="n"/>
    </row>
    <row r="123" outlineLevel="1" ht="14.1" customHeight="1">
      <c r="B123" s="515" t="n"/>
      <c r="C123" s="659" t="n"/>
      <c r="D123" s="660" t="n"/>
      <c r="E123" s="661" t="n"/>
      <c r="F123" s="661" t="n"/>
      <c r="G123" s="662" t="n"/>
      <c r="H123" s="61" t="n"/>
      <c r="I123" s="663">
        <f>SUM(J123:K123)</f>
        <v/>
      </c>
      <c r="J123" s="61" t="n"/>
      <c r="K123" s="61" t="n"/>
      <c r="L123" s="61" t="n"/>
      <c r="M123" s="61" t="n"/>
      <c r="N123" s="61" t="n"/>
      <c r="O123" s="61" t="n"/>
      <c r="P123" s="61" t="n"/>
      <c r="Q123" s="663">
        <f>IFERROR(SUM(J123,+L123,-N123),"n/a")</f>
        <v/>
      </c>
      <c r="R123" s="663">
        <f>IFERROR(SUM(K123,M123,-O123),"n/a")</f>
        <v/>
      </c>
      <c r="S123" s="663">
        <f>IFERROR(SUM(P123:R123),"n/a")</f>
        <v/>
      </c>
      <c r="T123" s="61" t="n"/>
    </row>
    <row r="124" outlineLevel="1" ht="14.1" customHeight="1">
      <c r="B124" s="515" t="n"/>
      <c r="C124" s="659" t="n"/>
      <c r="D124" s="660" t="n"/>
      <c r="E124" s="661" t="n"/>
      <c r="F124" s="661" t="n"/>
      <c r="G124" s="662" t="n"/>
      <c r="H124" s="61" t="n"/>
      <c r="I124" s="663">
        <f>SUM(J124:K124)</f>
        <v/>
      </c>
      <c r="J124" s="61" t="n"/>
      <c r="K124" s="61" t="n"/>
      <c r="L124" s="61" t="n"/>
      <c r="M124" s="61" t="n"/>
      <c r="N124" s="61" t="n"/>
      <c r="O124" s="61" t="n"/>
      <c r="P124" s="61" t="n"/>
      <c r="Q124" s="663">
        <f>IFERROR(SUM(J124,+L124,-N124),"n/a")</f>
        <v/>
      </c>
      <c r="R124" s="663">
        <f>IFERROR(SUM(K124,M124,-O124),"n/a")</f>
        <v/>
      </c>
      <c r="S124" s="663">
        <f>IFERROR(SUM(P124:R124),"n/a")</f>
        <v/>
      </c>
      <c r="T124" s="61" t="n"/>
    </row>
    <row r="125" outlineLevel="1" ht="14.1" customHeight="1">
      <c r="B125" s="515" t="n"/>
      <c r="C125" s="659" t="n"/>
      <c r="D125" s="660" t="n"/>
      <c r="E125" s="661" t="n"/>
      <c r="F125" s="661" t="n"/>
      <c r="G125" s="662" t="n"/>
      <c r="H125" s="61" t="n"/>
      <c r="I125" s="663">
        <f>SUM(J125:K125)</f>
        <v/>
      </c>
      <c r="J125" s="61" t="n"/>
      <c r="K125" s="61" t="n"/>
      <c r="L125" s="61" t="n"/>
      <c r="M125" s="61" t="n"/>
      <c r="N125" s="61" t="n"/>
      <c r="O125" s="61" t="n"/>
      <c r="P125" s="61" t="n"/>
      <c r="Q125" s="663">
        <f>IFERROR(SUM(J125,+L125,-N125),"n/a")</f>
        <v/>
      </c>
      <c r="R125" s="663">
        <f>IFERROR(SUM(K125,M125,-O125),"n/a")</f>
        <v/>
      </c>
      <c r="S125" s="663">
        <f>IFERROR(SUM(P125:R125),"n/a")</f>
        <v/>
      </c>
      <c r="T125" s="61" t="n"/>
    </row>
    <row r="126" outlineLevel="1" ht="14.1" customHeight="1">
      <c r="B126" s="515" t="n"/>
      <c r="C126" s="659" t="n"/>
      <c r="D126" s="660" t="n"/>
      <c r="E126" s="661" t="n"/>
      <c r="F126" s="661" t="n"/>
      <c r="G126" s="662" t="n"/>
      <c r="H126" s="61" t="n"/>
      <c r="I126" s="663">
        <f>SUM(J126:K126)</f>
        <v/>
      </c>
      <c r="J126" s="61" t="n"/>
      <c r="K126" s="61" t="n"/>
      <c r="L126" s="61" t="n"/>
      <c r="M126" s="61" t="n"/>
      <c r="N126" s="61" t="n"/>
      <c r="O126" s="61" t="n"/>
      <c r="P126" s="61" t="n"/>
      <c r="Q126" s="663">
        <f>IFERROR(SUM(J126,+L126,-N126),"n/a")</f>
        <v/>
      </c>
      <c r="R126" s="663">
        <f>IFERROR(SUM(K126,M126,-O126),"n/a")</f>
        <v/>
      </c>
      <c r="S126" s="663">
        <f>IFERROR(SUM(P126:R126),"n/a")</f>
        <v/>
      </c>
      <c r="T126" s="61" t="n"/>
    </row>
    <row r="127" outlineLevel="1" ht="14.1" customHeight="1">
      <c r="B127" s="515" t="n"/>
      <c r="C127" s="659" t="n"/>
      <c r="D127" s="660" t="n"/>
      <c r="E127" s="661" t="n"/>
      <c r="F127" s="661" t="n"/>
      <c r="G127" s="662" t="n"/>
      <c r="H127" s="61" t="n"/>
      <c r="I127" s="663">
        <f>SUM(J127:K127)</f>
        <v/>
      </c>
      <c r="J127" s="61" t="n"/>
      <c r="K127" s="61" t="n"/>
      <c r="L127" s="61" t="n"/>
      <c r="M127" s="61" t="n"/>
      <c r="N127" s="61" t="n"/>
      <c r="O127" s="61" t="n"/>
      <c r="P127" s="61" t="n"/>
      <c r="Q127" s="663">
        <f>IFERROR(SUM(J127,+L127,-N127),"n/a")</f>
        <v/>
      </c>
      <c r="R127" s="663">
        <f>IFERROR(SUM(K127,M127,-O127),"n/a")</f>
        <v/>
      </c>
      <c r="S127" s="663">
        <f>IFERROR(SUM(P127:R127),"n/a")</f>
        <v/>
      </c>
      <c r="T127" s="61" t="n"/>
    </row>
    <row r="128" outlineLevel="1" ht="14.1" customHeight="1">
      <c r="B128" s="515" t="n"/>
      <c r="C128" s="659" t="n"/>
      <c r="D128" s="660" t="n"/>
      <c r="E128" s="661" t="n"/>
      <c r="F128" s="661" t="n"/>
      <c r="G128" s="662" t="n"/>
      <c r="H128" s="61" t="n"/>
      <c r="I128" s="663">
        <f>SUM(J128:K128)</f>
        <v/>
      </c>
      <c r="J128" s="61" t="n"/>
      <c r="K128" s="61" t="n"/>
      <c r="L128" s="61" t="n"/>
      <c r="M128" s="61" t="n"/>
      <c r="N128" s="61" t="n"/>
      <c r="O128" s="61" t="n"/>
      <c r="P128" s="61" t="n"/>
      <c r="Q128" s="663">
        <f>IFERROR(SUM(J128,+L128,-N128),"n/a")</f>
        <v/>
      </c>
      <c r="R128" s="663">
        <f>IFERROR(SUM(K128,M128,-O128),"n/a")</f>
        <v/>
      </c>
      <c r="S128" s="663">
        <f>IFERROR(SUM(P128:R128),"n/a")</f>
        <v/>
      </c>
      <c r="T128" s="61" t="n"/>
    </row>
    <row r="129" outlineLevel="1" ht="14.1" customHeight="1">
      <c r="B129" s="515" t="n"/>
      <c r="C129" s="659" t="n"/>
      <c r="D129" s="660" t="n"/>
      <c r="E129" s="661" t="n"/>
      <c r="F129" s="661" t="n"/>
      <c r="G129" s="662" t="n"/>
      <c r="H129" s="61" t="n"/>
      <c r="I129" s="663">
        <f>SUM(J129:K129)</f>
        <v/>
      </c>
      <c r="J129" s="61" t="n"/>
      <c r="K129" s="61" t="n"/>
      <c r="L129" s="61" t="n"/>
      <c r="M129" s="61" t="n"/>
      <c r="N129" s="61" t="n"/>
      <c r="O129" s="61" t="n"/>
      <c r="P129" s="61" t="n"/>
      <c r="Q129" s="663">
        <f>IFERROR(SUM(J129,+L129,-N129),"n/a")</f>
        <v/>
      </c>
      <c r="R129" s="663">
        <f>IFERROR(SUM(K129,M129,-O129),"n/a")</f>
        <v/>
      </c>
      <c r="S129" s="663">
        <f>IFERROR(SUM(P129:R129),"n/a")</f>
        <v/>
      </c>
      <c r="T129" s="61" t="n"/>
    </row>
    <row r="130" outlineLevel="1" ht="14.1" customHeight="1">
      <c r="B130" s="515" t="n"/>
      <c r="C130" s="659" t="n"/>
      <c r="D130" s="660" t="n"/>
      <c r="E130" s="661" t="n"/>
      <c r="F130" s="661" t="n"/>
      <c r="G130" s="662" t="n"/>
      <c r="H130" s="61" t="n"/>
      <c r="I130" s="663">
        <f>SUM(J130:K130)</f>
        <v/>
      </c>
      <c r="J130" s="61" t="n"/>
      <c r="K130" s="61" t="n"/>
      <c r="L130" s="61" t="n"/>
      <c r="M130" s="61" t="n"/>
      <c r="N130" s="61" t="n"/>
      <c r="O130" s="61" t="n"/>
      <c r="P130" s="61" t="n"/>
      <c r="Q130" s="663">
        <f>IFERROR(SUM(J130,+L130,-N130),"n/a")</f>
        <v/>
      </c>
      <c r="R130" s="663">
        <f>IFERROR(SUM(K130,M130,-O130),"n/a")</f>
        <v/>
      </c>
      <c r="S130" s="663">
        <f>IFERROR(SUM(P130:R130),"n/a")</f>
        <v/>
      </c>
      <c r="T130" s="61" t="n"/>
    </row>
    <row r="131" outlineLevel="1" ht="14.1" customHeight="1">
      <c r="B131" s="515" t="n"/>
      <c r="C131" s="659" t="n"/>
      <c r="D131" s="660" t="n"/>
      <c r="E131" s="661" t="n"/>
      <c r="F131" s="661" t="n"/>
      <c r="G131" s="662" t="n"/>
      <c r="H131" s="61" t="n"/>
      <c r="I131" s="663">
        <f>SUM(J131:K131)</f>
        <v/>
      </c>
      <c r="J131" s="61" t="n"/>
      <c r="K131" s="61" t="n"/>
      <c r="L131" s="61" t="n"/>
      <c r="M131" s="61" t="n"/>
      <c r="N131" s="61" t="n"/>
      <c r="O131" s="61" t="n"/>
      <c r="P131" s="61" t="n"/>
      <c r="Q131" s="663">
        <f>IFERROR(SUM(J131,+L131,-N131),"n/a")</f>
        <v/>
      </c>
      <c r="R131" s="663">
        <f>IFERROR(SUM(K131,M131,-O131),"n/a")</f>
        <v/>
      </c>
      <c r="S131" s="663">
        <f>IFERROR(SUM(P131:R131),"n/a")</f>
        <v/>
      </c>
      <c r="T131" s="61" t="n"/>
    </row>
    <row r="132" outlineLevel="1" ht="14.1" customHeight="1">
      <c r="B132" s="515" t="n"/>
      <c r="C132" s="659" t="n"/>
      <c r="D132" s="660" t="n"/>
      <c r="E132" s="661" t="n"/>
      <c r="F132" s="661" t="n"/>
      <c r="G132" s="662" t="n"/>
      <c r="H132" s="61" t="n"/>
      <c r="I132" s="663">
        <f>SUM(J132:K132)</f>
        <v/>
      </c>
      <c r="J132" s="61" t="n"/>
      <c r="K132" s="61" t="n"/>
      <c r="L132" s="61" t="n"/>
      <c r="M132" s="61" t="n"/>
      <c r="N132" s="61" t="n"/>
      <c r="O132" s="61" t="n"/>
      <c r="P132" s="61" t="n"/>
      <c r="Q132" s="663">
        <f>IFERROR(SUM(J132,+L132,-N132),"n/a")</f>
        <v/>
      </c>
      <c r="R132" s="663">
        <f>IFERROR(SUM(K132,M132,-O132),"n/a")</f>
        <v/>
      </c>
      <c r="S132" s="663">
        <f>IFERROR(SUM(P132:R132),"n/a")</f>
        <v/>
      </c>
      <c r="T132" s="61" t="n"/>
    </row>
    <row r="133" outlineLevel="1" ht="14.1" customHeight="1">
      <c r="B133" s="515" t="n"/>
      <c r="C133" s="659" t="n"/>
      <c r="D133" s="660" t="n"/>
      <c r="E133" s="661" t="n"/>
      <c r="F133" s="661" t="n"/>
      <c r="G133" s="662" t="n"/>
      <c r="H133" s="61" t="n"/>
      <c r="I133" s="663">
        <f>SUM(J133:K133)</f>
        <v/>
      </c>
      <c r="J133" s="61" t="n"/>
      <c r="K133" s="61" t="n"/>
      <c r="L133" s="61" t="n"/>
      <c r="M133" s="61" t="n"/>
      <c r="N133" s="61" t="n"/>
      <c r="O133" s="61" t="n"/>
      <c r="P133" s="61" t="n"/>
      <c r="Q133" s="663">
        <f>IFERROR(SUM(J133,+L133,-N133),"n/a")</f>
        <v/>
      </c>
      <c r="R133" s="663">
        <f>IFERROR(SUM(K133,M133,-O133),"n/a")</f>
        <v/>
      </c>
      <c r="S133" s="663">
        <f>IFERROR(SUM(P133:R133),"n/a")</f>
        <v/>
      </c>
      <c r="T133" s="61" t="n"/>
    </row>
    <row r="134" outlineLevel="1" ht="14.1" customHeight="1">
      <c r="B134" s="515" t="n"/>
      <c r="C134" s="659" t="n"/>
      <c r="D134" s="660" t="n"/>
      <c r="E134" s="661" t="n"/>
      <c r="F134" s="661" t="n"/>
      <c r="G134" s="662" t="n"/>
      <c r="H134" s="61" t="n"/>
      <c r="I134" s="663">
        <f>SUM(J134:K134)</f>
        <v/>
      </c>
      <c r="J134" s="61" t="n"/>
      <c r="K134" s="61" t="n"/>
      <c r="L134" s="61" t="n"/>
      <c r="M134" s="61" t="n"/>
      <c r="N134" s="61" t="n"/>
      <c r="O134" s="61" t="n"/>
      <c r="P134" s="61" t="n"/>
      <c r="Q134" s="663">
        <f>IFERROR(SUM(J134,+L134,-N134),"n/a")</f>
        <v/>
      </c>
      <c r="R134" s="663">
        <f>IFERROR(SUM(K134,M134,-O134),"n/a")</f>
        <v/>
      </c>
      <c r="S134" s="663">
        <f>IFERROR(SUM(P134:R134),"n/a")</f>
        <v/>
      </c>
      <c r="T134" s="61" t="n"/>
    </row>
    <row r="135" outlineLevel="1" ht="14.1" customHeight="1">
      <c r="B135" s="515" t="n"/>
      <c r="C135" s="659" t="n"/>
      <c r="D135" s="660" t="n"/>
      <c r="E135" s="661" t="n"/>
      <c r="F135" s="661" t="n"/>
      <c r="G135" s="662" t="n"/>
      <c r="H135" s="61" t="n"/>
      <c r="I135" s="663">
        <f>SUM(J135:K135)</f>
        <v/>
      </c>
      <c r="J135" s="61" t="n"/>
      <c r="K135" s="61" t="n"/>
      <c r="L135" s="61" t="n"/>
      <c r="M135" s="61" t="n"/>
      <c r="N135" s="61" t="n"/>
      <c r="O135" s="61" t="n"/>
      <c r="P135" s="61" t="n"/>
      <c r="Q135" s="663">
        <f>IFERROR(SUM(J135,+L135,-N135),"n/a")</f>
        <v/>
      </c>
      <c r="R135" s="663">
        <f>IFERROR(SUM(K135,M135,-O135),"n/a")</f>
        <v/>
      </c>
      <c r="S135" s="663">
        <f>IFERROR(SUM(P135:R135),"n/a")</f>
        <v/>
      </c>
      <c r="T135" s="61" t="n"/>
    </row>
    <row r="136" outlineLevel="1" ht="14.1" customHeight="1">
      <c r="B136" s="515" t="n"/>
      <c r="C136" s="659" t="n"/>
      <c r="D136" s="660" t="n"/>
      <c r="E136" s="661" t="n"/>
      <c r="F136" s="661" t="n"/>
      <c r="G136" s="662" t="n"/>
      <c r="H136" s="61" t="n"/>
      <c r="I136" s="663">
        <f>SUM(J136:K136)</f>
        <v/>
      </c>
      <c r="J136" s="61" t="n"/>
      <c r="K136" s="61" t="n"/>
      <c r="L136" s="61" t="n"/>
      <c r="M136" s="61" t="n"/>
      <c r="N136" s="61" t="n"/>
      <c r="O136" s="61" t="n"/>
      <c r="P136" s="61" t="n"/>
      <c r="Q136" s="663">
        <f>IFERROR(SUM(J136,+L136,-N136),"n/a")</f>
        <v/>
      </c>
      <c r="R136" s="663">
        <f>IFERROR(SUM(K136,M136,-O136),"n/a")</f>
        <v/>
      </c>
      <c r="S136" s="663">
        <f>IFERROR(SUM(P136:R136),"n/a")</f>
        <v/>
      </c>
      <c r="T136" s="61" t="n"/>
    </row>
    <row r="137" outlineLevel="1" ht="14.1" customHeight="1">
      <c r="B137" s="515" t="n"/>
      <c r="C137" s="659" t="n"/>
      <c r="D137" s="660" t="n"/>
      <c r="E137" s="661" t="n"/>
      <c r="F137" s="661" t="n"/>
      <c r="G137" s="662" t="n"/>
      <c r="H137" s="61" t="n"/>
      <c r="I137" s="663">
        <f>SUM(J137:K137)</f>
        <v/>
      </c>
      <c r="J137" s="61" t="n"/>
      <c r="K137" s="61" t="n"/>
      <c r="L137" s="61" t="n"/>
      <c r="M137" s="61" t="n"/>
      <c r="N137" s="61" t="n"/>
      <c r="O137" s="61" t="n"/>
      <c r="P137" s="61" t="n"/>
      <c r="Q137" s="663">
        <f>IFERROR(SUM(J137,+L137,-N137),"n/a")</f>
        <v/>
      </c>
      <c r="R137" s="663">
        <f>IFERROR(SUM(K137,M137,-O137),"n/a")</f>
        <v/>
      </c>
      <c r="S137" s="663">
        <f>IFERROR(SUM(P137:R137),"n/a")</f>
        <v/>
      </c>
      <c r="T137" s="61" t="n"/>
    </row>
    <row r="138" outlineLevel="1" ht="14.1" customHeight="1">
      <c r="B138" s="515" t="n"/>
      <c r="C138" s="659" t="n"/>
      <c r="D138" s="660" t="n"/>
      <c r="E138" s="661" t="n"/>
      <c r="F138" s="661" t="n"/>
      <c r="G138" s="662" t="n"/>
      <c r="H138" s="61" t="n"/>
      <c r="I138" s="663">
        <f>SUM(J138:K138)</f>
        <v/>
      </c>
      <c r="J138" s="61" t="n"/>
      <c r="K138" s="61" t="n"/>
      <c r="L138" s="61" t="n"/>
      <c r="M138" s="61" t="n"/>
      <c r="N138" s="61" t="n"/>
      <c r="O138" s="61" t="n"/>
      <c r="P138" s="61" t="n"/>
      <c r="Q138" s="663">
        <f>IFERROR(SUM(J138,+L138,-N138),"n/a")</f>
        <v/>
      </c>
      <c r="R138" s="663">
        <f>IFERROR(SUM(K138,M138,-O138),"n/a")</f>
        <v/>
      </c>
      <c r="S138" s="663">
        <f>IFERROR(SUM(P138:R138),"n/a")</f>
        <v/>
      </c>
      <c r="T138" s="61" t="n"/>
    </row>
    <row r="139" outlineLevel="1" ht="14.1" customHeight="1">
      <c r="B139" s="515" t="n"/>
      <c r="C139" s="659" t="n"/>
      <c r="D139" s="660" t="n"/>
      <c r="E139" s="661" t="n"/>
      <c r="F139" s="661" t="n"/>
      <c r="G139" s="662" t="n"/>
      <c r="H139" s="61" t="n"/>
      <c r="I139" s="663">
        <f>SUM(J139:K139)</f>
        <v/>
      </c>
      <c r="J139" s="61" t="n"/>
      <c r="K139" s="61" t="n"/>
      <c r="L139" s="61" t="n"/>
      <c r="M139" s="61" t="n"/>
      <c r="N139" s="61" t="n"/>
      <c r="O139" s="61" t="n"/>
      <c r="P139" s="61" t="n"/>
      <c r="Q139" s="663">
        <f>IFERROR(SUM(J139,+L139,-N139),"n/a")</f>
        <v/>
      </c>
      <c r="R139" s="663">
        <f>IFERROR(SUM(K139,M139,-O139),"n/a")</f>
        <v/>
      </c>
      <c r="S139" s="663">
        <f>IFERROR(SUM(P139:R139),"n/a")</f>
        <v/>
      </c>
      <c r="T139" s="61" t="n"/>
    </row>
    <row r="140" outlineLevel="1" ht="14.1" customHeight="1">
      <c r="B140" s="515" t="n"/>
      <c r="C140" s="659" t="n"/>
      <c r="D140" s="660" t="n"/>
      <c r="E140" s="661" t="n"/>
      <c r="F140" s="661" t="n"/>
      <c r="G140" s="662" t="n"/>
      <c r="H140" s="61" t="n"/>
      <c r="I140" s="663">
        <f>SUM(J140:K140)</f>
        <v/>
      </c>
      <c r="J140" s="61" t="n"/>
      <c r="K140" s="61" t="n"/>
      <c r="L140" s="61" t="n"/>
      <c r="M140" s="61" t="n"/>
      <c r="N140" s="61" t="n"/>
      <c r="O140" s="61" t="n"/>
      <c r="P140" s="61" t="n"/>
      <c r="Q140" s="663">
        <f>IFERROR(SUM(J140,+L140,-N140),"n/a")</f>
        <v/>
      </c>
      <c r="R140" s="663">
        <f>IFERROR(SUM(K140,M140,-O140),"n/a")</f>
        <v/>
      </c>
      <c r="S140" s="663">
        <f>IFERROR(SUM(P140:R140),"n/a")</f>
        <v/>
      </c>
      <c r="T140" s="61" t="n"/>
    </row>
    <row r="141" outlineLevel="1" ht="14.1" customHeight="1">
      <c r="B141" s="515" t="n"/>
      <c r="C141" s="659" t="n"/>
      <c r="D141" s="660" t="n"/>
      <c r="E141" s="661" t="n"/>
      <c r="F141" s="661" t="n"/>
      <c r="G141" s="662" t="n"/>
      <c r="H141" s="61" t="n"/>
      <c r="I141" s="663">
        <f>SUM(J141:K141)</f>
        <v/>
      </c>
      <c r="J141" s="61" t="n"/>
      <c r="K141" s="61" t="n"/>
      <c r="L141" s="61" t="n"/>
      <c r="M141" s="61" t="n"/>
      <c r="N141" s="61" t="n"/>
      <c r="O141" s="61" t="n"/>
      <c r="P141" s="61" t="n"/>
      <c r="Q141" s="663">
        <f>IFERROR(SUM(J141,+L141,-N141),"n/a")</f>
        <v/>
      </c>
      <c r="R141" s="663">
        <f>IFERROR(SUM(K141,M141,-O141),"n/a")</f>
        <v/>
      </c>
      <c r="S141" s="663">
        <f>IFERROR(SUM(P141:R141),"n/a")</f>
        <v/>
      </c>
      <c r="T141" s="61" t="n"/>
    </row>
    <row r="142" outlineLevel="1" ht="14.1" customHeight="1">
      <c r="B142" s="515" t="n"/>
      <c r="C142" s="659" t="n"/>
      <c r="D142" s="660" t="n"/>
      <c r="E142" s="661" t="n"/>
      <c r="F142" s="661" t="n"/>
      <c r="G142" s="662" t="n"/>
      <c r="H142" s="61" t="n"/>
      <c r="I142" s="663">
        <f>SUM(J142:K142)</f>
        <v/>
      </c>
      <c r="J142" s="61" t="n"/>
      <c r="K142" s="61" t="n"/>
      <c r="L142" s="61" t="n"/>
      <c r="M142" s="61" t="n"/>
      <c r="N142" s="61" t="n"/>
      <c r="O142" s="61" t="n"/>
      <c r="P142" s="61" t="n"/>
      <c r="Q142" s="663">
        <f>IFERROR(SUM(J142,+L142,-N142),"n/a")</f>
        <v/>
      </c>
      <c r="R142" s="663">
        <f>IFERROR(SUM(K142,M142,-O142),"n/a")</f>
        <v/>
      </c>
      <c r="S142" s="663">
        <f>IFERROR(SUM(P142:R142),"n/a")</f>
        <v/>
      </c>
      <c r="T142" s="61" t="n"/>
    </row>
    <row r="143" outlineLevel="1" ht="14.1" customHeight="1">
      <c r="B143" s="515" t="n"/>
      <c r="C143" s="659" t="n"/>
      <c r="D143" s="660" t="n"/>
      <c r="E143" s="661" t="n"/>
      <c r="F143" s="661" t="n"/>
      <c r="G143" s="662" t="n"/>
      <c r="H143" s="61" t="n"/>
      <c r="I143" s="663">
        <f>SUM(J143:K143)</f>
        <v/>
      </c>
      <c r="J143" s="61" t="n"/>
      <c r="K143" s="61" t="n"/>
      <c r="L143" s="61" t="n"/>
      <c r="M143" s="61" t="n"/>
      <c r="N143" s="61" t="n"/>
      <c r="O143" s="61" t="n"/>
      <c r="P143" s="61" t="n"/>
      <c r="Q143" s="663">
        <f>IFERROR(SUM(J143,+L143,-N143),"n/a")</f>
        <v/>
      </c>
      <c r="R143" s="663">
        <f>IFERROR(SUM(K143,M143,-O143),"n/a")</f>
        <v/>
      </c>
      <c r="S143" s="663">
        <f>IFERROR(SUM(P143:R143),"n/a")</f>
        <v/>
      </c>
      <c r="T143" s="61" t="n"/>
    </row>
    <row r="144" outlineLevel="1" ht="14.1" customHeight="1">
      <c r="B144" s="515" t="n"/>
      <c r="C144" s="659" t="n"/>
      <c r="D144" s="660" t="n"/>
      <c r="E144" s="661" t="n"/>
      <c r="F144" s="661" t="n"/>
      <c r="G144" s="662" t="n"/>
      <c r="H144" s="61" t="n"/>
      <c r="I144" s="663">
        <f>SUM(J144:K144)</f>
        <v/>
      </c>
      <c r="J144" s="61" t="n"/>
      <c r="K144" s="61" t="n"/>
      <c r="L144" s="61" t="n"/>
      <c r="M144" s="61" t="n"/>
      <c r="N144" s="61" t="n"/>
      <c r="O144" s="61" t="n"/>
      <c r="P144" s="61" t="n"/>
      <c r="Q144" s="663">
        <f>IFERROR(SUM(J144,+L144,-N144),"n/a")</f>
        <v/>
      </c>
      <c r="R144" s="663">
        <f>IFERROR(SUM(K144,M144,-O144),"n/a")</f>
        <v/>
      </c>
      <c r="S144" s="663">
        <f>IFERROR(SUM(P144:R144),"n/a")</f>
        <v/>
      </c>
      <c r="T144" s="61" t="n"/>
    </row>
    <row r="145" ht="25.5" customHeight="1">
      <c r="B145" s="655" t="n"/>
      <c r="C145" s="656" t="n"/>
      <c r="D145" s="667" t="n"/>
      <c r="E145" s="666" t="n"/>
      <c r="F145" s="666" t="n"/>
      <c r="G145" s="658">
        <f>CHAR(10)</f>
        <v/>
      </c>
      <c r="H145" s="658">
        <f>CHAR(10)</f>
        <v/>
      </c>
      <c r="I145" s="657">
        <f>SUM(J145:K145)</f>
        <v/>
      </c>
      <c r="J145" s="657">
        <f>SUM(J146:J160)</f>
        <v/>
      </c>
      <c r="K145" s="657">
        <f>SUM(K146:K160)</f>
        <v/>
      </c>
      <c r="L145" s="657">
        <f>SUM(L146:L160)</f>
        <v/>
      </c>
      <c r="M145" s="657">
        <f>SUM(M146:M160)</f>
        <v/>
      </c>
      <c r="N145" s="657">
        <f>SUM(N146:N160)</f>
        <v/>
      </c>
      <c r="O145" s="657">
        <f>SUM(O146:O160)</f>
        <v/>
      </c>
      <c r="P145" s="657">
        <f>SUM(P146:P160)</f>
        <v/>
      </c>
      <c r="Q145" s="657">
        <f>(SUM(Q146:Q160))</f>
        <v/>
      </c>
      <c r="R145" s="657">
        <f>(SUM(R146:R160))</f>
        <v/>
      </c>
      <c r="S145" s="657">
        <f>SUM(P145:R145)</f>
        <v/>
      </c>
      <c r="T145" s="667" t="n"/>
    </row>
    <row r="146" outlineLevel="1" ht="14.1" customHeight="1">
      <c r="B146" s="515" t="n"/>
      <c r="C146" s="659" t="inlineStr">
        <is>
          <t>STATE OIL COMPANY "SOCAR"</t>
        </is>
      </c>
      <c r="D146" s="660" t="inlineStr">
        <is>
          <t>USD</t>
        </is>
      </c>
      <c r="E146" s="661" t="n"/>
      <c r="F146" s="661" t="n">
        <v>45593</v>
      </c>
      <c r="G146" s="662" t="inlineStr">
        <is>
          <t>Libor + 2%</t>
        </is>
      </c>
      <c r="H146" s="61" t="n">
        <v>50987.88990547844</v>
      </c>
      <c r="I146" s="663">
        <f>SUM(J146:K146)</f>
        <v/>
      </c>
      <c r="J146" s="61" t="n">
        <v>47716.8238162302</v>
      </c>
      <c r="K146" s="61" t="n">
        <v>3271.066089248245</v>
      </c>
      <c r="L146" s="61" t="n">
        <v>0</v>
      </c>
      <c r="M146" s="61" t="n">
        <v>318.7176396222205</v>
      </c>
      <c r="N146" s="61" t="n">
        <v>0</v>
      </c>
      <c r="O146" s="61" t="n">
        <v>0</v>
      </c>
      <c r="P146" s="61" t="n">
        <v>0</v>
      </c>
      <c r="Q146" s="663">
        <f>IFERROR(SUM(J146,+L146,-N146),"n/a")</f>
        <v/>
      </c>
      <c r="R146" s="663">
        <f>IFERROR(SUM(K146,M146,-O146),"n/a")</f>
        <v/>
      </c>
      <c r="S146" s="663">
        <f>IFERROR(SUM(P146:R146),"n/a")</f>
        <v/>
      </c>
      <c r="T146" s="61" t="n"/>
    </row>
    <row r="147" outlineLevel="1" ht="14.1" customHeight="1">
      <c r="B147" s="515" t="n"/>
      <c r="C147" s="659" t="inlineStr">
        <is>
          <t>SOCAR OVERSEAS LLC</t>
        </is>
      </c>
      <c r="D147" s="660" t="inlineStr">
        <is>
          <t>USD</t>
        </is>
      </c>
      <c r="E147" s="661" t="n"/>
      <c r="F147" s="661" t="n">
        <v>46259</v>
      </c>
      <c r="G147" s="662" t="inlineStr">
        <is>
          <t>Libor + 1%</t>
        </is>
      </c>
      <c r="H147" s="61" t="n">
        <v>55051.16424613506</v>
      </c>
      <c r="I147" s="663">
        <f>SUM(J147:K147)</f>
        <v/>
      </c>
      <c r="J147" s="61" t="n">
        <v>49313.42874543239</v>
      </c>
      <c r="K147" s="61" t="n">
        <v>5737.735500702662</v>
      </c>
      <c r="L147" s="61" t="n">
        <v>0</v>
      </c>
      <c r="M147" s="61" t="n">
        <v>292.2149996281699</v>
      </c>
      <c r="N147" s="61" t="n">
        <v>0</v>
      </c>
      <c r="O147" s="61" t="n">
        <v>0</v>
      </c>
      <c r="P147" s="61" t="n">
        <v>0</v>
      </c>
      <c r="Q147" s="663">
        <f>IFERROR(SUM(J147,+L147,-N147),"n/a")</f>
        <v/>
      </c>
      <c r="R147" s="663">
        <f>IFERROR(SUM(K147,M147,-O147),"n/a")</f>
        <v/>
      </c>
      <c r="S147" s="663">
        <f>IFERROR(SUM(P147:R147),"n/a")</f>
        <v/>
      </c>
      <c r="T147" s="61" t="n"/>
    </row>
    <row r="148" outlineLevel="1" ht="14.1" customHeight="1">
      <c r="B148" s="515" t="n"/>
      <c r="C148" s="659" t="n"/>
      <c r="D148" s="660" t="n"/>
      <c r="E148" s="661" t="n"/>
      <c r="F148" s="661" t="n"/>
      <c r="G148" s="662" t="n"/>
      <c r="H148" s="61" t="n"/>
      <c r="I148" s="663">
        <f>SUM(J148:K148)</f>
        <v/>
      </c>
      <c r="J148" s="61" t="n"/>
      <c r="K148" s="61" t="n"/>
      <c r="L148" s="61" t="n"/>
      <c r="M148" s="61" t="n"/>
      <c r="N148" s="61" t="n"/>
      <c r="O148" s="61" t="n"/>
      <c r="P148" s="61" t="n"/>
      <c r="Q148" s="663">
        <f>IFERROR(SUM(J148,+L148,-N148),"n/a")</f>
        <v/>
      </c>
      <c r="R148" s="663">
        <f>IFERROR(SUM(K148,M148,-O148),"n/a")</f>
        <v/>
      </c>
      <c r="S148" s="663">
        <f>IFERROR(SUM(P148:R148),"n/a")</f>
        <v/>
      </c>
      <c r="T148" s="61" t="n"/>
    </row>
    <row r="149" outlineLevel="1" ht="14.1" customHeight="1">
      <c r="B149" s="515" t="n"/>
      <c r="C149" s="659" t="n"/>
      <c r="D149" s="660" t="n"/>
      <c r="E149" s="661" t="n"/>
      <c r="F149" s="661" t="n"/>
      <c r="G149" s="662" t="n"/>
      <c r="H149" s="61" t="n"/>
      <c r="I149" s="663">
        <f>SUM(J149:K149)</f>
        <v/>
      </c>
      <c r="J149" s="61" t="n"/>
      <c r="K149" s="61" t="n"/>
      <c r="L149" s="61" t="n"/>
      <c r="M149" s="61" t="n"/>
      <c r="N149" s="61" t="n"/>
      <c r="O149" s="61" t="n"/>
      <c r="P149" s="61" t="n"/>
      <c r="Q149" s="663">
        <f>IFERROR(SUM(J149,+L149,-N149),"n/a")</f>
        <v/>
      </c>
      <c r="R149" s="663">
        <f>IFERROR(SUM(K149,M149,-O149),"n/a")</f>
        <v/>
      </c>
      <c r="S149" s="663">
        <f>IFERROR(SUM(P149:R149),"n/a")</f>
        <v/>
      </c>
      <c r="T149" s="61" t="n"/>
    </row>
    <row r="150" outlineLevel="1" ht="14.1" customHeight="1">
      <c r="B150" s="515" t="n"/>
      <c r="C150" s="659" t="n"/>
      <c r="D150" s="660" t="n"/>
      <c r="E150" s="661" t="n"/>
      <c r="F150" s="661" t="n"/>
      <c r="G150" s="662" t="n"/>
      <c r="H150" s="61" t="n"/>
      <c r="I150" s="663">
        <f>SUM(J150:K150)</f>
        <v/>
      </c>
      <c r="J150" s="61" t="n"/>
      <c r="K150" s="61" t="n"/>
      <c r="L150" s="61" t="n"/>
      <c r="M150" s="61" t="n"/>
      <c r="N150" s="61" t="n"/>
      <c r="O150" s="61" t="n"/>
      <c r="P150" s="61" t="n"/>
      <c r="Q150" s="663">
        <f>IFERROR(SUM(J150,+L150,-N150),"n/a")</f>
        <v/>
      </c>
      <c r="R150" s="663">
        <f>IFERROR(SUM(K150,M150,-O150),"n/a")</f>
        <v/>
      </c>
      <c r="S150" s="663">
        <f>IFERROR(SUM(P150:R150),"n/a")</f>
        <v/>
      </c>
      <c r="T150" s="61" t="n"/>
    </row>
    <row r="151" outlineLevel="1" ht="14.1" customHeight="1">
      <c r="B151" s="515" t="n"/>
      <c r="C151" s="659" t="n"/>
      <c r="D151" s="660" t="n"/>
      <c r="E151" s="661" t="n"/>
      <c r="F151" s="661" t="n"/>
      <c r="G151" s="662" t="n"/>
      <c r="H151" s="61" t="n"/>
      <c r="I151" s="663">
        <f>SUM(J151:K151)</f>
        <v/>
      </c>
      <c r="J151" s="61" t="n"/>
      <c r="K151" s="61" t="n"/>
      <c r="L151" s="61" t="n"/>
      <c r="M151" s="61" t="n"/>
      <c r="N151" s="61" t="n"/>
      <c r="O151" s="61" t="n"/>
      <c r="P151" s="61" t="n"/>
      <c r="Q151" s="663">
        <f>IFERROR(SUM(J151,+L151,-N151),"n/a")</f>
        <v/>
      </c>
      <c r="R151" s="663">
        <f>IFERROR(SUM(K151,M151,-O151),"n/a")</f>
        <v/>
      </c>
      <c r="S151" s="663">
        <f>IFERROR(SUM(P151:R151),"n/a")</f>
        <v/>
      </c>
      <c r="T151" s="61" t="n"/>
    </row>
    <row r="152" outlineLevel="1" ht="14.1" customHeight="1">
      <c r="B152" s="515" t="n"/>
      <c r="C152" s="659" t="n"/>
      <c r="D152" s="660" t="n"/>
      <c r="E152" s="661" t="n"/>
      <c r="F152" s="661" t="n"/>
      <c r="G152" s="662" t="n"/>
      <c r="H152" s="61" t="n"/>
      <c r="I152" s="663">
        <f>SUM(J152:K152)</f>
        <v/>
      </c>
      <c r="J152" s="61" t="n"/>
      <c r="K152" s="61" t="n"/>
      <c r="L152" s="61" t="n"/>
      <c r="M152" s="61" t="n"/>
      <c r="N152" s="61" t="n"/>
      <c r="O152" s="61" t="n"/>
      <c r="P152" s="61" t="n"/>
      <c r="Q152" s="663">
        <f>IFERROR(SUM(J152,+L152,-N152),"n/a")</f>
        <v/>
      </c>
      <c r="R152" s="663">
        <f>IFERROR(SUM(K152,M152,-O152),"n/a")</f>
        <v/>
      </c>
      <c r="S152" s="663">
        <f>IFERROR(SUM(P152:R152),"n/a")</f>
        <v/>
      </c>
      <c r="T152" s="61" t="n"/>
    </row>
    <row r="153" outlineLevel="1" ht="14.25" customHeight="1">
      <c r="B153" s="515" t="n"/>
      <c r="C153" s="659" t="n"/>
      <c r="D153" s="660" t="n"/>
      <c r="E153" s="661" t="n"/>
      <c r="F153" s="661" t="n"/>
      <c r="G153" s="662" t="n"/>
      <c r="H153" s="61" t="n"/>
      <c r="I153" s="663">
        <f>SUM(J153:K153)</f>
        <v/>
      </c>
      <c r="J153" s="61" t="n"/>
      <c r="K153" s="61" t="n"/>
      <c r="L153" s="61" t="n"/>
      <c r="M153" s="61" t="n"/>
      <c r="N153" s="61" t="n"/>
      <c r="O153" s="61" t="n"/>
      <c r="P153" s="61" t="n"/>
      <c r="Q153" s="663">
        <f>IFERROR(SUM(J153,+L153,-N153),"n/a")</f>
        <v/>
      </c>
      <c r="R153" s="663">
        <f>IFERROR(SUM(K153,M153,-O153),"n/a")</f>
        <v/>
      </c>
      <c r="S153" s="663">
        <f>IFERROR(SUM(P153:R153),"n/a")</f>
        <v/>
      </c>
      <c r="T153" s="61" t="n"/>
    </row>
    <row r="154" outlineLevel="1" ht="14.25" customHeight="1">
      <c r="B154" s="515" t="n"/>
      <c r="C154" s="659" t="n"/>
      <c r="D154" s="660" t="n"/>
      <c r="E154" s="661" t="n"/>
      <c r="F154" s="661" t="n"/>
      <c r="G154" s="662" t="n"/>
      <c r="H154" s="61" t="n"/>
      <c r="I154" s="663">
        <f>SUM(J154:K154)</f>
        <v/>
      </c>
      <c r="J154" s="61" t="n"/>
      <c r="K154" s="61" t="n"/>
      <c r="L154" s="61" t="n"/>
      <c r="M154" s="61" t="n"/>
      <c r="N154" s="61" t="n"/>
      <c r="O154" s="61" t="n"/>
      <c r="P154" s="61" t="n"/>
      <c r="Q154" s="663">
        <f>IFERROR(SUM(J154,+L154,-N154),"n/a")</f>
        <v/>
      </c>
      <c r="R154" s="663">
        <f>IFERROR(SUM(K154,M154,-O154),"n/a")</f>
        <v/>
      </c>
      <c r="S154" s="663">
        <f>IFERROR(SUM(P154:R154),"n/a")</f>
        <v/>
      </c>
      <c r="T154" s="61" t="n"/>
    </row>
    <row r="155" outlineLevel="1" ht="14.25" customHeight="1">
      <c r="B155" s="515" t="n"/>
      <c r="C155" s="659" t="n"/>
      <c r="D155" s="660" t="n"/>
      <c r="E155" s="661" t="n"/>
      <c r="F155" s="661" t="n"/>
      <c r="G155" s="662" t="n"/>
      <c r="H155" s="61" t="n"/>
      <c r="I155" s="663">
        <f>SUM(J155:K155)</f>
        <v/>
      </c>
      <c r="J155" s="61" t="n"/>
      <c r="K155" s="61" t="n"/>
      <c r="L155" s="61" t="n"/>
      <c r="M155" s="61" t="n"/>
      <c r="N155" s="61" t="n"/>
      <c r="O155" s="61" t="n"/>
      <c r="P155" s="61" t="n"/>
      <c r="Q155" s="663">
        <f>IFERROR(SUM(J155,+L155,-N155),"n/a")</f>
        <v/>
      </c>
      <c r="R155" s="663">
        <f>IFERROR(SUM(K155,M155,-O155),"n/a")</f>
        <v/>
      </c>
      <c r="S155" s="663">
        <f>IFERROR(SUM(P155:R155),"n/a")</f>
        <v/>
      </c>
      <c r="T155" s="61" t="n"/>
    </row>
    <row r="156" outlineLevel="1" ht="14.25" customHeight="1">
      <c r="B156" s="515" t="n"/>
      <c r="C156" s="659" t="n"/>
      <c r="D156" s="660" t="n"/>
      <c r="E156" s="661" t="n"/>
      <c r="F156" s="661" t="n"/>
      <c r="G156" s="662" t="n"/>
      <c r="H156" s="61" t="n"/>
      <c r="I156" s="663">
        <f>SUM(J156:K156)</f>
        <v/>
      </c>
      <c r="J156" s="61" t="n"/>
      <c r="K156" s="61" t="n"/>
      <c r="L156" s="61" t="n"/>
      <c r="M156" s="61" t="n"/>
      <c r="N156" s="61" t="n"/>
      <c r="O156" s="61" t="n"/>
      <c r="P156" s="61" t="n"/>
      <c r="Q156" s="663">
        <f>IFERROR(SUM(J156,+L156,-N156),"n/a")</f>
        <v/>
      </c>
      <c r="R156" s="663">
        <f>IFERROR(SUM(K156,M156,-O156),"n/a")</f>
        <v/>
      </c>
      <c r="S156" s="663">
        <f>IFERROR(SUM(P156:R156),"n/a")</f>
        <v/>
      </c>
      <c r="T156" s="61" t="n"/>
    </row>
    <row r="157" outlineLevel="1" ht="14.25" customHeight="1">
      <c r="B157" s="515" t="n"/>
      <c r="C157" s="659" t="n"/>
      <c r="D157" s="660" t="n"/>
      <c r="E157" s="661" t="n"/>
      <c r="F157" s="661" t="n"/>
      <c r="G157" s="662" t="n"/>
      <c r="H157" s="61" t="n"/>
      <c r="I157" s="663">
        <f>SUM(J157:K157)</f>
        <v/>
      </c>
      <c r="J157" s="61" t="n"/>
      <c r="K157" s="61" t="n"/>
      <c r="L157" s="61" t="n"/>
      <c r="M157" s="61" t="n"/>
      <c r="N157" s="61" t="n"/>
      <c r="O157" s="61" t="n"/>
      <c r="P157" s="61" t="n"/>
      <c r="Q157" s="663">
        <f>IFERROR(SUM(J157,+L157,-N157),"n/a")</f>
        <v/>
      </c>
      <c r="R157" s="663">
        <f>IFERROR(SUM(K157,M157,-O157),"n/a")</f>
        <v/>
      </c>
      <c r="S157" s="663">
        <f>IFERROR(SUM(P157:R157),"n/a")</f>
        <v/>
      </c>
      <c r="T157" s="61" t="n"/>
    </row>
    <row r="158" outlineLevel="1" ht="14.25" customHeight="1">
      <c r="B158" s="515" t="n"/>
      <c r="C158" s="659" t="n"/>
      <c r="D158" s="660" t="n"/>
      <c r="E158" s="661" t="n"/>
      <c r="F158" s="661" t="n"/>
      <c r="G158" s="662" t="n"/>
      <c r="H158" s="61" t="n"/>
      <c r="I158" s="663">
        <f>SUM(J158:K158)</f>
        <v/>
      </c>
      <c r="J158" s="61" t="n"/>
      <c r="K158" s="61" t="n"/>
      <c r="L158" s="61" t="n"/>
      <c r="M158" s="61" t="n"/>
      <c r="N158" s="61" t="n"/>
      <c r="O158" s="61" t="n"/>
      <c r="P158" s="61" t="n"/>
      <c r="Q158" s="663">
        <f>IFERROR(SUM(J158,+L158,-N158),"n/a")</f>
        <v/>
      </c>
      <c r="R158" s="663">
        <f>IFERROR(SUM(K158,M158,-O158),"n/a")</f>
        <v/>
      </c>
      <c r="S158" s="663">
        <f>IFERROR(SUM(P158:R158),"n/a")</f>
        <v/>
      </c>
      <c r="T158" s="61" t="n"/>
    </row>
    <row r="159" outlineLevel="1" ht="14.25" customHeight="1">
      <c r="B159" s="515" t="n"/>
      <c r="C159" s="659" t="n"/>
      <c r="D159" s="660" t="n"/>
      <c r="E159" s="661" t="n"/>
      <c r="F159" s="661" t="n"/>
      <c r="G159" s="662" t="n"/>
      <c r="H159" s="61" t="n"/>
      <c r="I159" s="663">
        <f>SUM(J159:K159)</f>
        <v/>
      </c>
      <c r="J159" s="61" t="n"/>
      <c r="K159" s="61" t="n"/>
      <c r="L159" s="61" t="n"/>
      <c r="M159" s="61" t="n"/>
      <c r="N159" s="61" t="n"/>
      <c r="O159" s="61" t="n"/>
      <c r="P159" s="61" t="n"/>
      <c r="Q159" s="663">
        <f>IFERROR(SUM(J159,+L159,-N159),"n/a")</f>
        <v/>
      </c>
      <c r="R159" s="663">
        <f>IFERROR(SUM(K159,M159,-O159),"n/a")</f>
        <v/>
      </c>
      <c r="S159" s="663">
        <f>IFERROR(SUM(P159:R159),"n/a")</f>
        <v/>
      </c>
      <c r="T159" s="61" t="n"/>
    </row>
    <row r="160" outlineLevel="1" ht="14.25" customHeight="1">
      <c r="B160" s="515" t="n"/>
      <c r="C160" s="659" t="n"/>
      <c r="D160" s="660" t="n"/>
      <c r="E160" s="661" t="n"/>
      <c r="F160" s="661" t="n"/>
      <c r="G160" s="662" t="n"/>
      <c r="H160" s="61" t="n"/>
      <c r="I160" s="663">
        <f>SUM(J160:K160)</f>
        <v/>
      </c>
      <c r="J160" s="61" t="n"/>
      <c r="K160" s="61" t="n"/>
      <c r="L160" s="61" t="n"/>
      <c r="M160" s="61" t="n"/>
      <c r="N160" s="61" t="n"/>
      <c r="O160" s="61" t="n"/>
      <c r="P160" s="61" t="n"/>
      <c r="Q160" s="663">
        <f>IFERROR(SUM(J160,+L160,-N160),"n/a")</f>
        <v/>
      </c>
      <c r="R160" s="663">
        <f>IFERROR(SUM(K160,M160,-O160),"n/a")</f>
        <v/>
      </c>
      <c r="S160" s="663">
        <f>IFERROR(SUM(P160:R160),"n/a")</f>
        <v/>
      </c>
      <c r="T160" s="61" t="n"/>
    </row>
    <row r="161">
      <c r="T161" s="30" t="n"/>
    </row>
    <row r="162">
      <c r="T162" s="30" t="n"/>
    </row>
    <row r="163">
      <c r="T163" s="30" t="n"/>
    </row>
    <row r="164">
      <c r="T164" s="30" t="n"/>
    </row>
    <row r="165">
      <c r="C165" s="638" t="n"/>
      <c r="T165" s="30" t="n"/>
    </row>
    <row r="166">
      <c r="T166" s="30" t="n"/>
    </row>
    <row r="167">
      <c r="T167" s="30" t="n"/>
    </row>
    <row r="168">
      <c r="D168" s="839" t="n"/>
      <c r="E168" s="891" t="n"/>
      <c r="F168" s="890" t="n"/>
      <c r="T168" s="30" t="n"/>
    </row>
    <row r="169" ht="14.25" customHeight="1">
      <c r="C169" s="407" t="inlineStr">
        <is>
          <t>Only for Head office</t>
        </is>
      </c>
      <c r="D169" s="916">
        <f>"! Please, enter amounts in thousands in required currency"</f>
        <v/>
      </c>
      <c r="E169" s="917" t="n"/>
      <c r="F169" s="918" t="n"/>
      <c r="H169" s="830" t="inlineStr">
        <is>
          <t>Month</t>
        </is>
      </c>
    </row>
    <row r="170" ht="126" customHeight="1">
      <c r="B170" s="647" t="inlineStr">
        <is>
          <t>Kod</t>
        </is>
      </c>
      <c r="C170" s="725" t="inlineStr">
        <is>
          <t>Borrower name /
(ranking in accordance with 
outstanding balance as of reporting period in reporting currency)</t>
        </is>
      </c>
      <c r="D170" s="762" t="inlineStr">
        <is>
          <t>Original currency</t>
        </is>
      </c>
      <c r="E170" s="649" t="inlineStr">
        <is>
          <t>Start date /</t>
        </is>
      </c>
      <c r="F170" s="650" t="inlineStr">
        <is>
          <t>Maturity Date /</t>
        </is>
      </c>
      <c r="G170" s="650" t="n"/>
      <c r="H170" s="715" t="n"/>
      <c r="I170" s="715" t="n"/>
      <c r="J170" s="787">
        <f>"Outstanding principal balance as of the beginning of reporting period in thsd "&amp;[1]Segment_map!$J$4&amp;")"&amp; "</f>
        <v/>
      </c>
      <c r="K170" s="787">
        <f>"Outstanding accrued interest balance as of the beginning of reporting period in thsd "&amp;[1]Segment_map!$J$4&amp;")"&amp; "</f>
        <v/>
      </c>
      <c r="L170" s="787">
        <f>"Loan received during the period in thsd " &amp; [1]Segment_map!$J$4 &amp; "</f>
        <v/>
      </c>
      <c r="M170" s="787" t="n"/>
      <c r="N170" s="787" t="n"/>
      <c r="O170" s="787" t="n"/>
      <c r="P170" s="787">
        <f>"FOREX differences during the period in thsd "&amp;[1]Segment_map!$J$4&amp;")"&amp;"</f>
        <v/>
      </c>
      <c r="Q170" s="787">
        <f>"Outstanding principal balance as of the end of reporting period in thsd "&amp;[1]Segment_map!$J$4&amp;")"&amp;"</f>
        <v/>
      </c>
      <c r="R170" s="787">
        <f>"Outstanding accured interest as of the end of reporting period in thsd "&amp;[1]Segment_map!$J$4&amp;")"&amp;"</f>
        <v/>
      </c>
      <c r="S170" s="715" t="n"/>
      <c r="T170" s="715" t="n"/>
    </row>
    <row r="171" ht="31.35" customHeight="1">
      <c r="B171" s="647" t="n"/>
      <c r="C171" s="712" t="n"/>
      <c r="D171" s="762" t="n"/>
      <c r="E171" s="762" t="n"/>
      <c r="F171" s="762" t="n"/>
      <c r="G171" s="762" t="n"/>
      <c r="H171" s="832" t="inlineStr">
        <is>
          <t>Reporting period (month)</t>
        </is>
      </c>
      <c r="I171" s="861" t="n"/>
      <c r="J171" s="861" t="n"/>
      <c r="K171" s="861" t="n"/>
      <c r="L171" s="861" t="n"/>
      <c r="M171" s="861" t="n"/>
      <c r="N171" s="861" t="n"/>
      <c r="O171" s="861" t="n"/>
      <c r="P171" s="861" t="n"/>
      <c r="Q171" s="861" t="n"/>
      <c r="R171" s="861" t="n"/>
      <c r="S171" s="861" t="n"/>
      <c r="T171" s="861" t="n"/>
    </row>
    <row r="172">
      <c r="B172" s="43">
        <f>COLUMN()-1</f>
        <v/>
      </c>
      <c r="C172" s="240">
        <f>COLUMN()-1</f>
        <v/>
      </c>
      <c r="D172" s="43">
        <f>COLUMN()-1</f>
        <v/>
      </c>
      <c r="E172" s="43">
        <f>COLUMN()-1</f>
        <v/>
      </c>
      <c r="F172" s="43">
        <f>COLUMN()-1</f>
        <v/>
      </c>
      <c r="G172" s="43">
        <f>COLUMN()-1</f>
        <v/>
      </c>
      <c r="H172" s="43">
        <f>COLUMN()-1</f>
        <v/>
      </c>
      <c r="I172" s="43">
        <f>COLUMN()-1</f>
        <v/>
      </c>
      <c r="J172" s="43" t="n"/>
      <c r="K172" s="43" t="n"/>
      <c r="L172" s="43">
        <f>COLUMN()-1</f>
        <v/>
      </c>
      <c r="M172" s="43">
        <f>COLUMN()-1</f>
        <v/>
      </c>
      <c r="N172" s="43">
        <f>COLUMN()-1</f>
        <v/>
      </c>
      <c r="O172" s="43">
        <f>COLUMN()-1</f>
        <v/>
      </c>
      <c r="P172" s="43">
        <f>COLUMN()-1</f>
        <v/>
      </c>
      <c r="Q172" s="43">
        <f>COLUMN()-1</f>
        <v/>
      </c>
      <c r="R172" s="43">
        <f>COLUMN()-1</f>
        <v/>
      </c>
      <c r="S172" s="43">
        <f>COLUMN()-1</f>
        <v/>
      </c>
      <c r="T172" s="43">
        <f>COLUMN()-1</f>
        <v/>
      </c>
    </row>
    <row r="173">
      <c r="B173" s="652" t="n"/>
      <c r="C173" s="653" t="inlineStr">
        <is>
          <t>Total</t>
        </is>
      </c>
      <c r="D173" s="654" t="n"/>
      <c r="E173" s="652" t="n"/>
      <c r="F173" s="652" t="n"/>
      <c r="G173" s="654" t="n"/>
      <c r="H173" s="654" t="n"/>
      <c r="I173" s="654">
        <f>SUM(I174:I188)</f>
        <v/>
      </c>
      <c r="J173" s="654">
        <f>SUM(J174:J188)</f>
        <v/>
      </c>
      <c r="K173" s="654">
        <f>SUM(K174:K188)</f>
        <v/>
      </c>
      <c r="L173" s="654">
        <f>SUM(L174:L188)</f>
        <v/>
      </c>
      <c r="M173" s="654">
        <f>SUM(M174:M188)</f>
        <v/>
      </c>
      <c r="N173" s="654">
        <f>SUM(N174:N188)</f>
        <v/>
      </c>
      <c r="O173" s="654">
        <f>SUM(O174:O188)</f>
        <v/>
      </c>
      <c r="P173" s="654">
        <f>SUM(P174:P188)</f>
        <v/>
      </c>
      <c r="Q173" s="654">
        <f>SUM(Q174:Q188)</f>
        <v/>
      </c>
      <c r="R173" s="654">
        <f>SUM(R174:R188)</f>
        <v/>
      </c>
      <c r="S173" s="654">
        <f>SUM(P173:R173)</f>
        <v/>
      </c>
      <c r="T173" s="654" t="n"/>
    </row>
    <row r="174" outlineLevel="1">
      <c r="B174" s="515" t="n"/>
      <c r="C174" s="659" t="n"/>
      <c r="D174" s="660" t="n"/>
      <c r="E174" s="669" t="n"/>
      <c r="F174" s="669" t="n"/>
      <c r="G174" s="662" t="n"/>
      <c r="H174" s="61" t="n"/>
      <c r="I174" s="663">
        <f>SUM(J174:K174)</f>
        <v/>
      </c>
      <c r="J174" s="61" t="n"/>
      <c r="K174" s="61" t="n"/>
      <c r="L174" s="61" t="n"/>
      <c r="M174" s="61" t="n"/>
      <c r="N174" s="61" t="n"/>
      <c r="O174" s="61" t="n"/>
      <c r="P174" s="61" t="n"/>
      <c r="Q174" s="663">
        <f>IFERROR(SUM(J174,+L174,-N174),"n/a")</f>
        <v/>
      </c>
      <c r="R174" s="663">
        <f>IFERROR(SUM(K174,M174,-O174),"n/a")</f>
        <v/>
      </c>
      <c r="S174" s="663">
        <f>IFERROR(SUM(P174:R174),"n/a")</f>
        <v/>
      </c>
      <c r="T174" s="61" t="n"/>
    </row>
    <row r="175" outlineLevel="1">
      <c r="B175" s="515" t="n"/>
      <c r="C175" s="659" t="n"/>
      <c r="D175" s="660" t="n"/>
      <c r="E175" s="669" t="n"/>
      <c r="F175" s="669" t="n"/>
      <c r="G175" s="662" t="n"/>
      <c r="H175" s="61" t="n"/>
      <c r="I175" s="663">
        <f>SUM(J175:K175)</f>
        <v/>
      </c>
      <c r="J175" s="61" t="n"/>
      <c r="K175" s="61" t="n"/>
      <c r="L175" s="61" t="n"/>
      <c r="M175" s="61" t="n"/>
      <c r="N175" s="61" t="n"/>
      <c r="O175" s="61" t="n"/>
      <c r="P175" s="61" t="n"/>
      <c r="Q175" s="663">
        <f>IFERROR(SUM(J175,+L175,-N175),"n/a")</f>
        <v/>
      </c>
      <c r="R175" s="663">
        <f>IFERROR(SUM(K175,M175,-O175),"n/a")</f>
        <v/>
      </c>
      <c r="S175" s="663">
        <f>IFERROR(SUM(P175:R175),"n/a")</f>
        <v/>
      </c>
      <c r="T175" s="61" t="n"/>
    </row>
    <row r="176" outlineLevel="1">
      <c r="B176" s="515" t="n"/>
      <c r="C176" s="659" t="n"/>
      <c r="D176" s="660" t="n"/>
      <c r="E176" s="669" t="n"/>
      <c r="F176" s="669" t="n"/>
      <c r="G176" s="662" t="n"/>
      <c r="H176" s="61" t="n"/>
      <c r="I176" s="663">
        <f>SUM(J176:K176)</f>
        <v/>
      </c>
      <c r="J176" s="61" t="n"/>
      <c r="K176" s="61" t="n"/>
      <c r="L176" s="61" t="n"/>
      <c r="M176" s="61" t="n"/>
      <c r="N176" s="61" t="n"/>
      <c r="O176" s="61" t="n"/>
      <c r="P176" s="61" t="n"/>
      <c r="Q176" s="663">
        <f>IFERROR(SUM(J176,+L176,-N176),"n/a")</f>
        <v/>
      </c>
      <c r="R176" s="663">
        <f>IFERROR(SUM(K176,M176,-O176),"n/a")</f>
        <v/>
      </c>
      <c r="S176" s="663">
        <f>IFERROR(SUM(P176:R176),"n/a")</f>
        <v/>
      </c>
      <c r="T176" s="61" t="n"/>
    </row>
    <row r="177" outlineLevel="1">
      <c r="B177" s="515" t="n"/>
      <c r="C177" s="659" t="n"/>
      <c r="D177" s="660" t="n"/>
      <c r="E177" s="669" t="n"/>
      <c r="F177" s="669" t="n"/>
      <c r="G177" s="662" t="n"/>
      <c r="H177" s="61" t="n"/>
      <c r="I177" s="663">
        <f>SUM(J177:K177)</f>
        <v/>
      </c>
      <c r="J177" s="61" t="n"/>
      <c r="K177" s="61" t="n"/>
      <c r="L177" s="61" t="n"/>
      <c r="M177" s="61" t="n"/>
      <c r="N177" s="61" t="n"/>
      <c r="O177" s="61" t="n"/>
      <c r="P177" s="61" t="n"/>
      <c r="Q177" s="663">
        <f>IFERROR(SUM(J177,+L177,-N177),"n/a")</f>
        <v/>
      </c>
      <c r="R177" s="663">
        <f>IFERROR(SUM(K177,M177,-O177),"n/a")</f>
        <v/>
      </c>
      <c r="S177" s="663">
        <f>IFERROR(SUM(P177:R177),"n/a")</f>
        <v/>
      </c>
      <c r="T177" s="61" t="n"/>
    </row>
    <row r="178" outlineLevel="1">
      <c r="B178" s="515" t="n"/>
      <c r="C178" s="659" t="n"/>
      <c r="D178" s="660" t="n"/>
      <c r="E178" s="669" t="n"/>
      <c r="F178" s="669" t="n"/>
      <c r="G178" s="662" t="n"/>
      <c r="H178" s="61" t="n"/>
      <c r="I178" s="663">
        <f>SUM(J178:K178)</f>
        <v/>
      </c>
      <c r="J178" s="61" t="n"/>
      <c r="K178" s="61" t="n"/>
      <c r="L178" s="61" t="n"/>
      <c r="M178" s="61" t="n"/>
      <c r="N178" s="61" t="n"/>
      <c r="O178" s="61" t="n"/>
      <c r="P178" s="61" t="n"/>
      <c r="Q178" s="663">
        <f>IFERROR(SUM(J178,+L178,-N178),"n/a")</f>
        <v/>
      </c>
      <c r="R178" s="663">
        <f>IFERROR(SUM(K178,M178,-O178),"n/a")</f>
        <v/>
      </c>
      <c r="S178" s="663">
        <f>IFERROR(SUM(P178:R178),"n/a")</f>
        <v/>
      </c>
      <c r="T178" s="61" t="n"/>
    </row>
    <row r="179" outlineLevel="1">
      <c r="B179" s="515" t="n"/>
      <c r="C179" s="659" t="n"/>
      <c r="D179" s="660" t="n"/>
      <c r="E179" s="669" t="n"/>
      <c r="F179" s="669" t="n"/>
      <c r="G179" s="662" t="n"/>
      <c r="H179" s="61" t="n"/>
      <c r="I179" s="663">
        <f>SUM(J179:K179)</f>
        <v/>
      </c>
      <c r="J179" s="61" t="n"/>
      <c r="K179" s="61" t="n"/>
      <c r="L179" s="61" t="n"/>
      <c r="M179" s="61" t="n"/>
      <c r="N179" s="61" t="n"/>
      <c r="O179" s="61" t="n"/>
      <c r="P179" s="61" t="n"/>
      <c r="Q179" s="663">
        <f>IFERROR(SUM(J179,+L179,-N179),"n/a")</f>
        <v/>
      </c>
      <c r="R179" s="663">
        <f>IFERROR(SUM(K179,M179,-O179),"n/a")</f>
        <v/>
      </c>
      <c r="S179" s="663">
        <f>IFERROR(SUM(P179:R179),"n/a")</f>
        <v/>
      </c>
      <c r="T179" s="61" t="n"/>
    </row>
    <row r="180" outlineLevel="1">
      <c r="B180" s="515" t="n"/>
      <c r="C180" s="659" t="n"/>
      <c r="D180" s="660" t="n"/>
      <c r="E180" s="669" t="n"/>
      <c r="F180" s="669" t="n"/>
      <c r="G180" s="662" t="n"/>
      <c r="H180" s="61" t="n"/>
      <c r="I180" s="663">
        <f>SUM(J180:K180)</f>
        <v/>
      </c>
      <c r="J180" s="61" t="n"/>
      <c r="K180" s="61" t="n"/>
      <c r="L180" s="61" t="n"/>
      <c r="M180" s="61" t="n"/>
      <c r="N180" s="61" t="n"/>
      <c r="O180" s="61" t="n"/>
      <c r="P180" s="61" t="n"/>
      <c r="Q180" s="663">
        <f>IFERROR(SUM(J180,+L180,-N180),"n/a")</f>
        <v/>
      </c>
      <c r="R180" s="663">
        <f>IFERROR(SUM(K180,M180,-O180),"n/a")</f>
        <v/>
      </c>
      <c r="S180" s="663">
        <f>IFERROR(SUM(P180:R180),"n/a")</f>
        <v/>
      </c>
      <c r="T180" s="61" t="n"/>
    </row>
    <row r="181" outlineLevel="1">
      <c r="B181" s="515" t="n"/>
      <c r="C181" s="659" t="n"/>
      <c r="D181" s="660" t="n"/>
      <c r="E181" s="669" t="n"/>
      <c r="F181" s="669" t="n"/>
      <c r="G181" s="662" t="n"/>
      <c r="H181" s="61" t="n"/>
      <c r="I181" s="663">
        <f>SUM(J181:K181)</f>
        <v/>
      </c>
      <c r="J181" s="61" t="n"/>
      <c r="K181" s="61" t="n"/>
      <c r="L181" s="61" t="n"/>
      <c r="M181" s="61" t="n"/>
      <c r="N181" s="61" t="n"/>
      <c r="O181" s="61" t="n"/>
      <c r="P181" s="61" t="n"/>
      <c r="Q181" s="663">
        <f>IFERROR(SUM(J181,+L181,-N181),"n/a")</f>
        <v/>
      </c>
      <c r="R181" s="663">
        <f>IFERROR(SUM(K181,M181,-O181),"n/a")</f>
        <v/>
      </c>
      <c r="S181" s="663">
        <f>IFERROR(SUM(P181:R181),"n/a")</f>
        <v/>
      </c>
      <c r="T181" s="61" t="n"/>
    </row>
    <row r="182" outlineLevel="1">
      <c r="B182" s="515" t="n"/>
      <c r="C182" s="659" t="n"/>
      <c r="D182" s="660" t="n"/>
      <c r="E182" s="669" t="n"/>
      <c r="F182" s="669" t="n"/>
      <c r="G182" s="662" t="n"/>
      <c r="H182" s="61" t="n"/>
      <c r="I182" s="663">
        <f>SUM(J182:K182)</f>
        <v/>
      </c>
      <c r="J182" s="61" t="n"/>
      <c r="K182" s="61" t="n"/>
      <c r="L182" s="61" t="n"/>
      <c r="M182" s="61" t="n"/>
      <c r="N182" s="61" t="n"/>
      <c r="O182" s="61" t="n"/>
      <c r="P182" s="61" t="n"/>
      <c r="Q182" s="663">
        <f>IFERROR(SUM(J182,+L182,-N182),"n/a")</f>
        <v/>
      </c>
      <c r="R182" s="663">
        <f>IFERROR(SUM(K182,M182,-O182),"n/a")</f>
        <v/>
      </c>
      <c r="S182" s="663">
        <f>IFERROR(SUM(P182:R182),"n/a")</f>
        <v/>
      </c>
      <c r="T182" s="61" t="n"/>
    </row>
    <row r="183" outlineLevel="1">
      <c r="B183" s="515" t="n"/>
      <c r="C183" s="659" t="n"/>
      <c r="D183" s="660" t="n"/>
      <c r="E183" s="669" t="n"/>
      <c r="F183" s="669" t="n"/>
      <c r="G183" s="662" t="n"/>
      <c r="H183" s="61" t="n"/>
      <c r="I183" s="663">
        <f>SUM(J183:K183)</f>
        <v/>
      </c>
      <c r="J183" s="61" t="n"/>
      <c r="K183" s="61" t="n"/>
      <c r="L183" s="61" t="n"/>
      <c r="M183" s="61" t="n"/>
      <c r="N183" s="61" t="n"/>
      <c r="O183" s="61" t="n"/>
      <c r="P183" s="61" t="n"/>
      <c r="Q183" s="663">
        <f>IFERROR(SUM(J183,+L183,-N183),"n/a")</f>
        <v/>
      </c>
      <c r="R183" s="663">
        <f>IFERROR(SUM(K183,M183,-O183),"n/a")</f>
        <v/>
      </c>
      <c r="S183" s="663">
        <f>IFERROR(SUM(P183:R183),"n/a")</f>
        <v/>
      </c>
      <c r="T183" s="61" t="n"/>
    </row>
    <row r="184" outlineLevel="1">
      <c r="B184" s="515" t="n"/>
      <c r="C184" s="659" t="n"/>
      <c r="D184" s="660" t="n"/>
      <c r="E184" s="669" t="n"/>
      <c r="F184" s="669" t="n"/>
      <c r="G184" s="662" t="n"/>
      <c r="H184" s="61" t="n"/>
      <c r="I184" s="663">
        <f>SUM(J184:K184)</f>
        <v/>
      </c>
      <c r="J184" s="61" t="n"/>
      <c r="K184" s="61" t="n"/>
      <c r="L184" s="61" t="n"/>
      <c r="M184" s="61" t="n"/>
      <c r="N184" s="61" t="n"/>
      <c r="O184" s="61" t="n"/>
      <c r="P184" s="61" t="n"/>
      <c r="Q184" s="663">
        <f>IFERROR(SUM(J184,+L184,-N184),"n/a")</f>
        <v/>
      </c>
      <c r="R184" s="663">
        <f>IFERROR(SUM(K184,M184,-O184),"n/a")</f>
        <v/>
      </c>
      <c r="S184" s="663">
        <f>IFERROR(SUM(P184:R184),"n/a")</f>
        <v/>
      </c>
      <c r="T184" s="61" t="n"/>
    </row>
    <row r="185" outlineLevel="1">
      <c r="B185" s="515" t="n"/>
      <c r="C185" s="659" t="n"/>
      <c r="D185" s="660" t="n"/>
      <c r="E185" s="669" t="n"/>
      <c r="F185" s="669" t="n"/>
      <c r="G185" s="662" t="n"/>
      <c r="H185" s="61" t="n"/>
      <c r="I185" s="663">
        <f>SUM(J185:K185)</f>
        <v/>
      </c>
      <c r="J185" s="61" t="n"/>
      <c r="K185" s="61" t="n"/>
      <c r="L185" s="61" t="n"/>
      <c r="M185" s="61" t="n"/>
      <c r="N185" s="61" t="n"/>
      <c r="O185" s="61" t="n"/>
      <c r="P185" s="61" t="n"/>
      <c r="Q185" s="663">
        <f>IFERROR(SUM(J185,+L185,-N185),"n/a")</f>
        <v/>
      </c>
      <c r="R185" s="663">
        <f>IFERROR(SUM(K185,M185,-O185),"n/a")</f>
        <v/>
      </c>
      <c r="S185" s="663">
        <f>IFERROR(SUM(P185:R185),"n/a")</f>
        <v/>
      </c>
      <c r="T185" s="61" t="n"/>
    </row>
    <row r="186" outlineLevel="1">
      <c r="B186" s="515" t="n"/>
      <c r="C186" s="659" t="n"/>
      <c r="D186" s="660" t="n"/>
      <c r="E186" s="669" t="n"/>
      <c r="F186" s="669" t="n"/>
      <c r="G186" s="662" t="n"/>
      <c r="H186" s="61" t="n"/>
      <c r="I186" s="663">
        <f>SUM(J186:K186)</f>
        <v/>
      </c>
      <c r="J186" s="61" t="n"/>
      <c r="K186" s="61" t="n"/>
      <c r="L186" s="61" t="n"/>
      <c r="M186" s="61" t="n"/>
      <c r="N186" s="61" t="n"/>
      <c r="O186" s="61" t="n"/>
      <c r="P186" s="61" t="n"/>
      <c r="Q186" s="663">
        <f>IFERROR(SUM(J186,+L186,-N186),"n/a")</f>
        <v/>
      </c>
      <c r="R186" s="663">
        <f>IFERROR(SUM(K186,M186,-O186),"n/a")</f>
        <v/>
      </c>
      <c r="S186" s="663">
        <f>IFERROR(SUM(P186:R186),"n/a")</f>
        <v/>
      </c>
      <c r="T186" s="61" t="n"/>
    </row>
    <row r="187" outlineLevel="1">
      <c r="B187" s="515" t="n"/>
      <c r="C187" s="659" t="n"/>
      <c r="D187" s="660" t="n"/>
      <c r="E187" s="669" t="n"/>
      <c r="F187" s="669" t="n"/>
      <c r="G187" s="662" t="n"/>
      <c r="H187" s="61" t="n"/>
      <c r="I187" s="663">
        <f>SUM(J187:K187)</f>
        <v/>
      </c>
      <c r="J187" s="61" t="n"/>
      <c r="K187" s="61" t="n"/>
      <c r="L187" s="61" t="n"/>
      <c r="M187" s="61" t="n"/>
      <c r="N187" s="61" t="n"/>
      <c r="O187" s="61" t="n"/>
      <c r="P187" s="61" t="n"/>
      <c r="Q187" s="663">
        <f>IFERROR(SUM(J187,+L187,-N187),"n/a")</f>
        <v/>
      </c>
      <c r="R187" s="663">
        <f>IFERROR(SUM(K187,M187,-O187),"n/a")</f>
        <v/>
      </c>
      <c r="S187" s="663">
        <f>IFERROR(SUM(P187:R187),"n/a")</f>
        <v/>
      </c>
      <c r="T187" s="61" t="n"/>
    </row>
    <row r="188" outlineLevel="1">
      <c r="B188" s="515" t="n"/>
      <c r="C188" s="659" t="n"/>
      <c r="D188" s="660" t="n"/>
      <c r="E188" s="669" t="n"/>
      <c r="F188" s="669" t="n"/>
      <c r="G188" s="662" t="n"/>
      <c r="H188" s="61" t="n"/>
      <c r="I188" s="663">
        <f>SUM(J188:K188)</f>
        <v/>
      </c>
      <c r="J188" s="61" t="n"/>
      <c r="K188" s="61" t="n"/>
      <c r="L188" s="61" t="n"/>
      <c r="M188" s="61" t="n"/>
      <c r="N188" s="61" t="n"/>
      <c r="O188" s="61" t="n"/>
      <c r="P188" s="61" t="n"/>
      <c r="Q188" s="663">
        <f>IFERROR(SUM(J188,+L188,-N188),"n/a")</f>
        <v/>
      </c>
      <c r="R188" s="663">
        <f>IFERROR(SUM(K188,M188,-O188),"n/a")</f>
        <v/>
      </c>
      <c r="S188" s="663">
        <f>IFERROR(SUM(P188:R188),"n/a")</f>
        <v/>
      </c>
      <c r="T188" s="61" t="n"/>
    </row>
  </sheetData>
  <mergeCells count="9">
    <mergeCell ref="D8:E8"/>
    <mergeCell ref="D169:F169"/>
    <mergeCell ref="H169:T169"/>
    <mergeCell ref="D168:F168"/>
    <mergeCell ref="H17:T17"/>
    <mergeCell ref="H171:T171"/>
    <mergeCell ref="D9:E9"/>
    <mergeCell ref="D15:F15"/>
    <mergeCell ref="H15:T15"/>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O35"/>
  <sheetViews>
    <sheetView workbookViewId="0">
      <selection activeCell="A1" sqref="A1:XFD1048576"/>
    </sheetView>
  </sheetViews>
  <sheetFormatPr baseColWidth="8" defaultColWidth="8.5703125" defaultRowHeight="12.75"/>
  <cols>
    <col width="6.42578125" customWidth="1" style="30" min="1" max="1"/>
    <col width="4.42578125" customWidth="1" style="670" min="2" max="2"/>
    <col width="65.5703125" customWidth="1" style="670" min="3" max="3"/>
    <col width="27.5703125" bestFit="1" customWidth="1" style="670" min="4" max="4"/>
    <col width="18.42578125" customWidth="1" style="670" min="5" max="6"/>
    <col width="27.42578125" customWidth="1" style="670" min="7" max="7"/>
    <col width="25.42578125" customWidth="1" style="670" min="8" max="8"/>
    <col width="18.42578125" customWidth="1" style="670" min="9" max="9"/>
    <col width="21.5703125" customWidth="1" style="670" min="10" max="10"/>
    <col width="23.42578125" customWidth="1" style="670" min="11" max="11"/>
    <col width="21.42578125" customWidth="1" style="670" min="12" max="13"/>
    <col width="31" customWidth="1" style="670" min="14" max="14"/>
    <col width="18.42578125" customWidth="1" style="670" min="15" max="15"/>
    <col width="8.5703125" customWidth="1" style="30" min="16" max="16384"/>
  </cols>
  <sheetData>
    <row r="1">
      <c r="F1" s="671" t="n"/>
      <c r="G1" s="671" t="n"/>
      <c r="H1" s="671" t="n"/>
      <c r="I1" s="30" t="n"/>
      <c r="J1" s="30" t="n"/>
      <c r="K1" s="30" t="n"/>
      <c r="L1" s="407" t="n"/>
      <c r="M1" s="30" t="n"/>
      <c r="N1" s="30" t="n"/>
    </row>
    <row r="2"/>
    <row r="3"/>
    <row r="4"/>
    <row r="5"/>
    <row r="6"/>
    <row r="7"/>
    <row r="8" ht="15.75" customHeight="1">
      <c r="C8" s="639" t="inlineStr">
        <is>
          <t>Entity Name</t>
        </is>
      </c>
      <c r="D8" s="833">
        <f>IF([1]Segment_map!$D$4=0,"THE COMPANY HAS NOT BEEN PICKED",[1]Segment_map!$D$4)</f>
        <v/>
      </c>
    </row>
    <row r="9" ht="15.75" customHeight="1">
      <c r="C9" s="362" t="inlineStr">
        <is>
          <t>Currency</t>
        </is>
      </c>
      <c r="D9" s="919">
        <f>IF([1]Segment_map!$J$4="","CURRENCY HAS NOT BEEN PICKED",[1]Segment_map!$J$4)</f>
        <v/>
      </c>
      <c r="E9" s="872" t="n"/>
    </row>
    <row r="10">
      <c r="C10" s="597" t="n"/>
      <c r="D10" s="597" t="n"/>
      <c r="E10" s="597" t="n"/>
    </row>
    <row r="11">
      <c r="C11" s="597" t="n"/>
      <c r="D11" s="30" t="n"/>
      <c r="E11" s="30" t="n"/>
      <c r="F11" s="30" t="n"/>
      <c r="G11" s="30" t="n"/>
    </row>
    <row r="12">
      <c r="C12" s="597" t="n"/>
      <c r="D12" s="30" t="n"/>
      <c r="E12" s="30" t="n"/>
      <c r="F12" s="30" t="n"/>
      <c r="G12" s="30" t="n"/>
    </row>
    <row r="13">
      <c r="C13" s="597" t="n"/>
      <c r="D13" s="30" t="n"/>
      <c r="E13" s="30" t="n"/>
      <c r="F13" s="30" t="n"/>
      <c r="G13" s="30" t="n"/>
    </row>
    <row r="14">
      <c r="C14" s="597" t="n"/>
      <c r="D14" s="30" t="n"/>
      <c r="E14" s="843" t="n"/>
    </row>
    <row r="15">
      <c r="C15" s="30" t="n"/>
      <c r="D15" s="30" t="n"/>
      <c r="E15" s="844">
        <f>"! Please, enter amounts in thousands " &amp;$D$9</f>
        <v/>
      </c>
      <c r="F15" s="865" t="n"/>
      <c r="G15" s="865" t="n"/>
    </row>
    <row r="16" ht="14.25" customHeight="1">
      <c r="C16" s="30" t="n"/>
      <c r="D16" s="30" t="n"/>
      <c r="E16" s="792" t="inlineStr">
        <is>
          <t>Month</t>
        </is>
      </c>
      <c r="F16" s="861" t="n"/>
      <c r="G16" s="861" t="n"/>
      <c r="H16" s="861" t="n"/>
      <c r="I16" s="861" t="n"/>
      <c r="J16" s="861" t="n"/>
      <c r="K16" s="861" t="n"/>
      <c r="L16" s="861" t="n"/>
      <c r="M16" s="861" t="n"/>
      <c r="N16" s="861" t="n"/>
    </row>
    <row r="17" ht="15.75" customHeight="1">
      <c r="B17" s="759" t="inlineStr">
        <is>
          <t>#</t>
        </is>
      </c>
      <c r="C17" s="759" t="inlineStr">
        <is>
          <t>Customer</t>
        </is>
      </c>
      <c r="D17" s="759" t="inlineStr">
        <is>
          <t>Type of customer</t>
        </is>
      </c>
      <c r="E17" s="759" t="inlineStr">
        <is>
          <t>Trade receivables</t>
        </is>
      </c>
      <c r="F17" s="861" t="n"/>
      <c r="G17" s="861" t="n"/>
      <c r="H17" s="861" t="n"/>
      <c r="I17" s="861" t="n"/>
      <c r="J17" s="861" t="n"/>
      <c r="K17" s="861" t="n"/>
      <c r="L17" s="861" t="n"/>
      <c r="M17" s="862" t="n"/>
      <c r="N17" s="759" t="n"/>
      <c r="O17" s="30" t="n"/>
    </row>
    <row r="18" ht="126" customHeight="1">
      <c r="B18" s="864" t="n"/>
      <c r="C18" s="864" t="n"/>
      <c r="D18" s="864" t="n"/>
      <c r="E18" s="759" t="inlineStr">
        <is>
          <t>Balance for the beginning of the current year</t>
        </is>
      </c>
      <c r="F18" s="672" t="inlineStr">
        <is>
          <t>Balance for the beginning of the reporting period</t>
        </is>
      </c>
      <c r="G18" s="673" t="inlineStr">
        <is>
          <t>Products (services, works) supplied to Customer during the reporting period</t>
        </is>
      </c>
      <c r="H18" s="672" t="inlineStr">
        <is>
          <t>Payments Received from the Customer during the reporting period</t>
        </is>
      </c>
      <c r="I18" s="758" t="n"/>
      <c r="J18" s="758" t="inlineStr">
        <is>
          <t>Trade receivables overdue 30+ days for the beginning of the reporting period</t>
        </is>
      </c>
      <c r="K18" s="758" t="inlineStr">
        <is>
          <t>Trade receivables overdue 30+ days for the end of the reporting period</t>
        </is>
      </c>
      <c r="L18" s="758" t="inlineStr">
        <is>
          <t>Change in balance from the beginning of the reporting period</t>
        </is>
      </c>
      <c r="M18" s="759" t="inlineStr">
        <is>
          <t>Change in balance from the beginning of the current year</t>
        </is>
      </c>
      <c r="N18" s="864" t="n"/>
      <c r="O18" s="30" t="n"/>
    </row>
    <row r="19" ht="15.75" customHeight="1">
      <c r="B19" s="759" t="n"/>
      <c r="C19" s="759" t="n"/>
      <c r="D19" s="824" t="n"/>
      <c r="E19" s="759" t="n"/>
      <c r="F19" s="758" t="inlineStr">
        <is>
          <t>Reporting period (month)</t>
        </is>
      </c>
      <c r="G19" s="861" t="n"/>
      <c r="H19" s="861" t="n"/>
      <c r="I19" s="861" t="n"/>
      <c r="J19" s="861" t="n"/>
      <c r="K19" s="861" t="n"/>
      <c r="L19" s="862" t="n"/>
      <c r="M19" s="759" t="n"/>
      <c r="N19" s="759" t="n"/>
      <c r="O19" s="30" t="n"/>
    </row>
    <row r="20" customFormat="1" s="680">
      <c r="A20" s="680" t="n"/>
      <c r="B20" s="677" t="n">
        <v>1</v>
      </c>
      <c r="C20" s="678" t="inlineStr">
        <is>
          <t>2</t>
        </is>
      </c>
      <c r="D20" s="679" t="inlineStr">
        <is>
          <t>3</t>
        </is>
      </c>
      <c r="E20" s="677" t="n">
        <v>4</v>
      </c>
      <c r="F20" s="679" t="inlineStr">
        <is>
          <t>5</t>
        </is>
      </c>
      <c r="G20" s="679" t="inlineStr">
        <is>
          <t>6</t>
        </is>
      </c>
      <c r="H20" s="679" t="inlineStr">
        <is>
          <t>7</t>
        </is>
      </c>
      <c r="I20" s="677" t="n">
        <v>8</v>
      </c>
      <c r="J20" s="677" t="n">
        <v>9</v>
      </c>
      <c r="K20" s="677" t="n">
        <v>9</v>
      </c>
      <c r="L20" s="677" t="n">
        <v>10</v>
      </c>
      <c r="M20" s="677" t="n">
        <v>11</v>
      </c>
      <c r="N20" s="679" t="inlineStr">
        <is>
          <t>12</t>
        </is>
      </c>
    </row>
    <row r="21" customFormat="1" s="685">
      <c r="A21" s="685" t="n"/>
      <c r="B21" s="682" t="n"/>
      <c r="C21" s="683" t="inlineStr">
        <is>
          <t>Total</t>
        </is>
      </c>
      <c r="D21" s="683" t="n"/>
      <c r="E21" s="682">
        <f>SUM(E24:E35)</f>
        <v/>
      </c>
      <c r="F21" s="682">
        <f>SUM(F24:F35)</f>
        <v/>
      </c>
      <c r="G21" s="682">
        <f>SUM(G24:G35)</f>
        <v/>
      </c>
      <c r="H21" s="682">
        <f>SUM(H24:H35)</f>
        <v/>
      </c>
      <c r="I21" s="682">
        <f>SUM(I24:I35)</f>
        <v/>
      </c>
      <c r="J21" s="682">
        <f>SUM(J24:J35)</f>
        <v/>
      </c>
      <c r="K21" s="682">
        <f>SUM(K24:K35)</f>
        <v/>
      </c>
      <c r="L21" s="682">
        <f>I21-F21</f>
        <v/>
      </c>
      <c r="M21" s="682">
        <f>I21-E21</f>
        <v/>
      </c>
      <c r="N21" s="684" t="n"/>
    </row>
    <row r="22" customFormat="1" s="685">
      <c r="A22" s="685" t="n"/>
      <c r="B22" s="682" t="n"/>
      <c r="C22" s="686" t="inlineStr">
        <is>
          <t>Total of third-party customers</t>
        </is>
      </c>
      <c r="D22" s="683" t="inlineStr">
        <is>
          <t>Third-party</t>
        </is>
      </c>
      <c r="E22" s="682">
        <f>SUMIF($D$24:$D$35,$D22,E$24:E$35)</f>
        <v/>
      </c>
      <c r="F22" s="682">
        <f>SUMIF($D$24:$D$35,$D22,F$24:F$35)</f>
        <v/>
      </c>
      <c r="G22" s="682">
        <f>SUMIF($D$24:$D$35,$D22,G$24:G$35)</f>
        <v/>
      </c>
      <c r="H22" s="682">
        <f>SUMIF($D$24:$D$35,$D22,H$24:H$35)</f>
        <v/>
      </c>
      <c r="I22" s="682">
        <f>SUMIF($D$24:$D$35,$D22,I$24:I$35)</f>
        <v/>
      </c>
      <c r="J22" s="682">
        <f>SUMIF($D$24:$D$35,$D22,J$24:J$35)</f>
        <v/>
      </c>
      <c r="K22" s="682">
        <f>SUMIF($D$24:$D$35,$D22,K$24:K$35)</f>
        <v/>
      </c>
      <c r="L22" s="682">
        <f>I22-F22</f>
        <v/>
      </c>
      <c r="M22" s="682">
        <f>I22-E22</f>
        <v/>
      </c>
      <c r="N22" s="684" t="n"/>
    </row>
    <row r="23" ht="25.5" customFormat="1" customHeight="1" s="685">
      <c r="A23" s="685" t="n"/>
      <c r="B23" s="682" t="n"/>
      <c r="C23" s="683" t="inlineStr">
        <is>
          <t>Total of inter-company customers</t>
        </is>
      </c>
      <c r="D23" s="686" t="inlineStr">
        <is>
          <t>Inter-company</t>
        </is>
      </c>
      <c r="E23" s="682">
        <f>SUMIF($D$24:$D$35,$D23,E$24:E$35)</f>
        <v/>
      </c>
      <c r="F23" s="682">
        <f>SUMIF($D$24:$D$35,$D23,F$24:F$35)</f>
        <v/>
      </c>
      <c r="G23" s="682">
        <f>SUMIF($D$24:$D$35,$D23,G$24:G$35)</f>
        <v/>
      </c>
      <c r="H23" s="682">
        <f>SUMIF($D$24:$D$35,$D23,H$24:H$35)</f>
        <v/>
      </c>
      <c r="I23" s="682">
        <f>SUMIF($D$24:$D$35,$D23,I$24:I$35)</f>
        <v/>
      </c>
      <c r="J23" s="682">
        <f>SUMIF($D$24:$D$35,$D23,J$24:J$35)</f>
        <v/>
      </c>
      <c r="K23" s="682">
        <f>SUMIF($D$24:$D$35,$D23,K$24:K$35)</f>
        <v/>
      </c>
      <c r="L23" s="682">
        <f>I23-F23</f>
        <v/>
      </c>
      <c r="M23" s="682">
        <f>I23-E23</f>
        <v/>
      </c>
      <c r="N23" s="684" t="n"/>
    </row>
    <row r="24" customFormat="1" s="680">
      <c r="A24" s="680" t="n"/>
      <c r="B24" s="687">
        <f>B21+1</f>
        <v/>
      </c>
      <c r="C24" s="688" t="inlineStr">
        <is>
          <t>Petrolink LTD</t>
        </is>
      </c>
      <c r="D24" s="689" t="inlineStr">
        <is>
          <t>Third-party</t>
        </is>
      </c>
      <c r="E24" s="689" t="n">
        <v>0</v>
      </c>
      <c r="F24" s="690" t="n">
        <v>116.9531095664306</v>
      </c>
      <c r="G24" s="690" t="n">
        <v>1288.068056071986</v>
      </c>
      <c r="H24" s="690" t="n">
        <v>1260.132884658288</v>
      </c>
      <c r="I24" s="682">
        <f>IFERROR(SUM(F24,+G24,-H24),"n/a")</f>
        <v/>
      </c>
      <c r="J24" s="690" t="n"/>
      <c r="K24" s="690" t="n"/>
      <c r="L24" s="682">
        <f>IFERROR(SUM(I24,-F24),"n/a")</f>
        <v/>
      </c>
      <c r="M24" s="682">
        <f>IFERROR(SUM(I24,-E24),"n/a")</f>
        <v/>
      </c>
      <c r="N24" s="684" t="n"/>
    </row>
    <row r="25" customFormat="1" s="680">
      <c r="A25" s="680" t="n"/>
      <c r="B25" s="687">
        <f>B24+1</f>
        <v/>
      </c>
      <c r="C25" s="688" t="inlineStr">
        <is>
          <t>Residential Retail Customers</t>
        </is>
      </c>
      <c r="D25" s="689" t="inlineStr">
        <is>
          <t>Third-party</t>
        </is>
      </c>
      <c r="E25" s="689" t="n">
        <v>17793.23893042191</v>
      </c>
      <c r="F25" s="690" t="n">
        <v>10083.93097423422</v>
      </c>
      <c r="G25" s="690" t="n">
        <v>20439.10358816093</v>
      </c>
      <c r="H25" s="690" t="n">
        <v>12310.61771398825</v>
      </c>
      <c r="I25" s="682">
        <f>IFERROR(SUM(F25,+G25,-H25),"n/a")</f>
        <v/>
      </c>
      <c r="J25" s="690" t="n"/>
      <c r="K25" s="690" t="n"/>
      <c r="L25" s="682">
        <f>IFERROR(SUM(I25,-F25),"n/a")</f>
        <v/>
      </c>
      <c r="M25" s="682">
        <f>IFERROR(SUM(I25,-E25),"n/a")</f>
        <v/>
      </c>
      <c r="N25" s="684" t="n"/>
    </row>
    <row r="26" customFormat="1" s="680">
      <c r="A26" s="680" t="n"/>
      <c r="B26" s="687">
        <f>B25+1</f>
        <v/>
      </c>
      <c r="C26" s="688" t="inlineStr">
        <is>
          <t>Non-Residential Retail Customers</t>
        </is>
      </c>
      <c r="D26" s="689" t="inlineStr">
        <is>
          <t>Third-party</t>
        </is>
      </c>
      <c r="E26" s="689" t="n">
        <v>14616.38274611399</v>
      </c>
      <c r="F26" s="690" t="n">
        <v>8794.968133731432</v>
      </c>
      <c r="G26" s="690" t="n">
        <v>10435.88419721871</v>
      </c>
      <c r="H26" s="690" t="n">
        <v>7493.770789023573</v>
      </c>
      <c r="I26" s="682">
        <f>IFERROR(SUM(F26,+G26,-H26),"n/a")</f>
        <v/>
      </c>
      <c r="J26" s="690" t="n"/>
      <c r="K26" s="690" t="n"/>
      <c r="L26" s="682">
        <f>IFERROR(SUM(I26,-F26),"n/a")</f>
        <v/>
      </c>
      <c r="M26" s="682">
        <f>IFERROR(SUM(I26,-E26),"n/a")</f>
        <v/>
      </c>
      <c r="N26" s="684" t="n"/>
    </row>
    <row r="27" customFormat="1" s="680">
      <c r="A27" s="680" t="n"/>
      <c r="B27" s="687">
        <f>B26+1</f>
        <v/>
      </c>
      <c r="C27" s="688" t="inlineStr">
        <is>
          <t>Tbilisi Energy LLC (Kaztransgaz Tbilisi LLC)</t>
        </is>
      </c>
      <c r="D27" s="689" t="inlineStr">
        <is>
          <t>Third-party</t>
        </is>
      </c>
      <c r="E27" s="689" t="n">
        <v>6971.83847150259</v>
      </c>
      <c r="F27" s="690" t="n">
        <v>4393.458859523019</v>
      </c>
      <c r="G27" s="690" t="n">
        <v>5230.210612032423</v>
      </c>
      <c r="H27" s="690" t="n">
        <v>3381.220848516398</v>
      </c>
      <c r="I27" s="682">
        <f>IFERROR(SUM(F27,+G27,-H27),"n/a")</f>
        <v/>
      </c>
      <c r="J27" s="690" t="n"/>
      <c r="K27" s="690" t="n"/>
      <c r="L27" s="682">
        <f>IFERROR(SUM(I27,-F27),"n/a")</f>
        <v/>
      </c>
      <c r="M27" s="682">
        <f>IFERROR(SUM(I27,-E27),"n/a")</f>
        <v/>
      </c>
      <c r="N27" s="684" t="n"/>
    </row>
    <row r="28" customFormat="1" s="680">
      <c r="A28" s="680" t="n"/>
      <c r="B28" s="687">
        <f>B27+1</f>
        <v/>
      </c>
      <c r="C28" s="688" t="inlineStr">
        <is>
          <t>JSC Rustavi Nitrogen</t>
        </is>
      </c>
      <c r="D28" s="689" t="inlineStr">
        <is>
          <t>Third-party</t>
        </is>
      </c>
      <c r="E28" s="689" t="n">
        <v>4325.740595854923</v>
      </c>
      <c r="F28" s="690" t="n">
        <v>1575.754653691621</v>
      </c>
      <c r="G28" s="690" t="n">
        <v>5730.483695248011</v>
      </c>
      <c r="H28" s="690" t="n">
        <v>4704.051505912099</v>
      </c>
      <c r="I28" s="682">
        <f>IFERROR(SUM(F28,+G28,-H28),"n/a")</f>
        <v/>
      </c>
      <c r="J28" s="690" t="n"/>
      <c r="K28" s="690" t="n"/>
      <c r="L28" s="682">
        <f>IFERROR(SUM(I28,-F28),"n/a")</f>
        <v/>
      </c>
      <c r="M28" s="682">
        <f>IFERROR(SUM(I28,-E28),"n/a")</f>
        <v/>
      </c>
      <c r="N28" s="684" t="n"/>
    </row>
    <row r="29" customFormat="1" s="680">
      <c r="A29" s="680" t="n"/>
      <c r="B29" s="687">
        <f>B28+1</f>
        <v/>
      </c>
      <c r="C29" s="688" t="inlineStr">
        <is>
          <t>Receivable from addition of new customers</t>
        </is>
      </c>
      <c r="D29" s="689" t="inlineStr">
        <is>
          <t>Third-party</t>
        </is>
      </c>
      <c r="E29" s="689" t="n">
        <v>2334.512316802369</v>
      </c>
      <c r="F29" s="690" t="n">
        <v>2895.901301190608</v>
      </c>
      <c r="G29" s="690" t="n">
        <v>1536.791050048338</v>
      </c>
      <c r="H29" s="690" t="n">
        <v>1545.205525395999</v>
      </c>
      <c r="I29" s="682">
        <f>IFERROR(SUM(F29,+G29,-H29),"n/a")</f>
        <v/>
      </c>
      <c r="J29" s="690" t="n"/>
      <c r="K29" s="690" t="n"/>
      <c r="L29" s="682">
        <f>IFERROR(SUM(I29,-F29),"n/a")</f>
        <v/>
      </c>
      <c r="M29" s="682">
        <f>IFERROR(SUM(I29,-E29),"n/a")</f>
        <v/>
      </c>
      <c r="N29" s="684" t="n"/>
    </row>
    <row r="30" customFormat="1" s="680">
      <c r="A30" s="680" t="n"/>
      <c r="B30" s="687">
        <f>B29+1</f>
        <v/>
      </c>
      <c r="C30" s="688" t="inlineStr">
        <is>
          <t>Inter Gas Ltd</t>
        </is>
      </c>
      <c r="D30" s="689" t="inlineStr">
        <is>
          <t>Third-party</t>
        </is>
      </c>
      <c r="E30" s="689" t="n">
        <v>795.5895262768319</v>
      </c>
      <c r="F30" s="690" t="n">
        <v>164.3433189575731</v>
      </c>
      <c r="G30" s="690" t="n">
        <v>126.9836394734885</v>
      </c>
      <c r="H30" s="690" t="n">
        <v>143.4557559306909</v>
      </c>
      <c r="I30" s="682">
        <f>IFERROR(SUM(F30,+G30,-H30),"n/a")</f>
        <v/>
      </c>
      <c r="J30" s="690" t="n"/>
      <c r="K30" s="690" t="n"/>
      <c r="L30" s="682">
        <f>IFERROR(SUM(I30,-F30),"n/a")</f>
        <v/>
      </c>
      <c r="M30" s="682">
        <f>IFERROR(SUM(I30,-E30),"n/a")</f>
        <v/>
      </c>
      <c r="N30" s="684" t="n"/>
    </row>
    <row r="31" customFormat="1" s="680">
      <c r="A31" s="680" t="n"/>
      <c r="B31" s="687">
        <f>B30+1</f>
        <v/>
      </c>
      <c r="C31" s="688" t="inlineStr">
        <is>
          <t>Confidence Group Ltd</t>
        </is>
      </c>
      <c r="D31" s="689" t="inlineStr">
        <is>
          <t>Third-party</t>
        </is>
      </c>
      <c r="E31" s="689" t="n">
        <v>918.6885196150998</v>
      </c>
      <c r="F31" s="690" t="n">
        <v>844.6541929300748</v>
      </c>
      <c r="G31" s="690" t="n">
        <v>0</v>
      </c>
      <c r="H31" s="690" t="n">
        <v>10.91659106120324</v>
      </c>
      <c r="I31" s="682">
        <f>IFERROR(SUM(F31,+G31,-H31),"n/a")</f>
        <v/>
      </c>
      <c r="J31" s="690" t="n"/>
      <c r="K31" s="690" t="n"/>
      <c r="L31" s="682">
        <f>IFERROR(SUM(I31,-F31),"n/a")</f>
        <v/>
      </c>
      <c r="M31" s="682">
        <f>IFERROR(SUM(I31,-E31),"n/a")</f>
        <v/>
      </c>
      <c r="N31" s="684" t="n"/>
    </row>
    <row r="32" customFormat="1" s="680">
      <c r="A32" s="680" t="n"/>
      <c r="B32" s="687">
        <f>B31+1</f>
        <v/>
      </c>
      <c r="C32" s="688" t="inlineStr">
        <is>
          <t>Ecopetrol Ltd</t>
        </is>
      </c>
      <c r="D32" s="689" t="inlineStr">
        <is>
          <t>Third-party</t>
        </is>
      </c>
      <c r="E32" s="689" t="n">
        <v>735.3610473723169</v>
      </c>
      <c r="F32" s="690" t="n">
        <v>333.1232518706919</v>
      </c>
      <c r="G32" s="690" t="n">
        <v>1.526187997322823</v>
      </c>
      <c r="H32" s="690" t="n">
        <v>11.37577154755708</v>
      </c>
      <c r="I32" s="682">
        <f>IFERROR(SUM(F32,+G32,-H32),"n/a")</f>
        <v/>
      </c>
      <c r="J32" s="690" t="n"/>
      <c r="K32" s="690" t="n"/>
      <c r="L32" s="682">
        <f>IFERROR(SUM(I32,-F32),"n/a")</f>
        <v/>
      </c>
      <c r="M32" s="682">
        <f>IFERROR(SUM(I32,-E32),"n/a")</f>
        <v/>
      </c>
      <c r="N32" s="684" t="n"/>
    </row>
    <row r="33" customFormat="1" s="680">
      <c r="A33" s="680" t="n"/>
      <c r="B33" s="687">
        <f>B32+1</f>
        <v/>
      </c>
      <c r="C33" s="688" t="inlineStr">
        <is>
          <t>Black Sea Terminal Ltd</t>
        </is>
      </c>
      <c r="D33" s="689" t="inlineStr">
        <is>
          <t>Third-party</t>
        </is>
      </c>
      <c r="E33" s="689" t="n">
        <v>276.4538527017025</v>
      </c>
      <c r="F33" s="690" t="n">
        <v>517.5658483541598</v>
      </c>
      <c r="G33" s="690" t="n">
        <v>5.058265784189782</v>
      </c>
      <c r="H33" s="690" t="n">
        <v>281.3483713839518</v>
      </c>
      <c r="I33" s="682">
        <f>IFERROR(SUM(F33,+G33,-H33),"n/a")</f>
        <v/>
      </c>
      <c r="J33" s="690" t="n"/>
      <c r="K33" s="690" t="n"/>
      <c r="L33" s="682">
        <f>IFERROR(SUM(I33,-F33),"n/a")</f>
        <v/>
      </c>
      <c r="M33" s="682">
        <f>IFERROR(SUM(I33,-E33),"n/a")</f>
        <v/>
      </c>
      <c r="N33" s="684" t="n"/>
    </row>
    <row r="34" customFormat="1" s="680">
      <c r="A34" s="680" t="n"/>
      <c r="B34" s="687" t="n">
        <v>11</v>
      </c>
      <c r="C34" s="691" t="n"/>
      <c r="D34" s="692" t="inlineStr">
        <is>
          <t>Third-party</t>
        </is>
      </c>
      <c r="E34" s="690" t="n">
        <v>94492.57127423331</v>
      </c>
      <c r="F34" s="690" t="n">
        <v>51780.05490500378</v>
      </c>
      <c r="G34" s="690" t="n">
        <v>70249.07575449217</v>
      </c>
      <c r="H34" s="690" t="n">
        <v>73474.11061717701</v>
      </c>
      <c r="I34" s="682">
        <f>IFERROR(SUM(F34,+G34,-H34),"n/a")</f>
        <v/>
      </c>
      <c r="J34" s="690" t="n"/>
      <c r="K34" s="690" t="n"/>
      <c r="L34" s="682">
        <f>IFERROR(SUM(I34,-F34),"n/a")</f>
        <v/>
      </c>
      <c r="M34" s="682">
        <f>IFERROR(SUM(I34,-E34),"n/a")</f>
        <v/>
      </c>
      <c r="N34" s="684" t="n"/>
    </row>
    <row r="35" customFormat="1" s="680">
      <c r="A35" s="680" t="n"/>
      <c r="B35" s="687" t="n">
        <v>12</v>
      </c>
      <c r="C35" s="691" t="inlineStr">
        <is>
          <t>Others (IC)</t>
        </is>
      </c>
      <c r="D35" s="692" t="inlineStr">
        <is>
          <t>Inter-company</t>
        </is>
      </c>
      <c r="E35" s="690" t="n"/>
      <c r="F35" s="690" t="n"/>
      <c r="G35" s="690" t="n"/>
      <c r="H35" s="690" t="n"/>
      <c r="I35" s="682">
        <f>IFERROR(SUM(F35,+G35,-H35),"n/a")</f>
        <v/>
      </c>
      <c r="J35" s="690" t="n"/>
      <c r="K35" s="690" t="n"/>
      <c r="L35" s="682">
        <f>IFERROR(SUM(I35,-F35),"n/a")</f>
        <v/>
      </c>
      <c r="M35" s="682">
        <f>IFERROR(SUM(I35,-E35),"n/a")</f>
        <v/>
      </c>
      <c r="N35" s="684" t="n"/>
    </row>
  </sheetData>
  <mergeCells count="11">
    <mergeCell ref="D8:E8"/>
    <mergeCell ref="E14:G14"/>
    <mergeCell ref="N17:N18"/>
    <mergeCell ref="C17:C18"/>
    <mergeCell ref="B17:B18"/>
    <mergeCell ref="D17:D18"/>
    <mergeCell ref="E17:M17"/>
    <mergeCell ref="D9:E9"/>
    <mergeCell ref="E16:N16"/>
    <mergeCell ref="E15:G15"/>
    <mergeCell ref="F19:L19"/>
  </mergeCells>
  <dataValidations count="1">
    <dataValidation sqref="D24:D33" showDropDown="0" showInputMessage="1" showErrorMessage="1" allowBlank="1" type="list">
      <formula1>$D$22:$D$23</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61"/>
  <sheetViews>
    <sheetView workbookViewId="0">
      <selection activeCell="A1" sqref="A1:XFD1048576"/>
    </sheetView>
  </sheetViews>
  <sheetFormatPr baseColWidth="8" defaultColWidth="8.5703125" defaultRowHeight="12.75"/>
  <cols>
    <col width="6.42578125" customWidth="1" style="30" min="1" max="1"/>
    <col width="4.42578125" customWidth="1" style="670" min="2" max="2"/>
    <col width="64.5703125" customWidth="1" style="670" min="3" max="3"/>
    <col width="25.5703125" bestFit="1" customWidth="1" style="670" min="4" max="4"/>
    <col width="18.42578125" customWidth="1" style="670" min="5" max="6"/>
    <col width="24.42578125" customWidth="1" style="670" min="7" max="7"/>
    <col width="27" customWidth="1" style="670" min="8" max="8"/>
    <col width="22.5703125" customWidth="1" style="670" min="9" max="9"/>
    <col width="25.42578125" customWidth="1" style="670" min="10" max="12"/>
    <col width="31" customWidth="1" style="670" min="13" max="13"/>
    <col width="25.5703125" customWidth="1" style="670" min="14" max="14"/>
    <col width="29.5703125" customWidth="1" style="30" min="15" max="15"/>
    <col width="18.5703125" bestFit="1" customWidth="1" style="30" min="16" max="16"/>
    <col width="15.5703125" bestFit="1" customWidth="1" style="30" min="17" max="17"/>
    <col width="15.5703125" customWidth="1" style="30" min="18" max="18"/>
    <col width="17.42578125" bestFit="1" customWidth="1" style="30" min="19" max="19"/>
    <col width="13.42578125" bestFit="1" customWidth="1" style="30" min="20" max="20"/>
    <col width="8.5703125" customWidth="1" style="30" min="21" max="16384"/>
  </cols>
  <sheetData>
    <row r="1">
      <c r="F1" s="671" t="n"/>
      <c r="G1" s="671" t="n"/>
      <c r="H1" s="671" t="n"/>
      <c r="I1" s="30" t="n"/>
      <c r="J1" s="30" t="n"/>
      <c r="K1" s="407" t="n"/>
      <c r="L1" s="30" t="n"/>
      <c r="M1" s="30" t="n"/>
    </row>
    <row r="2"/>
    <row r="3"/>
    <row r="4"/>
    <row r="5"/>
    <row r="6"/>
    <row r="7"/>
    <row r="8"/>
    <row r="9" ht="13.35" customHeight="1">
      <c r="C9" s="639" t="inlineStr">
        <is>
          <t>Entity Name</t>
        </is>
      </c>
      <c r="D9" s="833">
        <f>IF([1]Segment_map!$D$4=0,"THE COMPANY HAS NOT BEEN PICKED",[1]Segment_map!$D$4)</f>
        <v/>
      </c>
    </row>
    <row r="10" ht="15.75" customHeight="1">
      <c r="C10" s="362" t="inlineStr">
        <is>
          <t>Currency</t>
        </is>
      </c>
      <c r="D10" s="919">
        <f>IF([1]Segment_map!$J$4="","CURRENCY HAS NOT BEEN PICKED",[1]Segment_map!$J$4)</f>
        <v/>
      </c>
      <c r="E10" s="872" t="n"/>
    </row>
    <row r="11">
      <c r="C11" s="597" t="n"/>
      <c r="D11" s="597" t="n"/>
      <c r="E11" s="597" t="n"/>
    </row>
    <row r="12">
      <c r="C12" s="597" t="n"/>
      <c r="D12" s="30" t="n"/>
      <c r="E12" s="30" t="n"/>
      <c r="F12" s="30" t="n"/>
      <c r="G12" s="30" t="n"/>
      <c r="H12" s="626" t="n"/>
    </row>
    <row r="13">
      <c r="C13" s="597" t="n"/>
      <c r="D13" s="30" t="n"/>
      <c r="E13" s="30" t="n"/>
      <c r="F13" s="30" t="n"/>
      <c r="G13" s="30" t="n"/>
      <c r="H13" s="626" t="n"/>
    </row>
    <row r="14">
      <c r="C14" s="597" t="n"/>
      <c r="D14" s="30" t="n"/>
      <c r="E14" s="30" t="n"/>
      <c r="F14" s="30" t="n"/>
      <c r="G14" s="30" t="n"/>
      <c r="H14" s="626" t="n"/>
    </row>
    <row r="15">
      <c r="C15" s="597" t="n"/>
      <c r="D15" s="30" t="n"/>
      <c r="E15" s="30" t="n"/>
      <c r="F15" s="30" t="n"/>
      <c r="G15" s="30" t="n"/>
      <c r="H15" s="626" t="n"/>
    </row>
    <row r="16">
      <c r="C16" s="597" t="n"/>
      <c r="D16" s="30" t="n"/>
      <c r="E16" s="21" t="n"/>
      <c r="F16" s="21" t="n"/>
      <c r="G16" s="30" t="n"/>
      <c r="H16" s="626" t="n"/>
    </row>
    <row r="17">
      <c r="C17" s="30" t="n"/>
      <c r="D17" s="30" t="n"/>
      <c r="E17" s="24">
        <f>"! Please, enter amounts in thousands " &amp;$D$10</f>
        <v/>
      </c>
      <c r="F17" s="24" t="n"/>
      <c r="G17" s="30" t="n"/>
    </row>
    <row r="18" ht="14.25" customHeight="1">
      <c r="C18" s="30" t="n"/>
      <c r="D18" s="30" t="n"/>
      <c r="E18" s="30" t="n"/>
      <c r="F18" s="849" t="inlineStr">
        <is>
          <t>Month</t>
        </is>
      </c>
      <c r="G18" s="865" t="n"/>
      <c r="H18" s="865" t="n"/>
      <c r="I18" s="865" t="n"/>
      <c r="J18" s="865" t="n"/>
      <c r="K18" s="865" t="n"/>
      <c r="L18" s="865" t="n"/>
      <c r="M18" s="865" t="n"/>
    </row>
    <row r="19" ht="14.85" customHeight="1">
      <c r="B19" s="759" t="inlineStr">
        <is>
          <t>#</t>
        </is>
      </c>
      <c r="C19" s="759" t="inlineStr">
        <is>
          <t>Supplier</t>
        </is>
      </c>
      <c r="D19" s="846" t="inlineStr">
        <is>
          <t>Type of supplier</t>
        </is>
      </c>
      <c r="E19" s="920" t="inlineStr">
        <is>
          <t>The volume of annual purchase plan</t>
        </is>
      </c>
      <c r="F19" s="759" t="inlineStr">
        <is>
          <t>Trade payables</t>
        </is>
      </c>
      <c r="G19" s="861" t="n"/>
      <c r="H19" s="861" t="n"/>
      <c r="I19" s="861" t="n"/>
      <c r="J19" s="861" t="n"/>
      <c r="K19" s="861" t="n"/>
      <c r="L19" s="861" t="n"/>
      <c r="M19" s="861" t="n"/>
      <c r="N19" s="862" t="n"/>
      <c r="O19" s="759" t="n"/>
    </row>
    <row r="20" ht="110.25" customHeight="1">
      <c r="B20" s="864" t="n"/>
      <c r="C20" s="864" t="n"/>
      <c r="D20" s="921" t="n"/>
      <c r="E20" s="903" t="n"/>
      <c r="F20" s="759" t="inlineStr">
        <is>
          <t>Balance for the beginning of the current year</t>
        </is>
      </c>
      <c r="G20" s="672" t="inlineStr">
        <is>
          <t>Balance for the beginning of the reporting period</t>
        </is>
      </c>
      <c r="H20" s="672" t="inlineStr">
        <is>
          <t>Purchases of products (services, works) during the reporting period</t>
        </is>
      </c>
      <c r="I20" s="672" t="inlineStr">
        <is>
          <t>Payments during the reporting period</t>
        </is>
      </c>
      <c r="J20" s="758" t="n"/>
      <c r="K20" s="758" t="inlineStr">
        <is>
          <t>Trade payables overdue 30+ days for the beginning of the reporting period</t>
        </is>
      </c>
      <c r="L20" s="758" t="inlineStr">
        <is>
          <t>Trade payables overdue 30+ days for the end of the reporting period</t>
        </is>
      </c>
      <c r="M20" s="758" t="inlineStr">
        <is>
          <t>Change in balance from the beginning of the reporting period</t>
        </is>
      </c>
      <c r="N20" s="759" t="inlineStr">
        <is>
          <t>Change in balance from the beginning of the current year</t>
        </is>
      </c>
      <c r="O20" s="864" t="n"/>
    </row>
    <row r="21" ht="15.6" customHeight="1">
      <c r="B21" s="759" t="n"/>
      <c r="C21" s="759" t="n"/>
      <c r="D21" s="852" t="n"/>
      <c r="E21" s="694" t="n"/>
      <c r="F21" s="759" t="n"/>
      <c r="G21" s="758" t="inlineStr">
        <is>
          <t>Reporting period (month)</t>
        </is>
      </c>
      <c r="H21" s="861" t="n"/>
      <c r="I21" s="861" t="n"/>
      <c r="J21" s="861" t="n"/>
      <c r="K21" s="861" t="n"/>
      <c r="L21" s="861" t="n"/>
      <c r="M21" s="862" t="n"/>
      <c r="N21" s="759" t="n"/>
      <c r="O21" s="824" t="n"/>
    </row>
    <row r="22">
      <c r="B22" s="43" t="n">
        <v>1</v>
      </c>
      <c r="C22" s="695" t="inlineStr">
        <is>
          <t>2</t>
        </is>
      </c>
      <c r="D22" s="695" t="inlineStr">
        <is>
          <t>3</t>
        </is>
      </c>
      <c r="E22" s="43" t="n">
        <v>4</v>
      </c>
      <c r="F22" s="695" t="inlineStr">
        <is>
          <t>5</t>
        </is>
      </c>
      <c r="G22" s="695" t="inlineStr">
        <is>
          <t>6</t>
        </is>
      </c>
      <c r="H22" s="695" t="inlineStr">
        <is>
          <t>7</t>
        </is>
      </c>
      <c r="I22" s="43" t="n">
        <v>8</v>
      </c>
      <c r="J22" s="43" t="n">
        <v>9</v>
      </c>
      <c r="K22" s="43" t="n">
        <v>10</v>
      </c>
      <c r="L22" s="43" t="n">
        <v>11</v>
      </c>
      <c r="M22" s="43" t="n">
        <v>12</v>
      </c>
      <c r="N22" s="695" t="inlineStr">
        <is>
          <t>13</t>
        </is>
      </c>
      <c r="O22" s="695" t="inlineStr">
        <is>
          <t>14</t>
        </is>
      </c>
    </row>
    <row r="23" ht="15" customFormat="1" customHeight="1" s="680">
      <c r="A23" s="680" t="n"/>
      <c r="B23" s="682" t="n"/>
      <c r="C23" s="683" t="inlineStr">
        <is>
          <t>Total</t>
        </is>
      </c>
      <c r="D23" s="683" t="n"/>
      <c r="E23" s="682">
        <f>SUM(E26:E37)</f>
        <v/>
      </c>
      <c r="F23" s="682">
        <f>SUM(F26:F37)</f>
        <v/>
      </c>
      <c r="G23" s="682">
        <f>SUM(G26:G37)</f>
        <v/>
      </c>
      <c r="H23" s="682">
        <f>SUM(H26:H37)</f>
        <v/>
      </c>
      <c r="I23" s="682">
        <f>SUM(I26:I37)</f>
        <v/>
      </c>
      <c r="J23" s="682">
        <f>G23+H23-I23</f>
        <v/>
      </c>
      <c r="K23" s="682">
        <f>SUM(K26:K37)</f>
        <v/>
      </c>
      <c r="L23" s="682">
        <f>SUM(L26:L37)</f>
        <v/>
      </c>
      <c r="M23" s="682">
        <f>SUM(M26:M37)</f>
        <v/>
      </c>
      <c r="N23" s="682">
        <f>SUM(N26:N37)</f>
        <v/>
      </c>
      <c r="O23" s="684" t="n"/>
    </row>
    <row r="24" customFormat="1" s="680">
      <c r="A24" s="680" t="n"/>
      <c r="B24" s="682" t="n"/>
      <c r="C24" s="686" t="inlineStr">
        <is>
          <t>Total of third-party suppliers</t>
        </is>
      </c>
      <c r="D24" s="683" t="inlineStr">
        <is>
          <t>Third-party</t>
        </is>
      </c>
      <c r="E24" s="682">
        <f>SUMIF($D$26:$D$37,$D24,E$26:E$37)</f>
        <v/>
      </c>
      <c r="F24" s="682">
        <f>SUMIF($D$26:$D$37,$D24,F$26:F$37)</f>
        <v/>
      </c>
      <c r="G24" s="682">
        <f>SUMIF($D$26:$D$37,$D24,G$26:G$37)</f>
        <v/>
      </c>
      <c r="H24" s="682">
        <f>SUMIF($D$26:$D$37,$D24,H$26:H$37)</f>
        <v/>
      </c>
      <c r="I24" s="682">
        <f>SUMIF($D$26:$D$37,$D24,I$26:I$37)</f>
        <v/>
      </c>
      <c r="J24" s="682">
        <f>SUMIF($D$26:$D$37,$D24,J$26:J$37)</f>
        <v/>
      </c>
      <c r="K24" s="682">
        <f>SUMIF($D$26:$D$37,$D24,K$26:K$37)</f>
        <v/>
      </c>
      <c r="L24" s="682">
        <f>SUMIF($D$26:$D$37,$D24,L$26:L$37)</f>
        <v/>
      </c>
      <c r="M24" s="682">
        <f>SUMIF($D$26:$D$37,$D24,M$26:M$37)</f>
        <v/>
      </c>
      <c r="N24" s="682">
        <f>J24-F24</f>
        <v/>
      </c>
      <c r="O24" s="684" t="n"/>
    </row>
    <row r="25" ht="25.5" customFormat="1" customHeight="1" s="680">
      <c r="A25" s="680" t="n"/>
      <c r="B25" s="682" t="n"/>
      <c r="C25" s="686" t="inlineStr">
        <is>
          <t>Total of inter-company suppliers</t>
        </is>
      </c>
      <c r="D25" s="683" t="inlineStr">
        <is>
          <t>Inter-company</t>
        </is>
      </c>
      <c r="E25" s="682">
        <f>SUMIF($D$26:$D$37,$D25,E$26:E$37)</f>
        <v/>
      </c>
      <c r="F25" s="682">
        <f>SUMIF($D$26:$D$37,$D25,F$26:F$37)</f>
        <v/>
      </c>
      <c r="G25" s="682">
        <f>SUMIF($D$26:$D$37,$D25,G$26:G$37)</f>
        <v/>
      </c>
      <c r="H25" s="682">
        <f>SUMIF($D$26:$D$37,$D25,H$26:H$37)</f>
        <v/>
      </c>
      <c r="I25" s="682">
        <f>SUMIF($D$26:$D$37,$D25,I$26:I$37)</f>
        <v/>
      </c>
      <c r="J25" s="682">
        <f>SUMIF($D$26:$D$37,$D25,J$26:J$37)</f>
        <v/>
      </c>
      <c r="K25" s="682">
        <f>SUMIF($D$26:$D$37,$D25,K$26:K$37)</f>
        <v/>
      </c>
      <c r="L25" s="682">
        <f>SUMIF($D$26:$D$37,$D25,L$26:L$37)</f>
        <v/>
      </c>
      <c r="M25" s="682">
        <f>SUMIF($D$26:$D$37,$D25,M$26:M$37)</f>
        <v/>
      </c>
      <c r="N25" s="682">
        <f>J25-F25</f>
        <v/>
      </c>
      <c r="O25" s="684" t="n"/>
    </row>
    <row r="26" ht="15" customFormat="1" customHeight="1" s="680">
      <c r="A26" s="680" t="n"/>
      <c r="B26" s="696">
        <f>B23+1</f>
        <v/>
      </c>
      <c r="C26" s="688" t="inlineStr">
        <is>
          <t>SOCAR Gas Export-Import Ltd</t>
        </is>
      </c>
      <c r="D26" s="689" t="inlineStr">
        <is>
          <t>Inter-company</t>
        </is>
      </c>
      <c r="E26" s="690" t="n">
        <v>85319.99719091572</v>
      </c>
      <c r="F26" s="690" t="n">
        <v>37023.53082706767</v>
      </c>
      <c r="G26" s="690" t="n">
        <v>30868.60240754549</v>
      </c>
      <c r="H26" s="690" t="n">
        <v>5539.424191930589</v>
      </c>
      <c r="I26" s="690" t="n">
        <v>3812.597729182936</v>
      </c>
      <c r="J26" s="682">
        <f>IFERROR(SUM(G26,H26,-I26),"n/a")</f>
        <v/>
      </c>
      <c r="K26" s="690" t="n"/>
      <c r="L26" s="690" t="n"/>
      <c r="M26" s="682">
        <f>IFERROR(SUM(J26,-G26),"n/a")</f>
        <v/>
      </c>
      <c r="N26" s="682">
        <f>IFERROR(SUM(J26,-F26),"n/a")</f>
        <v/>
      </c>
      <c r="O26" s="684" t="n"/>
    </row>
    <row r="27" ht="15" customFormat="1" customHeight="1" s="680">
      <c r="A27" s="680" t="n"/>
      <c r="B27" s="696">
        <f>B26+1</f>
        <v/>
      </c>
      <c r="C27" s="688" t="inlineStr">
        <is>
          <t>JSC Georgian Oil and Gas Corporation</t>
        </is>
      </c>
      <c r="D27" s="689" t="inlineStr">
        <is>
          <t>Third-party</t>
        </is>
      </c>
      <c r="E27" s="690" t="n">
        <v>90269.99999999999</v>
      </c>
      <c r="F27" s="690" t="n">
        <v>4248</v>
      </c>
      <c r="G27" s="690" t="n">
        <v>0</v>
      </c>
      <c r="H27" s="690" t="n">
        <v>24072</v>
      </c>
      <c r="I27" s="690" t="n">
        <v>0</v>
      </c>
      <c r="J27" s="682">
        <f>IFERROR(SUM(G27,H27,-I27),"n/a")</f>
        <v/>
      </c>
      <c r="K27" s="690" t="n"/>
      <c r="L27" s="690" t="n"/>
      <c r="M27" s="682">
        <f>IFERROR(SUM(J27,-G27),"n/a")</f>
        <v/>
      </c>
      <c r="N27" s="682">
        <f>IFERROR(SUM(J27,-F27),"n/a")</f>
        <v/>
      </c>
      <c r="O27" s="684" t="n"/>
    </row>
    <row r="28" ht="15" customFormat="1" customHeight="1" s="680">
      <c r="A28" s="680" t="n"/>
      <c r="B28" s="696">
        <f>B27+1</f>
        <v/>
      </c>
      <c r="C28" s="688" t="inlineStr">
        <is>
          <t>GAS EXPORT DEPARTMENT OF SOCAR/AZERBAIJAN</t>
        </is>
      </c>
      <c r="D28" s="689" t="inlineStr">
        <is>
          <t>Inter-company</t>
        </is>
      </c>
      <c r="E28" s="690" t="n">
        <v>334500</v>
      </c>
      <c r="F28" s="690" t="n">
        <v>68399.67998656127</v>
      </c>
      <c r="G28" s="690" t="n">
        <v>62373.97493734324</v>
      </c>
      <c r="H28" s="690" t="n">
        <v>50844</v>
      </c>
      <c r="I28" s="690" t="n">
        <v>46384</v>
      </c>
      <c r="J28" s="682">
        <f>IFERROR(SUM(G28,H28,-I28),"n/a")</f>
        <v/>
      </c>
      <c r="K28" s="690" t="n"/>
      <c r="L28" s="690" t="n"/>
      <c r="M28" s="682">
        <f>IFERROR(SUM(J28,-G28),"n/a")</f>
        <v/>
      </c>
      <c r="N28" s="682">
        <f>IFERROR(SUM(J28,-F28),"n/a")</f>
        <v/>
      </c>
      <c r="O28" s="684" t="n"/>
    </row>
    <row r="29" ht="15" customFormat="1" customHeight="1" s="680">
      <c r="A29" s="680" t="n"/>
      <c r="B29" s="696">
        <f>B28+1</f>
        <v/>
      </c>
      <c r="C29" s="688" t="inlineStr">
        <is>
          <t>Gas Transportation Company of Georgia Ltd</t>
        </is>
      </c>
      <c r="D29" s="689" t="inlineStr">
        <is>
          <t>Third-party</t>
        </is>
      </c>
      <c r="E29" s="690" t="n">
        <v>6560.200283549828</v>
      </c>
      <c r="F29" s="690" t="n">
        <v>835.4218880534669</v>
      </c>
      <c r="G29" s="690" t="n">
        <v>640.772428717971</v>
      </c>
      <c r="H29" s="690" t="n">
        <v>855.1780337272108</v>
      </c>
      <c r="I29" s="690" t="n">
        <v>640.7724287179714</v>
      </c>
      <c r="J29" s="682">
        <f>IFERROR(SUM(G29,H29,-I29),"n/a")</f>
        <v/>
      </c>
      <c r="K29" s="690" t="n"/>
      <c r="L29" s="690" t="n"/>
      <c r="M29" s="682">
        <f>IFERROR(SUM(J29,-G29),"n/a")</f>
        <v/>
      </c>
      <c r="N29" s="682">
        <f>IFERROR(SUM(J29,-F29),"n/a")</f>
        <v/>
      </c>
      <c r="O29" s="684" t="n"/>
    </row>
    <row r="30" ht="15" customFormat="1" customHeight="1" s="680">
      <c r="A30" s="680" t="n"/>
      <c r="B30" s="696">
        <f>B29+1</f>
        <v/>
      </c>
      <c r="C30" s="688" t="inlineStr">
        <is>
          <t>GNERC (Regulator)</t>
        </is>
      </c>
      <c r="D30" s="689" t="inlineStr">
        <is>
          <t>Third-party</t>
        </is>
      </c>
      <c r="E30" s="690" t="n">
        <v>1138.432035021872</v>
      </c>
      <c r="F30" s="690" t="n">
        <v>149.6576008182376</v>
      </c>
      <c r="G30" s="690" t="n">
        <v>118.0109979156124</v>
      </c>
      <c r="H30" s="690" t="n">
        <v>169.730953827704</v>
      </c>
      <c r="I30" s="690" t="n">
        <v>118.0109979156124</v>
      </c>
      <c r="J30" s="682">
        <f>IFERROR(SUM(G30,H30,-I30),"n/a")</f>
        <v/>
      </c>
      <c r="K30" s="690" t="n"/>
      <c r="L30" s="690" t="n"/>
      <c r="M30" s="682">
        <f>IFERROR(SUM(J30,-G30),"n/a")</f>
        <v/>
      </c>
      <c r="N30" s="682">
        <f>IFERROR(SUM(J30,-F30),"n/a")</f>
        <v/>
      </c>
      <c r="O30" s="684" t="n"/>
    </row>
    <row r="31" ht="15" customFormat="1" customHeight="1" s="680">
      <c r="A31" s="680" t="n"/>
      <c r="B31" s="696">
        <f>B30+1</f>
        <v/>
      </c>
      <c r="C31" s="688" t="inlineStr">
        <is>
          <t>CNG</t>
        </is>
      </c>
      <c r="D31" s="689" t="inlineStr">
        <is>
          <t>Third-party</t>
        </is>
      </c>
      <c r="E31" s="690" t="n">
        <v>20962.35294117647</v>
      </c>
      <c r="F31" s="690" t="n">
        <v>6567.746195488721</v>
      </c>
      <c r="G31" s="690" t="n">
        <v>6567.746195488719</v>
      </c>
      <c r="H31" s="690" t="n">
        <v>1832.941176470589</v>
      </c>
      <c r="I31" s="690" t="n">
        <v>1832.941176470589</v>
      </c>
      <c r="J31" s="682">
        <f>IFERROR(SUM(G31,H31,-I31),"n/a")</f>
        <v/>
      </c>
      <c r="K31" s="697" t="n"/>
      <c r="L31" s="690" t="n"/>
      <c r="M31" s="682">
        <f>IFERROR(SUM(J31,-G31),"n/a")</f>
        <v/>
      </c>
      <c r="N31" s="682">
        <f>IFERROR(SUM(J31,-F31),"n/a")</f>
        <v/>
      </c>
      <c r="O31" s="684" t="n"/>
    </row>
    <row r="32" ht="15" customFormat="1" customHeight="1" s="680">
      <c r="A32" s="680" t="n"/>
      <c r="B32" s="696">
        <f>B31+1</f>
        <v/>
      </c>
      <c r="C32" s="688" t="inlineStr">
        <is>
          <t>Diesel fuel</t>
        </is>
      </c>
      <c r="D32" s="689" t="inlineStr">
        <is>
          <t>Third-party</t>
        </is>
      </c>
      <c r="E32" s="690" t="n">
        <v>185914.117647059</v>
      </c>
      <c r="F32" s="690" t="n">
        <v>9429.099959899748</v>
      </c>
      <c r="G32" s="690" t="n">
        <v>9429.099959899751</v>
      </c>
      <c r="H32" s="690" t="n">
        <v>19087.64705882353</v>
      </c>
      <c r="I32" s="690" t="n">
        <v>19087.64705882353</v>
      </c>
      <c r="J32" s="682">
        <f>IFERROR(SUM(G32,H32,-I32),"n/a")</f>
        <v/>
      </c>
      <c r="K32" s="690" t="n"/>
      <c r="L32" s="690" t="n"/>
      <c r="M32" s="682">
        <f>IFERROR(SUM(J32,-G32),"n/a")</f>
        <v/>
      </c>
      <c r="N32" s="682">
        <f>IFERROR(SUM(J32,-F32),"n/a")</f>
        <v/>
      </c>
      <c r="O32" s="684" t="n"/>
    </row>
    <row r="33" ht="15" customFormat="1" customHeight="1" s="680">
      <c r="A33" s="680" t="n"/>
      <c r="B33" s="696">
        <f>B32+1</f>
        <v/>
      </c>
      <c r="C33" s="688" t="inlineStr">
        <is>
          <t>Gasoline (Petrol)</t>
        </is>
      </c>
      <c r="D33" s="689" t="inlineStr">
        <is>
          <t>Third-party</t>
        </is>
      </c>
      <c r="E33" s="690" t="n">
        <v>63648.23529411765</v>
      </c>
      <c r="F33" s="690" t="n">
        <v>165.9453500417711</v>
      </c>
      <c r="G33" s="690" t="n">
        <v>165.9453500417712</v>
      </c>
      <c r="H33" s="690" t="n">
        <v>5620.000000000001</v>
      </c>
      <c r="I33" s="690" t="n">
        <v>5620.000000000001</v>
      </c>
      <c r="J33" s="682">
        <f>IFERROR(SUM(G33,H33,-I33),"n/a")</f>
        <v/>
      </c>
      <c r="K33" s="690" t="n"/>
      <c r="L33" s="690" t="n"/>
      <c r="M33" s="682">
        <f>IFERROR(SUM(J33,-G33),"n/a")</f>
        <v/>
      </c>
      <c r="N33" s="682">
        <f>IFERROR(SUM(J33,-F33),"n/a")</f>
        <v/>
      </c>
      <c r="O33" s="684" t="n"/>
    </row>
    <row r="34" ht="15" customFormat="1" customHeight="1" s="680">
      <c r="A34" s="680" t="n"/>
      <c r="B34" s="696">
        <f>B33+1</f>
        <v/>
      </c>
      <c r="C34" s="688" t="n"/>
      <c r="D34" s="689" t="n"/>
      <c r="E34" s="690" t="n"/>
      <c r="F34" s="690" t="n">
        <v>0</v>
      </c>
      <c r="G34" s="690" t="n">
        <v>0</v>
      </c>
      <c r="H34" s="690" t="n">
        <v>0</v>
      </c>
      <c r="I34" s="690" t="n">
        <v>0</v>
      </c>
      <c r="J34" s="682">
        <f>IFERROR(SUM(G34,H34,-I34),"n/a")</f>
        <v/>
      </c>
      <c r="K34" s="690" t="n"/>
      <c r="L34" s="690" t="n"/>
      <c r="M34" s="682">
        <f>IFERROR(SUM(J34,-G34),"n/a")</f>
        <v/>
      </c>
      <c r="N34" s="682">
        <f>IFERROR(SUM(J34,-F34),"n/a")</f>
        <v/>
      </c>
      <c r="O34" s="684" t="n"/>
    </row>
    <row r="35" ht="15" customFormat="1" customHeight="1" s="680">
      <c r="A35" s="680" t="n"/>
      <c r="B35" s="696">
        <f>B34+1</f>
        <v/>
      </c>
      <c r="C35" s="688" t="n"/>
      <c r="D35" s="689" t="n"/>
      <c r="E35" s="690" t="n"/>
      <c r="F35" s="690" t="n"/>
      <c r="G35" s="690" t="n">
        <v>0</v>
      </c>
      <c r="H35" s="690" t="n"/>
      <c r="I35" s="690" t="n"/>
      <c r="J35" s="682">
        <f>IFERROR(SUM(G35,H35,-I35),"n/a")</f>
        <v/>
      </c>
      <c r="K35" s="690" t="n"/>
      <c r="L35" s="690" t="n"/>
      <c r="M35" s="682">
        <f>IFERROR(SUM(J35,-G35),"n/a")</f>
        <v/>
      </c>
      <c r="N35" s="682">
        <f>IFERROR(SUM(J35,-F35),"n/a")</f>
        <v/>
      </c>
      <c r="O35" s="684" t="n"/>
    </row>
    <row r="36" ht="15" customHeight="1">
      <c r="B36" s="696" t="n">
        <v>11</v>
      </c>
      <c r="C36" s="698" t="n"/>
      <c r="D36" s="698" t="inlineStr">
        <is>
          <t>Third-party</t>
        </is>
      </c>
      <c r="E36" s="690" t="n"/>
      <c r="F36" s="690" t="n">
        <v>91939.15348618677</v>
      </c>
      <c r="G36" s="690" t="n">
        <v>96410.55360540043</v>
      </c>
      <c r="H36" s="697" t="n">
        <v>63386.64982034369</v>
      </c>
      <c r="I36" s="697" t="n">
        <v>60813.36654989509</v>
      </c>
      <c r="J36" s="682">
        <f>IFERROR(SUM(G36,H36,-I36),"n/a")</f>
        <v/>
      </c>
      <c r="K36" s="690" t="n"/>
      <c r="L36" s="690" t="n"/>
      <c r="M36" s="682">
        <f>IFERROR(SUM(J36,-G36),"n/a")</f>
        <v/>
      </c>
      <c r="N36" s="682">
        <f>IFERROR(SUM(J36,-F36),"n/a")</f>
        <v/>
      </c>
      <c r="O36" s="699" t="n"/>
    </row>
    <row r="37" ht="25.5" customHeight="1">
      <c r="B37" s="696" t="n">
        <v>12</v>
      </c>
      <c r="C37" s="698" t="inlineStr">
        <is>
          <t>Others (IC)</t>
        </is>
      </c>
      <c r="D37" s="698" t="inlineStr">
        <is>
          <t>Inter-company</t>
        </is>
      </c>
      <c r="E37" s="690" t="n"/>
      <c r="F37" s="690" t="n"/>
      <c r="G37" s="690" t="n"/>
      <c r="H37" s="690" t="n"/>
      <c r="I37" s="690" t="n"/>
      <c r="J37" s="682">
        <f>IFERROR(SUM(G37,H37,-I37),"n/a")</f>
        <v/>
      </c>
      <c r="K37" s="690" t="n"/>
      <c r="L37" s="690" t="n"/>
      <c r="M37" s="682">
        <f>IFERROR(SUM(J37,-G37),"n/a")</f>
        <v/>
      </c>
      <c r="N37" s="682">
        <f>IFERROR(SUM(J37,-F37),"n/a")</f>
        <v/>
      </c>
      <c r="O37" s="699" t="n"/>
    </row>
    <row r="38"/>
    <row r="39"/>
    <row r="40">
      <c r="C40" s="597" t="n"/>
      <c r="D40" s="30" t="n"/>
      <c r="E40" s="21" t="n"/>
      <c r="F40" s="21" t="n"/>
      <c r="G40" s="30" t="n"/>
      <c r="H40" s="626" t="n"/>
    </row>
    <row r="41">
      <c r="C41" s="30" t="n"/>
      <c r="D41" s="30" t="n"/>
      <c r="E41" s="24">
        <f>"! Please, enter amounts in thousands " &amp;$D$10</f>
        <v/>
      </c>
      <c r="F41" s="24" t="n"/>
      <c r="G41" s="30" t="n"/>
    </row>
    <row r="42" ht="14.25" customHeight="1">
      <c r="C42" s="30" t="n"/>
      <c r="D42" s="30" t="n"/>
      <c r="E42" s="849" t="inlineStr">
        <is>
          <t>Month</t>
        </is>
      </c>
      <c r="F42" s="865" t="n"/>
      <c r="G42" s="865" t="n"/>
      <c r="H42" s="865" t="n"/>
      <c r="I42" s="865" t="n"/>
      <c r="J42" s="865" t="n"/>
      <c r="K42" s="865" t="n"/>
      <c r="L42" s="865" t="n"/>
    </row>
    <row r="43" ht="15.75" customHeight="1">
      <c r="B43" s="759" t="inlineStr">
        <is>
          <t>#</t>
        </is>
      </c>
      <c r="C43" s="759" t="inlineStr">
        <is>
          <t>Supplier</t>
        </is>
      </c>
      <c r="D43" s="846" t="inlineStr">
        <is>
          <t>Type of supplier</t>
        </is>
      </c>
      <c r="E43" s="759" t="inlineStr">
        <is>
          <t>Trade payables</t>
        </is>
      </c>
      <c r="F43" s="861" t="n"/>
      <c r="G43" s="861" t="n"/>
      <c r="H43" s="861" t="n"/>
      <c r="I43" s="861" t="n"/>
      <c r="J43" s="861" t="n"/>
      <c r="K43" s="862" t="n"/>
      <c r="L43" s="759" t="n"/>
      <c r="N43" s="30" t="n"/>
    </row>
    <row r="44" ht="126" customHeight="1">
      <c r="B44" s="864" t="n"/>
      <c r="C44" s="864" t="n"/>
      <c r="D44" s="921" t="n"/>
      <c r="E44" s="759" t="inlineStr">
        <is>
          <t>Balance for the beginning of the current year</t>
        </is>
      </c>
      <c r="F44" s="672" t="inlineStr">
        <is>
          <t>Balance for the beginning of the reporting period</t>
        </is>
      </c>
      <c r="G44" s="672" t="inlineStr">
        <is>
          <t>Purchases of products (services, works) during the reporting period</t>
        </is>
      </c>
      <c r="H44" s="672" t="inlineStr">
        <is>
          <t>Payments during the reporting period</t>
        </is>
      </c>
      <c r="I44" s="758" t="n"/>
      <c r="J44" s="758" t="inlineStr">
        <is>
          <t>Change in balance from the beginning of the reporting period</t>
        </is>
      </c>
      <c r="K44" s="759" t="inlineStr">
        <is>
          <t>Change in balance from the beginning of the current year</t>
        </is>
      </c>
      <c r="L44" s="864" t="n"/>
      <c r="N44" s="30" t="n"/>
    </row>
    <row r="45" ht="15.75" customHeight="1">
      <c r="B45" s="759" t="n"/>
      <c r="C45" s="759" t="n"/>
      <c r="D45" s="852" t="n"/>
      <c r="E45" s="759" t="n"/>
      <c r="F45" s="832" t="inlineStr">
        <is>
          <t>Reporting period (month)</t>
        </is>
      </c>
      <c r="G45" s="861" t="n"/>
      <c r="H45" s="861" t="n"/>
      <c r="I45" s="861" t="n"/>
      <c r="J45" s="861" t="n"/>
      <c r="K45" s="759" t="n"/>
      <c r="L45" s="824" t="n"/>
      <c r="N45" s="30" t="n"/>
    </row>
    <row r="46">
      <c r="B46" s="43" t="n">
        <v>1</v>
      </c>
      <c r="C46" s="695" t="inlineStr">
        <is>
          <t>2</t>
        </is>
      </c>
      <c r="D46" s="695" t="inlineStr">
        <is>
          <t>3</t>
        </is>
      </c>
      <c r="E46" s="695" t="inlineStr">
        <is>
          <t>4</t>
        </is>
      </c>
      <c r="F46" s="695" t="inlineStr">
        <is>
          <t>5</t>
        </is>
      </c>
      <c r="G46" s="695" t="inlineStr">
        <is>
          <t>6</t>
        </is>
      </c>
      <c r="H46" s="43" t="n">
        <v>7</v>
      </c>
      <c r="I46" s="43" t="n">
        <v>8</v>
      </c>
      <c r="J46" s="43" t="n">
        <v>9</v>
      </c>
      <c r="K46" s="695" t="inlineStr">
        <is>
          <t>10</t>
        </is>
      </c>
      <c r="L46" s="695" t="inlineStr">
        <is>
          <t>11</t>
        </is>
      </c>
      <c r="N46" s="30" t="n"/>
    </row>
    <row r="47">
      <c r="B47" s="682" t="n"/>
      <c r="C47" s="683" t="inlineStr">
        <is>
          <t>Total</t>
        </is>
      </c>
      <c r="D47" s="683" t="n"/>
      <c r="E47" s="682">
        <f>SUM(E50:E61)</f>
        <v/>
      </c>
      <c r="F47" s="682">
        <f>SUM(F50:F61)</f>
        <v/>
      </c>
      <c r="G47" s="682">
        <f>SUM(G50:G61)</f>
        <v/>
      </c>
      <c r="H47" s="682">
        <f>SUM(H50:H61)</f>
        <v/>
      </c>
      <c r="I47" s="682">
        <f>F47+G47-H47</f>
        <v/>
      </c>
      <c r="J47" s="682">
        <f>I47-F47</f>
        <v/>
      </c>
      <c r="K47" s="682">
        <f>I47-E47</f>
        <v/>
      </c>
      <c r="L47" s="684" t="n"/>
      <c r="N47" s="30" t="n"/>
    </row>
    <row r="48">
      <c r="B48" s="682" t="n"/>
      <c r="C48" s="686" t="inlineStr">
        <is>
          <t>Total of third-party suppliers</t>
        </is>
      </c>
      <c r="D48" s="683" t="inlineStr">
        <is>
          <t>Third-party</t>
        </is>
      </c>
      <c r="E48" s="682">
        <f>SUMIF($D$50:$D$61,$D48,E$50:E$61)</f>
        <v/>
      </c>
      <c r="F48" s="682">
        <f>SUMIF($D$50:$D$61,$D48,F$50:F$61)</f>
        <v/>
      </c>
      <c r="G48" s="682">
        <f>SUMIF($D$50:$D$61,$D48,G$50:G$61)</f>
        <v/>
      </c>
      <c r="H48" s="682">
        <f>SUMIF($D$50:$D$61,$D48,H$50:H$61)</f>
        <v/>
      </c>
      <c r="I48" s="682">
        <f>SUMIF($D$50:$D$61,$D48,I$50:I$61)</f>
        <v/>
      </c>
      <c r="J48" s="682">
        <f>I48-F48</f>
        <v/>
      </c>
      <c r="K48" s="682">
        <f>I48-E48</f>
        <v/>
      </c>
      <c r="L48" s="684" t="n"/>
      <c r="N48" s="30" t="n"/>
    </row>
    <row r="49" ht="25.5" customHeight="1">
      <c r="B49" s="682" t="n"/>
      <c r="C49" s="686" t="inlineStr">
        <is>
          <t>Total of inter-company suppliers</t>
        </is>
      </c>
      <c r="D49" s="683" t="inlineStr">
        <is>
          <t>Inter-company</t>
        </is>
      </c>
      <c r="E49" s="682">
        <f>SUMIF($D$50:$D$61,$D49,E$50:E$61)</f>
        <v/>
      </c>
      <c r="F49" s="682">
        <f>SUMIF($D$50:$D$61,$D49,F$50:F$61)</f>
        <v/>
      </c>
      <c r="G49" s="682">
        <f>SUMIF($D$50:$D$61,$D49,G$50:G$61)</f>
        <v/>
      </c>
      <c r="H49" s="682">
        <f>SUMIF($D$50:$D$61,$D49,H$50:H$61)</f>
        <v/>
      </c>
      <c r="I49" s="682">
        <f>SUMIF($D$50:$D$61,$D49,I$50:I$61)</f>
        <v/>
      </c>
      <c r="J49" s="682">
        <f>I49-F49</f>
        <v/>
      </c>
      <c r="K49" s="682">
        <f>I49-E49</f>
        <v/>
      </c>
      <c r="L49" s="684" t="n"/>
      <c r="N49" s="30" t="n"/>
    </row>
    <row r="50">
      <c r="B50" s="696">
        <f>B47+1</f>
        <v/>
      </c>
      <c r="C50" s="700" t="inlineStr">
        <is>
          <t>SOCAR Gas Export-Import Ltd</t>
        </is>
      </c>
      <c r="D50" s="701" t="inlineStr">
        <is>
          <t>Inter-company</t>
        </is>
      </c>
      <c r="E50" s="690" t="n">
        <v>52540.59858623242</v>
      </c>
      <c r="F50" s="690" t="n">
        <v>34078.58993332097</v>
      </c>
      <c r="G50" s="690" t="n">
        <v>5619.532293448353</v>
      </c>
      <c r="H50" s="690" t="n">
        <v>32310.9861716368</v>
      </c>
      <c r="I50" s="682">
        <f>IFERROR(SUM(F50,+G50,-H50),"n/a")</f>
        <v/>
      </c>
      <c r="J50" s="682">
        <f>IFERROR(SUM(I50,-F50),"n/a")</f>
        <v/>
      </c>
      <c r="K50" s="682">
        <f>IFERROR(SUM(I50,-E50),"n/a")</f>
        <v/>
      </c>
      <c r="L50" s="684" t="n"/>
      <c r="N50" s="30" t="n"/>
    </row>
    <row r="51">
      <c r="B51" s="696">
        <f>B50+1</f>
        <v/>
      </c>
      <c r="C51" s="700" t="inlineStr">
        <is>
          <t>JSC Georgian Oil and Gas Corporation</t>
        </is>
      </c>
      <c r="D51" s="701" t="inlineStr">
        <is>
          <t>Third-party</t>
        </is>
      </c>
      <c r="E51" s="690" t="n">
        <v>47233.38011102887</v>
      </c>
      <c r="F51" s="690" t="n">
        <v>5784.625044019285</v>
      </c>
      <c r="G51" s="690" t="n">
        <v>21900.60168810887</v>
      </c>
      <c r="H51" s="690" t="n">
        <v>5832.514560868594</v>
      </c>
      <c r="I51" s="682">
        <f>IFERROR(SUM(F51,+G51,-H51),"n/a")</f>
        <v/>
      </c>
      <c r="J51" s="682">
        <f>IFERROR(SUM(I51,-F51),"n/a")</f>
        <v/>
      </c>
      <c r="K51" s="682">
        <f>IFERROR(SUM(I51,-E51),"n/a")</f>
        <v/>
      </c>
      <c r="L51" s="684" t="n"/>
      <c r="N51" s="30" t="n"/>
    </row>
    <row r="52">
      <c r="B52" s="696">
        <f>B51+1</f>
        <v/>
      </c>
      <c r="C52" s="700" t="inlineStr">
        <is>
          <t>GAS EXPORT DEPARTMENT OF SOCAR/AZERBAIJAN</t>
        </is>
      </c>
      <c r="D52" s="701" t="inlineStr">
        <is>
          <t>Inter-company</t>
        </is>
      </c>
      <c r="E52" s="690" t="n">
        <v>77948.32917098445</v>
      </c>
      <c r="F52" s="690" t="n">
        <v>32079.52610824109</v>
      </c>
      <c r="G52" s="690" t="n">
        <v>24126.27976128504</v>
      </c>
      <c r="H52" s="690" t="n">
        <v>13638.04257827025</v>
      </c>
      <c r="I52" s="682">
        <f>IFERROR(SUM(F52,+G52,-H52),"n/a")</f>
        <v/>
      </c>
      <c r="J52" s="682">
        <f>IFERROR(SUM(I52,-F52),"n/a")</f>
        <v/>
      </c>
      <c r="K52" s="682">
        <f>IFERROR(SUM(I52,-E52),"n/a")</f>
        <v/>
      </c>
      <c r="L52" s="684" t="n"/>
      <c r="N52" s="30" t="n"/>
    </row>
    <row r="53">
      <c r="B53" s="696">
        <f>B52+1</f>
        <v/>
      </c>
      <c r="C53" s="700" t="inlineStr">
        <is>
          <t>Gas Transportation Company of Georgia Ltd</t>
        </is>
      </c>
      <c r="D53" s="701" t="inlineStr">
        <is>
          <t>Third-party</t>
        </is>
      </c>
      <c r="E53" s="690" t="n">
        <v>1841.003601036269</v>
      </c>
      <c r="F53" s="690" t="n">
        <v>1561.235551156502</v>
      </c>
      <c r="G53" s="690" t="n">
        <v>920.8349111325947</v>
      </c>
      <c r="H53" s="690" t="n">
        <v>330.8235665947795</v>
      </c>
      <c r="I53" s="682">
        <f>IFERROR(SUM(F53,+G53,-H53),"n/a")</f>
        <v/>
      </c>
      <c r="J53" s="682">
        <f>IFERROR(SUM(I53,-F53),"n/a")</f>
        <v/>
      </c>
      <c r="K53" s="682">
        <f>IFERROR(SUM(I53,-E53),"n/a")</f>
        <v/>
      </c>
      <c r="L53" s="684" t="n"/>
      <c r="N53" s="30" t="n"/>
    </row>
    <row r="54">
      <c r="B54" s="696">
        <f>B53+1</f>
        <v/>
      </c>
      <c r="C54" s="700" t="inlineStr">
        <is>
          <t>CNG</t>
        </is>
      </c>
      <c r="D54" s="701" t="inlineStr">
        <is>
          <t>Third-party</t>
        </is>
      </c>
      <c r="E54" s="690" t="n">
        <v>10573.45356772761</v>
      </c>
      <c r="F54" s="690" t="n">
        <v>1886.827131989874</v>
      </c>
      <c r="G54" s="690" t="n">
        <v>2773.813333829107</v>
      </c>
      <c r="H54" s="690" t="n">
        <v>2139.561333382911</v>
      </c>
      <c r="I54" s="682">
        <f>IFERROR(SUM(F54,+G54,-H54),"n/a")</f>
        <v/>
      </c>
      <c r="J54" s="682">
        <f>IFERROR(SUM(I54,-F54),"n/a")</f>
        <v/>
      </c>
      <c r="K54" s="682">
        <f>IFERROR(SUM(I54,-E54),"n/a")</f>
        <v/>
      </c>
      <c r="L54" s="684" t="n"/>
      <c r="N54" s="30" t="n"/>
    </row>
    <row r="55">
      <c r="B55" s="696">
        <f>B54+1</f>
        <v/>
      </c>
      <c r="C55" s="700" t="inlineStr">
        <is>
          <t>Diesel fuel</t>
        </is>
      </c>
      <c r="D55" s="701" t="inlineStr">
        <is>
          <t>Third-party</t>
        </is>
      </c>
      <c r="E55" s="690" t="n">
        <v>3257.76981865285</v>
      </c>
      <c r="F55" s="690" t="n">
        <v>0.05545696539485356</v>
      </c>
      <c r="G55" s="690" t="n">
        <v>0.05577452219825984</v>
      </c>
      <c r="H55" s="690" t="n">
        <v>0.05577452219825984</v>
      </c>
      <c r="I55" s="682">
        <f>IFERROR(SUM(F55,+G55,-H55),"n/a")</f>
        <v/>
      </c>
      <c r="J55" s="682">
        <f>IFERROR(SUM(I55,-F55),"n/a")</f>
        <v/>
      </c>
      <c r="K55" s="682">
        <f>IFERROR(SUM(I55,-E55),"n/a")</f>
        <v/>
      </c>
      <c r="L55" s="684" t="n"/>
      <c r="N55" s="30" t="n"/>
    </row>
    <row r="56">
      <c r="B56" s="696">
        <f>B55+1</f>
        <v/>
      </c>
      <c r="C56" s="700" t="inlineStr">
        <is>
          <t>Gasoline (Petrol)</t>
        </is>
      </c>
      <c r="D56" s="701" t="inlineStr">
        <is>
          <t>Third-party</t>
        </is>
      </c>
      <c r="E56" s="690" t="n">
        <v>0</v>
      </c>
      <c r="F56" s="690" t="n">
        <v>1091.504153138183</v>
      </c>
      <c r="G56" s="690" t="n">
        <v>4318.778582583476</v>
      </c>
      <c r="H56" s="690" t="n">
        <v>2006.975961180933</v>
      </c>
      <c r="I56" s="682">
        <f>IFERROR(SUM(F56,+G56,-H56),"n/a")</f>
        <v/>
      </c>
      <c r="J56" s="682">
        <f>IFERROR(SUM(I56,-F56),"n/a")</f>
        <v/>
      </c>
      <c r="K56" s="682">
        <f>IFERROR(SUM(I56,-E56),"n/a")</f>
        <v/>
      </c>
      <c r="L56" s="684" t="n"/>
      <c r="N56" s="30" t="n"/>
    </row>
    <row r="57">
      <c r="B57" s="696">
        <f>B56+1</f>
        <v/>
      </c>
      <c r="C57" s="700" t="inlineStr">
        <is>
          <t>Interservice LLC-2011</t>
        </is>
      </c>
      <c r="D57" s="701" t="inlineStr">
        <is>
          <t>Third-party</t>
        </is>
      </c>
      <c r="E57" s="690" t="n">
        <v>778.0352738712065</v>
      </c>
      <c r="F57" s="690" t="n">
        <v>1817.869648391596</v>
      </c>
      <c r="G57" s="690" t="n">
        <v>737.4558451699264</v>
      </c>
      <c r="H57" s="690" t="n">
        <v>1121.21854316948</v>
      </c>
      <c r="I57" s="682">
        <f>IFERROR(SUM(F57,+G57,-H57),"n/a")</f>
        <v/>
      </c>
      <c r="J57" s="682">
        <f>IFERROR(SUM(I57,-F57),"n/a")</f>
        <v/>
      </c>
      <c r="K57" s="682">
        <f>IFERROR(SUM(I57,-E57),"n/a")</f>
        <v/>
      </c>
      <c r="L57" s="702" t="n"/>
      <c r="N57" s="30" t="n"/>
    </row>
    <row r="58">
      <c r="B58" s="696">
        <f>B57+1</f>
        <v/>
      </c>
      <c r="C58" s="700" t="inlineStr">
        <is>
          <t>Gas Service Ltd</t>
        </is>
      </c>
      <c r="D58" s="701" t="inlineStr">
        <is>
          <t>Third-party</t>
        </is>
      </c>
      <c r="E58" s="690" t="n">
        <v>2079.541265729089</v>
      </c>
      <c r="F58" s="690" t="n">
        <v>3402.305963047971</v>
      </c>
      <c r="G58" s="690" t="n">
        <v>1470.681817505763</v>
      </c>
      <c r="H58" s="690" t="n">
        <v>1753.528827991374</v>
      </c>
      <c r="I58" s="682">
        <f>IFERROR(SUM(F58,+G58,-H58),"n/a")</f>
        <v/>
      </c>
      <c r="J58" s="682">
        <f>IFERROR(SUM(I58,-F58),"n/a")</f>
        <v/>
      </c>
      <c r="K58" s="682">
        <f>IFERROR(SUM(I58,-E58),"n/a")</f>
        <v/>
      </c>
      <c r="L58" s="684" t="n"/>
      <c r="N58" s="30" t="n"/>
    </row>
    <row r="59">
      <c r="B59" s="696">
        <f>B58+1</f>
        <v/>
      </c>
      <c r="C59" s="700" t="inlineStr">
        <is>
          <t>AGI Group Ltd</t>
        </is>
      </c>
      <c r="D59" s="701" t="inlineStr">
        <is>
          <t>Third-party</t>
        </is>
      </c>
      <c r="E59" s="690" t="n">
        <v>40.41232790525536</v>
      </c>
      <c r="F59" s="690" t="n">
        <v>113.2972424979108</v>
      </c>
      <c r="G59" s="690" t="n">
        <v>222.3322339555291</v>
      </c>
      <c r="H59" s="690" t="n">
        <v>173.2728489625939</v>
      </c>
      <c r="I59" s="682">
        <f>IFERROR(SUM(F59,+G59,-H59),"n/a")</f>
        <v/>
      </c>
      <c r="J59" s="682">
        <f>IFERROR(SUM(I59,-F59),"n/a")</f>
        <v/>
      </c>
      <c r="K59" s="682">
        <f>IFERROR(SUM(I59,-E59),"n/a")</f>
        <v/>
      </c>
      <c r="L59" s="684" t="n"/>
      <c r="N59" s="30" t="n"/>
    </row>
    <row r="60">
      <c r="B60" s="696" t="n">
        <v>11</v>
      </c>
      <c r="C60" s="698" t="n"/>
      <c r="D60" s="703" t="inlineStr">
        <is>
          <t>Third-party</t>
        </is>
      </c>
      <c r="E60" s="690" t="n">
        <v>67601.71772212198</v>
      </c>
      <c r="F60" s="697" t="n">
        <v>141034.5791003202</v>
      </c>
      <c r="G60" s="690" t="n">
        <v>23288.67577028896</v>
      </c>
      <c r="H60" s="690" t="n">
        <v>36894.93449096441</v>
      </c>
      <c r="I60" s="682">
        <f>IFERROR(SUM(F60,+G60,-H60),"n/a")</f>
        <v/>
      </c>
      <c r="J60" s="682">
        <f>IFERROR(SUM(I60,-F60),"n/a")</f>
        <v/>
      </c>
      <c r="K60" s="682">
        <f>IFERROR(SUM(I60,-E60),"n/a")</f>
        <v/>
      </c>
      <c r="L60" s="704" t="n"/>
      <c r="N60" s="30" t="n"/>
    </row>
    <row r="61" ht="25.5" customHeight="1">
      <c r="B61" s="696" t="n">
        <v>12</v>
      </c>
      <c r="C61" s="698" t="inlineStr">
        <is>
          <t>Others (IC)</t>
        </is>
      </c>
      <c r="D61" s="703" t="inlineStr">
        <is>
          <t>Inter-company</t>
        </is>
      </c>
      <c r="E61" s="690" t="n"/>
      <c r="F61" s="690" t="n"/>
      <c r="G61" s="690" t="n"/>
      <c r="H61" s="690" t="n"/>
      <c r="I61" s="682">
        <f>IFERROR(SUM(F61,+G61,-H61),"n/a")</f>
        <v/>
      </c>
      <c r="J61" s="682">
        <f>IFERROR(SUM(I61,-F61),"n/a")</f>
        <v/>
      </c>
      <c r="K61" s="682">
        <f>IFERROR(SUM(I61,-E61),"n/a")</f>
        <v/>
      </c>
      <c r="L61" s="704" t="n"/>
      <c r="N61" s="30" t="n"/>
    </row>
    <row r="106" ht="15" customHeight="1"/>
    <row r="107" ht="15" customHeight="1"/>
    <row r="108" ht="15" customHeight="1"/>
    <row r="109" ht="15" customHeight="1"/>
  </sheetData>
  <mergeCells count="17">
    <mergeCell ref="O19:O20"/>
    <mergeCell ref="D19:D20"/>
    <mergeCell ref="C43:C44"/>
    <mergeCell ref="D10:E10"/>
    <mergeCell ref="F19:N19"/>
    <mergeCell ref="B43:B44"/>
    <mergeCell ref="D43:D44"/>
    <mergeCell ref="E43:K43"/>
    <mergeCell ref="G21:M21"/>
    <mergeCell ref="F18:M18"/>
    <mergeCell ref="E42:L42"/>
    <mergeCell ref="C19:C20"/>
    <mergeCell ref="F45:J45"/>
    <mergeCell ref="E19:E20"/>
    <mergeCell ref="D9:E9"/>
    <mergeCell ref="B19:B20"/>
    <mergeCell ref="L43:L44"/>
  </mergeCells>
  <dataValidations count="2">
    <dataValidation sqref="D50:D59" showDropDown="0" showInputMessage="1" showErrorMessage="1" allowBlank="1" type="list">
      <formula1>$D$48:$D$49</formula1>
    </dataValidation>
    <dataValidation sqref="D26:D35" showDropDown="0" showInputMessage="1" showErrorMessage="1" allowBlank="1" type="list">
      <formula1>$D$24:$D$25</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M35"/>
  <sheetViews>
    <sheetView workbookViewId="0">
      <selection activeCell="C19" sqref="C19"/>
    </sheetView>
  </sheetViews>
  <sheetFormatPr baseColWidth="8" defaultColWidth="8.5703125" defaultRowHeight="12.75"/>
  <cols>
    <col width="6.42578125" customWidth="1" style="30" min="1" max="1"/>
    <col width="4.42578125" customWidth="1" style="670" min="2" max="2"/>
    <col width="65.5703125" customWidth="1" style="670" min="3" max="3"/>
    <col width="27.5703125" bestFit="1" customWidth="1" style="670" min="4" max="4"/>
    <col width="18.42578125" customWidth="1" style="670" min="5" max="6"/>
    <col width="27.42578125" customWidth="1" style="670" min="7" max="7"/>
    <col width="30.42578125" customWidth="1" style="670" min="8" max="8"/>
    <col width="18.42578125" customWidth="1" style="670" min="9" max="9"/>
    <col width="21.42578125" customWidth="1" style="670" min="10" max="11"/>
    <col width="31" customWidth="1" style="670" min="12" max="12"/>
    <col width="18.42578125" customWidth="1" style="670" min="13" max="13"/>
    <col width="8.5703125" customWidth="1" style="30" min="14" max="16384"/>
  </cols>
  <sheetData>
    <row r="1">
      <c r="F1" s="671" t="n"/>
      <c r="G1" s="671" t="n"/>
      <c r="H1" s="671" t="n"/>
      <c r="I1" s="30" t="n"/>
      <c r="J1" s="407" t="n"/>
      <c r="K1" s="30" t="n"/>
      <c r="L1" s="30" t="n"/>
    </row>
    <row r="2"/>
    <row r="3"/>
    <row r="4"/>
    <row r="5">
      <c r="B5" s="670" t="inlineStr">
        <is>
          <t>`</t>
        </is>
      </c>
    </row>
    <row r="6"/>
    <row r="7"/>
    <row r="8" ht="15.75" customHeight="1">
      <c r="C8" s="639" t="inlineStr">
        <is>
          <t>Entity Name</t>
        </is>
      </c>
      <c r="D8" s="855">
        <f>IF([1]Segment_map!$D$4=0,"THE COMPANY HAS NOT BEEN PICKED",[1]Segment_map!$D$4)</f>
        <v/>
      </c>
    </row>
    <row r="9" ht="15.75" customHeight="1">
      <c r="C9" s="362" t="inlineStr">
        <is>
          <t>Currency</t>
        </is>
      </c>
      <c r="D9" s="919">
        <f>IF([1]Segment_map!$J$4="","CURRENCY HAS NOT BEEN PICKED",[1]Segment_map!$J$4)</f>
        <v/>
      </c>
      <c r="E9" s="872" t="n"/>
    </row>
    <row r="10">
      <c r="C10" s="597" t="n"/>
      <c r="D10" s="597" t="n"/>
      <c r="E10" s="597" t="n"/>
    </row>
    <row r="11">
      <c r="C11" s="597" t="n"/>
      <c r="D11" s="30" t="n"/>
      <c r="E11" s="30" t="n"/>
      <c r="F11" s="30" t="n"/>
      <c r="G11" s="30" t="n"/>
    </row>
    <row r="12">
      <c r="C12" s="597" t="n"/>
      <c r="D12" s="30" t="n"/>
      <c r="E12" s="30" t="n"/>
      <c r="F12" s="30" t="n"/>
      <c r="G12" s="30" t="n"/>
    </row>
    <row r="13">
      <c r="C13" s="597" t="n"/>
      <c r="D13" s="30" t="n"/>
      <c r="E13" s="30" t="n"/>
      <c r="F13" s="30" t="n"/>
      <c r="G13" s="30" t="n"/>
    </row>
    <row r="14">
      <c r="C14" s="597" t="n"/>
      <c r="D14" s="30" t="n"/>
      <c r="E14" s="843" t="n"/>
    </row>
    <row r="15">
      <c r="C15" s="30" t="n"/>
      <c r="D15" s="30" t="n"/>
      <c r="E15" s="844">
        <f>"! Please, enter amounts in thousands " &amp;$D$9</f>
        <v/>
      </c>
      <c r="F15" s="865" t="n"/>
      <c r="G15" s="865" t="n"/>
    </row>
    <row r="16" ht="14.25" customHeight="1">
      <c r="C16" s="30" t="n"/>
      <c r="D16" s="30" t="n"/>
      <c r="E16" s="922" t="inlineStr">
        <is>
          <t>Month</t>
        </is>
      </c>
      <c r="F16" s="861" t="n"/>
      <c r="G16" s="861" t="n"/>
      <c r="H16" s="861" t="n"/>
      <c r="I16" s="861" t="n"/>
      <c r="J16" s="861" t="n"/>
      <c r="K16" s="861" t="n"/>
      <c r="L16" s="862" t="n"/>
    </row>
    <row r="17" ht="15.75" customHeight="1">
      <c r="B17" s="759" t="inlineStr">
        <is>
          <t>#</t>
        </is>
      </c>
      <c r="C17" s="759" t="inlineStr">
        <is>
          <t>Supplier</t>
        </is>
      </c>
      <c r="D17" s="759" t="inlineStr">
        <is>
          <t>Type of supplier</t>
        </is>
      </c>
      <c r="E17" s="759" t="inlineStr">
        <is>
          <t>Prepayments</t>
        </is>
      </c>
      <c r="F17" s="861" t="n"/>
      <c r="G17" s="861" t="n"/>
      <c r="H17" s="861" t="n"/>
      <c r="I17" s="861" t="n"/>
      <c r="J17" s="861" t="n"/>
      <c r="K17" s="862" t="n"/>
      <c r="L17" s="759" t="n"/>
      <c r="M17" s="30" t="n"/>
    </row>
    <row r="18" ht="110.25" customHeight="1">
      <c r="B18" s="864" t="n"/>
      <c r="C18" s="864" t="n"/>
      <c r="D18" s="864" t="n"/>
      <c r="E18" s="759" t="inlineStr">
        <is>
          <t>Balance for the beginning of the current year</t>
        </is>
      </c>
      <c r="F18" s="672" t="inlineStr">
        <is>
          <t>Balance for the beginning of the reporting period</t>
        </is>
      </c>
      <c r="G18" s="672" t="inlineStr">
        <is>
          <t>Prepayments made during the reporting period</t>
        </is>
      </c>
      <c r="H18" s="672" t="inlineStr">
        <is>
          <t>Acceptance of products (services, works) during the reporting period</t>
        </is>
      </c>
      <c r="I18" s="758" t="n"/>
      <c r="J18" s="758" t="inlineStr">
        <is>
          <t>Change in balance from the beginning of the reporting period</t>
        </is>
      </c>
      <c r="K18" s="759" t="inlineStr">
        <is>
          <t>Change in balance from the beginning of the current year</t>
        </is>
      </c>
      <c r="L18" s="864" t="n"/>
      <c r="M18" s="30" t="n"/>
    </row>
    <row r="19" ht="15.75" customHeight="1">
      <c r="B19" s="759" t="n"/>
      <c r="C19" s="759" t="n"/>
      <c r="D19" s="824" t="n"/>
      <c r="E19" s="759" t="n"/>
      <c r="F19" s="819" t="inlineStr">
        <is>
          <t>Reporting period (month)</t>
        </is>
      </c>
      <c r="G19" s="861" t="n"/>
      <c r="H19" s="861" t="n"/>
      <c r="I19" s="861" t="n"/>
      <c r="J19" s="861" t="n"/>
      <c r="K19" s="759" t="n"/>
      <c r="L19" s="759" t="n"/>
      <c r="M19" s="30" t="n"/>
    </row>
    <row r="20" customFormat="1" s="680">
      <c r="A20" s="680" t="n"/>
      <c r="B20" s="677" t="n">
        <v>1</v>
      </c>
      <c r="C20" s="678" t="inlineStr">
        <is>
          <t>2</t>
        </is>
      </c>
      <c r="D20" s="679" t="inlineStr">
        <is>
          <t>3</t>
        </is>
      </c>
      <c r="E20" s="677" t="n">
        <v>4</v>
      </c>
      <c r="F20" s="679" t="inlineStr">
        <is>
          <t>5</t>
        </is>
      </c>
      <c r="G20" s="679" t="inlineStr">
        <is>
          <t>6</t>
        </is>
      </c>
      <c r="H20" s="679" t="inlineStr">
        <is>
          <t>7</t>
        </is>
      </c>
      <c r="I20" s="677" t="n">
        <v>8</v>
      </c>
      <c r="J20" s="677" t="n">
        <v>10</v>
      </c>
      <c r="K20" s="677" t="n">
        <v>11</v>
      </c>
      <c r="L20" s="679" t="inlineStr">
        <is>
          <t>12</t>
        </is>
      </c>
    </row>
    <row r="21" customFormat="1" s="685">
      <c r="A21" s="685" t="n"/>
      <c r="B21" s="682" t="n"/>
      <c r="C21" s="683" t="inlineStr">
        <is>
          <t>Total</t>
        </is>
      </c>
      <c r="D21" s="683" t="n"/>
      <c r="E21" s="682">
        <f>SUM(E24:E35)</f>
        <v/>
      </c>
      <c r="F21" s="682">
        <f>SUM(F24:F35)</f>
        <v/>
      </c>
      <c r="G21" s="682">
        <f>SUM(G24:G35)</f>
        <v/>
      </c>
      <c r="H21" s="682">
        <f>SUM(H24:H35)</f>
        <v/>
      </c>
      <c r="I21" s="682">
        <f>SUM(I24:I35)</f>
        <v/>
      </c>
      <c r="J21" s="682">
        <f>I21-F21</f>
        <v/>
      </c>
      <c r="K21" s="682">
        <f>I21-E21</f>
        <v/>
      </c>
      <c r="L21" s="684" t="n"/>
    </row>
    <row r="22" customFormat="1" s="685">
      <c r="A22" s="685" t="n"/>
      <c r="B22" s="682" t="n"/>
      <c r="C22" s="705" t="inlineStr">
        <is>
          <t>Total of third-party suppliers</t>
        </is>
      </c>
      <c r="D22" s="683" t="inlineStr">
        <is>
          <t>Third-party</t>
        </is>
      </c>
      <c r="E22" s="682">
        <f>SUMIF($D$24:$D$35,$D22,E$24:E$35)</f>
        <v/>
      </c>
      <c r="F22" s="682">
        <f>SUMIF($D$24:$D$35,$D22,F$24:F$35)</f>
        <v/>
      </c>
      <c r="G22" s="682">
        <f>SUMIF($D$24:$D$35,$D22,G$24:G$35)</f>
        <v/>
      </c>
      <c r="H22" s="682">
        <f>SUMIF($D$24:$D$35,$D22,H$24:H$35)</f>
        <v/>
      </c>
      <c r="I22" s="682">
        <f>SUMIF($D$24:$D$35,$D22,I$24:I$35)</f>
        <v/>
      </c>
      <c r="J22" s="682">
        <f>I22-F22</f>
        <v/>
      </c>
      <c r="K22" s="682">
        <f>I22-E22</f>
        <v/>
      </c>
      <c r="L22" s="684" t="n"/>
    </row>
    <row r="23" ht="25.5" customFormat="1" customHeight="1" s="685">
      <c r="A23" s="685" t="n"/>
      <c r="B23" s="682" t="n"/>
      <c r="C23" s="705" t="inlineStr">
        <is>
          <t>Total of inter-company suppliers</t>
        </is>
      </c>
      <c r="D23" s="683" t="inlineStr">
        <is>
          <t>Inter-company</t>
        </is>
      </c>
      <c r="E23" s="682">
        <f>SUMIF($D$24:$D$35,$D23,E$24:E$35)</f>
        <v/>
      </c>
      <c r="F23" s="682">
        <f>SUMIF($D$24:$D$35,$D23,F$24:F$35)</f>
        <v/>
      </c>
      <c r="G23" s="682">
        <f>SUMIF($D$24:$D$35,$D23,G$24:G$35)</f>
        <v/>
      </c>
      <c r="H23" s="682">
        <f>SUMIF($D$24:$D$35,$D23,H$24:H$35)</f>
        <v/>
      </c>
      <c r="I23" s="682">
        <f>SUMIF($D$24:$D$35,$D23,I$24:I$35)</f>
        <v/>
      </c>
      <c r="J23" s="682">
        <f>I23-F23</f>
        <v/>
      </c>
      <c r="K23" s="682">
        <f>I23-E23</f>
        <v/>
      </c>
      <c r="L23" s="684" t="n"/>
    </row>
    <row r="24" customFormat="1" s="680">
      <c r="A24" s="680" t="n"/>
      <c r="B24" s="687">
        <f>B21+1</f>
        <v/>
      </c>
      <c r="C24" s="700" t="n"/>
      <c r="D24" s="701" t="n"/>
      <c r="E24" s="690" t="n"/>
      <c r="F24" s="690" t="n"/>
      <c r="G24" s="690" t="n"/>
      <c r="H24" s="690" t="n"/>
      <c r="I24" s="682">
        <f>IFERROR(SUM(F24,+G24,-H24),"n/a")</f>
        <v/>
      </c>
      <c r="J24" s="682">
        <f>IFERROR(SUM(I24,-F24),"n/a")</f>
        <v/>
      </c>
      <c r="K24" s="682">
        <f>IFERROR(SUM(I24,-E24),"n/a")</f>
        <v/>
      </c>
      <c r="L24" s="684" t="n"/>
    </row>
    <row r="25" customFormat="1" s="680">
      <c r="A25" s="680" t="n"/>
      <c r="B25" s="687">
        <f>B24+1</f>
        <v/>
      </c>
      <c r="C25" s="700" t="n"/>
      <c r="D25" s="701" t="n"/>
      <c r="E25" s="690" t="n"/>
      <c r="F25" s="690" t="n"/>
      <c r="G25" s="690" t="n"/>
      <c r="H25" s="690" t="n"/>
      <c r="I25" s="682">
        <f>IFERROR(SUM(F25,+G25,-H25),"n/a")</f>
        <v/>
      </c>
      <c r="J25" s="682">
        <f>IFERROR(SUM(I25,-F25),"n/a")</f>
        <v/>
      </c>
      <c r="K25" s="682">
        <f>IFERROR(SUM(I25,-E25),"n/a")</f>
        <v/>
      </c>
      <c r="L25" s="684" t="n"/>
    </row>
    <row r="26" customFormat="1" s="680">
      <c r="A26" s="680" t="n"/>
      <c r="B26" s="687">
        <f>B25+1</f>
        <v/>
      </c>
      <c r="C26" s="700" t="n"/>
      <c r="D26" s="701" t="n"/>
      <c r="E26" s="690" t="n"/>
      <c r="F26" s="690" t="n"/>
      <c r="G26" s="690" t="n"/>
      <c r="H26" s="690" t="n"/>
      <c r="I26" s="682">
        <f>IFERROR(SUM(F26,+G26,-H26),"n/a")</f>
        <v/>
      </c>
      <c r="J26" s="682">
        <f>IFERROR(SUM(I26,-F26),"n/a")</f>
        <v/>
      </c>
      <c r="K26" s="682">
        <f>IFERROR(SUM(I26,-E26),"n/a")</f>
        <v/>
      </c>
      <c r="L26" s="684" t="n"/>
    </row>
    <row r="27" customFormat="1" s="680">
      <c r="A27" s="680" t="n"/>
      <c r="B27" s="687">
        <f>B26+1</f>
        <v/>
      </c>
      <c r="C27" s="700" t="n"/>
      <c r="D27" s="701" t="n"/>
      <c r="E27" s="690" t="n"/>
      <c r="F27" s="690" t="n"/>
      <c r="G27" s="690" t="n"/>
      <c r="H27" s="690" t="n"/>
      <c r="I27" s="682">
        <f>IFERROR(SUM(F27,+G27,-H27),"n/a")</f>
        <v/>
      </c>
      <c r="J27" s="682">
        <f>IFERROR(SUM(I27,-F27),"n/a")</f>
        <v/>
      </c>
      <c r="K27" s="682">
        <f>IFERROR(SUM(I27,-E27),"n/a")</f>
        <v/>
      </c>
      <c r="L27" s="684" t="n"/>
    </row>
    <row r="28" customFormat="1" s="680">
      <c r="A28" s="680" t="n"/>
      <c r="B28" s="687">
        <f>B27+1</f>
        <v/>
      </c>
      <c r="C28" s="700" t="n"/>
      <c r="D28" s="701" t="n"/>
      <c r="E28" s="690" t="n"/>
      <c r="F28" s="690" t="n"/>
      <c r="G28" s="690" t="n"/>
      <c r="H28" s="690" t="n"/>
      <c r="I28" s="682">
        <f>IFERROR(SUM(F28,+G28,-H28),"n/a")</f>
        <v/>
      </c>
      <c r="J28" s="682">
        <f>IFERROR(SUM(I28,-F28),"n/a")</f>
        <v/>
      </c>
      <c r="K28" s="682">
        <f>IFERROR(SUM(I28,-E28),"n/a")</f>
        <v/>
      </c>
      <c r="L28" s="684" t="n"/>
    </row>
    <row r="29" customFormat="1" s="680">
      <c r="A29" s="680" t="n"/>
      <c r="B29" s="687">
        <f>B28+1</f>
        <v/>
      </c>
      <c r="C29" s="700" t="n"/>
      <c r="D29" s="701" t="n"/>
      <c r="E29" s="690" t="n"/>
      <c r="F29" s="690" t="n"/>
      <c r="G29" s="690" t="n"/>
      <c r="H29" s="690" t="n"/>
      <c r="I29" s="682">
        <f>IFERROR(SUM(F29,+G29,-H29),"n/a")</f>
        <v/>
      </c>
      <c r="J29" s="682">
        <f>IFERROR(SUM(I29,-F29),"n/a")</f>
        <v/>
      </c>
      <c r="K29" s="682">
        <f>IFERROR(SUM(I29,-E29),"n/a")</f>
        <v/>
      </c>
      <c r="L29" s="684" t="n"/>
    </row>
    <row r="30" customFormat="1" s="680">
      <c r="A30" s="680" t="n"/>
      <c r="B30" s="687">
        <f>B29+1</f>
        <v/>
      </c>
      <c r="C30" s="700" t="n"/>
      <c r="D30" s="701" t="n"/>
      <c r="E30" s="690" t="n"/>
      <c r="F30" s="690" t="n"/>
      <c r="G30" s="690" t="n"/>
      <c r="H30" s="690" t="n"/>
      <c r="I30" s="682">
        <f>IFERROR(SUM(F30,+G30,-H30),"n/a")</f>
        <v/>
      </c>
      <c r="J30" s="682">
        <f>IFERROR(SUM(I30,-F30),"n/a")</f>
        <v/>
      </c>
      <c r="K30" s="682">
        <f>IFERROR(SUM(I30,-E30),"n/a")</f>
        <v/>
      </c>
      <c r="L30" s="684" t="n"/>
    </row>
    <row r="31" customFormat="1" s="680">
      <c r="A31" s="680" t="n"/>
      <c r="B31" s="687">
        <f>B30+1</f>
        <v/>
      </c>
      <c r="C31" s="700" t="n"/>
      <c r="D31" s="701" t="n"/>
      <c r="E31" s="690" t="n"/>
      <c r="F31" s="690" t="n"/>
      <c r="G31" s="690" t="n"/>
      <c r="H31" s="690" t="n"/>
      <c r="I31" s="682">
        <f>IFERROR(SUM(F31,+G31,-H31),"n/a")</f>
        <v/>
      </c>
      <c r="J31" s="682">
        <f>IFERROR(SUM(I31,-F31),"n/a")</f>
        <v/>
      </c>
      <c r="K31" s="682">
        <f>IFERROR(SUM(I31,-E31),"n/a")</f>
        <v/>
      </c>
      <c r="L31" s="684" t="n"/>
    </row>
    <row r="32" customFormat="1" s="680">
      <c r="A32" s="680" t="n"/>
      <c r="B32" s="687">
        <f>B31+1</f>
        <v/>
      </c>
      <c r="C32" s="700" t="n"/>
      <c r="D32" s="701" t="n"/>
      <c r="E32" s="690" t="n"/>
      <c r="F32" s="690" t="n"/>
      <c r="G32" s="690" t="n"/>
      <c r="H32" s="690" t="n"/>
      <c r="I32" s="682">
        <f>IFERROR(SUM(F32,+G32,-H32),"n/a")</f>
        <v/>
      </c>
      <c r="J32" s="682">
        <f>IFERROR(SUM(I32,-F32),"n/a")</f>
        <v/>
      </c>
      <c r="K32" s="682">
        <f>IFERROR(SUM(I32,-E32),"n/a")</f>
        <v/>
      </c>
      <c r="L32" s="684" t="n"/>
    </row>
    <row r="33" customFormat="1" s="680">
      <c r="A33" s="680" t="n"/>
      <c r="B33" s="687">
        <f>B32+1</f>
        <v/>
      </c>
      <c r="C33" s="700" t="n"/>
      <c r="D33" s="701" t="n"/>
      <c r="E33" s="690" t="n"/>
      <c r="F33" s="690" t="n"/>
      <c r="G33" s="690" t="n"/>
      <c r="H33" s="690" t="n"/>
      <c r="I33" s="682">
        <f>IFERROR(SUM(F33,+G33,-H33),"n/a")</f>
        <v/>
      </c>
      <c r="J33" s="682">
        <f>IFERROR(SUM(I33,-F33),"n/a")</f>
        <v/>
      </c>
      <c r="K33" s="682">
        <f>IFERROR(SUM(I33,-E33),"n/a")</f>
        <v/>
      </c>
      <c r="L33" s="684" t="n"/>
    </row>
    <row r="34" customFormat="1" s="680">
      <c r="A34" s="680" t="n"/>
      <c r="B34" s="687" t="n">
        <v>11</v>
      </c>
      <c r="C34" s="691" t="n"/>
      <c r="D34" s="692" t="inlineStr">
        <is>
          <t>Third-party</t>
        </is>
      </c>
      <c r="E34" s="690" t="n"/>
      <c r="F34" s="690" t="n"/>
      <c r="G34" s="690" t="n"/>
      <c r="H34" s="690" t="n"/>
      <c r="I34" s="682">
        <f>IFERROR(SUM(F34,+G34,-H34),"n/a")</f>
        <v/>
      </c>
      <c r="J34" s="682">
        <f>IFERROR(SUM(I34,-F34),"n/a")</f>
        <v/>
      </c>
      <c r="K34" s="682">
        <f>IFERROR(SUM(I34,-E34),"n/a")</f>
        <v/>
      </c>
      <c r="L34" s="684" t="n"/>
    </row>
    <row r="35" customFormat="1" s="680">
      <c r="A35" s="680" t="n"/>
      <c r="B35" s="687" t="n">
        <v>12</v>
      </c>
      <c r="C35" s="691" t="inlineStr">
        <is>
          <t>Others (IC)</t>
        </is>
      </c>
      <c r="D35" s="692" t="inlineStr">
        <is>
          <t>Inter-company</t>
        </is>
      </c>
      <c r="E35" s="690" t="n"/>
      <c r="F35" s="690" t="n"/>
      <c r="G35" s="690" t="n"/>
      <c r="H35" s="690" t="n"/>
      <c r="I35" s="682">
        <f>IFERROR(SUM(F35,+G35,-H35),"n/a")</f>
        <v/>
      </c>
      <c r="J35" s="682">
        <f>IFERROR(SUM(I35,-F35),"n/a")</f>
        <v/>
      </c>
      <c r="K35" s="682">
        <f>IFERROR(SUM(I35,-E35),"n/a")</f>
        <v/>
      </c>
      <c r="L35" s="684" t="n"/>
    </row>
  </sheetData>
  <mergeCells count="11">
    <mergeCell ref="D8:E8"/>
    <mergeCell ref="E14:G14"/>
    <mergeCell ref="E17:K17"/>
    <mergeCell ref="L17:L18"/>
    <mergeCell ref="C17:C18"/>
    <mergeCell ref="E16:L16"/>
    <mergeCell ref="B17:B18"/>
    <mergeCell ref="F19:J19"/>
    <mergeCell ref="D17:D18"/>
    <mergeCell ref="D9:E9"/>
    <mergeCell ref="E15:G15"/>
  </mergeCells>
  <dataValidations count="1">
    <dataValidation sqref="D24:D33" showDropDown="0" showInputMessage="1" showErrorMessage="1" allowBlank="1" type="list">
      <formula1>$D$22:$D$23</formula1>
    </dataValidation>
  </dataValidation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G5"/>
  <sheetViews>
    <sheetView workbookViewId="0">
      <selection activeCell="E11" sqref="E11"/>
    </sheetView>
  </sheetViews>
  <sheetFormatPr baseColWidth="8" defaultRowHeight="15"/>
  <cols>
    <col width="18.28515625" customWidth="1" min="2" max="2"/>
    <col width="17.85546875" customWidth="1" min="3" max="3"/>
    <col width="16.7109375" customWidth="1" min="4" max="4"/>
    <col width="18.28515625" customWidth="1" min="5" max="5"/>
    <col width="17.28515625" customWidth="1" min="6" max="6"/>
    <col width="15.7109375" customWidth="1" min="7" max="7"/>
  </cols>
  <sheetData>
    <row r="1">
      <c r="A1" s="746" t="inlineStr">
        <is>
          <t>Сurrency</t>
        </is>
      </c>
      <c r="B1" s="746" t="inlineStr">
        <is>
          <t>Plan</t>
        </is>
      </c>
      <c r="C1" s="746" t="inlineStr">
        <is>
          <t>Currency rate at the beginning of the year</t>
        </is>
      </c>
      <c r="D1" s="757" t="inlineStr">
        <is>
          <t>Currency rate at beginning of the reporting month</t>
        </is>
      </c>
      <c r="E1" s="757" t="inlineStr">
        <is>
          <t>Average currency rate for the reporting month</t>
        </is>
      </c>
      <c r="F1" s="757" t="inlineStr">
        <is>
          <t>Average currency rate for cumulative values</t>
        </is>
      </c>
      <c r="G1" s="757" t="inlineStr">
        <is>
          <t>Currency rate at the end of the reporting period</t>
        </is>
      </c>
    </row>
    <row r="2">
      <c r="A2" s="874" t="n"/>
      <c r="B2" s="874" t="n"/>
      <c r="C2" s="874" t="n"/>
      <c r="D2" s="874" t="n"/>
      <c r="E2" s="874" t="n"/>
      <c r="F2" s="874" t="n"/>
      <c r="G2" s="874" t="n"/>
    </row>
    <row r="3" ht="15.75" customHeight="1">
      <c r="A3" s="368" t="n"/>
      <c r="B3" s="369" t="n"/>
      <c r="C3" s="369" t="n"/>
      <c r="D3" s="371" t="n"/>
      <c r="E3" s="371" t="n"/>
      <c r="F3" s="370" t="n"/>
      <c r="G3" s="371" t="n"/>
    </row>
    <row r="4">
      <c r="A4" s="372" t="n">
        <v>1</v>
      </c>
      <c r="B4" s="372">
        <f>A4+1</f>
        <v/>
      </c>
      <c r="C4" s="372">
        <f>B4+1</f>
        <v/>
      </c>
      <c r="D4" s="372">
        <f>C4+1</f>
        <v/>
      </c>
      <c r="E4" s="372">
        <f>D4+1</f>
        <v/>
      </c>
      <c r="F4" s="372">
        <f>E4+1</f>
        <v/>
      </c>
      <c r="G4" s="372">
        <f>F4+1</f>
        <v/>
      </c>
    </row>
    <row r="5">
      <c r="A5" s="706" t="inlineStr">
        <is>
          <t>GEL</t>
        </is>
      </c>
      <c r="B5" s="707" t="n">
        <v>2.9925</v>
      </c>
      <c r="C5" s="707" t="n">
        <v>2.7</v>
      </c>
      <c r="D5" s="923" t="n">
        <v>2.69</v>
      </c>
      <c r="E5" s="707" t="n">
        <v>2.72</v>
      </c>
      <c r="F5" s="707" t="n">
        <v>2.72</v>
      </c>
      <c r="G5" s="924" t="n">
        <v>2.69</v>
      </c>
    </row>
  </sheetData>
  <mergeCells count="7">
    <mergeCell ref="C1:C2"/>
    <mergeCell ref="B1:B2"/>
    <mergeCell ref="G1:G2"/>
    <mergeCell ref="E1:E2"/>
    <mergeCell ref="D1:D2"/>
    <mergeCell ref="F1:F2"/>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Nino</dc:creator>
  <dcterms:created xmlns:dcterms="http://purl.org/dc/terms/" xmlns:xsi="http://www.w3.org/2001/XMLSchema-instance" xsi:type="dcterms:W3CDTF">2026-02-12T15:56:07Z</dcterms:created>
  <dcterms:modified xmlns:dcterms="http://purl.org/dc/terms/" xmlns:xsi="http://www.w3.org/2001/XMLSchema-instance" xsi:type="dcterms:W3CDTF">2026-03-30T09:47:59Z</dcterms:modified>
  <cp:lastModifiedBy>Nino</cp:lastModifiedBy>
</cp:coreProperties>
</file>