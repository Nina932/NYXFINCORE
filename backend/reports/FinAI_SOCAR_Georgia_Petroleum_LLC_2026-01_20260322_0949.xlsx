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Revenue Breakdown" sheetId="2" state="visible" r:id="rId2"/>
    <sheet xmlns:r="http://schemas.openxmlformats.org/officeDocument/2006/relationships" name="COGS Breakdown" sheetId="3" state="visible" r:id="rId3"/>
    <sheet xmlns:r="http://schemas.openxmlformats.org/officeDocument/2006/relationships" name="Intellig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color rgb="00666666"/>
      <sz val="1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 (Top 10)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'Revenue Breakdown'!B1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'Revenue Breakdown'!$A$2:$A$11</f>
            </numRef>
          </cat>
          <val>
            <numRef>
              <f>'Revenue Breakdown'!$B$2:$B$11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SOCAR Georgia Petroleum LLC — Financial Intelligence Report</t>
        </is>
      </c>
    </row>
    <row r="2">
      <c r="A2" s="2" t="inlineStr">
        <is>
          <t>Period: 2026-01 | Generated: 2026-03-22 09:49</t>
        </is>
      </c>
    </row>
    <row r="4">
      <c r="A4" s="3" t="inlineStr">
        <is>
          <t>Metric</t>
        </is>
      </c>
      <c r="B4" s="3" t="inlineStr">
        <is>
          <t>Amount (GEL)</t>
        </is>
      </c>
    </row>
    <row r="5">
      <c r="A5" t="inlineStr">
        <is>
          <t>Revenue</t>
        </is>
      </c>
      <c r="B5" s="4" t="n">
        <v>102452363.78</v>
      </c>
    </row>
    <row r="6">
      <c r="A6" t="inlineStr">
        <is>
          <t>COGS</t>
        </is>
      </c>
      <c r="B6" s="4" t="n">
        <v>44816783.47</v>
      </c>
    </row>
    <row r="7">
      <c r="A7" t="inlineStr">
        <is>
          <t>Gross Profit</t>
        </is>
      </c>
      <c r="B7" s="4" t="n">
        <v>57635580.31</v>
      </c>
    </row>
    <row r="8">
      <c r="A8" t="inlineStr">
        <is>
          <t>Gross Margin %</t>
        </is>
      </c>
      <c r="B8" s="4" t="n">
        <v>56.26</v>
      </c>
    </row>
    <row r="9">
      <c r="A9" t="inlineStr">
        <is>
          <t>EBITDA</t>
        </is>
      </c>
      <c r="B9" s="4" t="n">
        <v>57557333.45</v>
      </c>
    </row>
    <row r="10">
      <c r="A10" t="inlineStr">
        <is>
          <t>Net Profit</t>
        </is>
      </c>
      <c r="B10" s="4" t="n">
        <v>58519942.98</v>
      </c>
    </row>
    <row r="11">
      <c r="A11" t="inlineStr">
        <is>
          <t>Net Margin %</t>
        </is>
      </c>
      <c r="B11" s="4" t="n">
        <v>57.12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Net Revenue (GEL)</t>
        </is>
      </c>
      <c r="C1" t="inlineStr">
        <is>
          <t>Category</t>
        </is>
      </c>
    </row>
    <row r="2">
      <c r="A2" t="inlineStr">
        <is>
          <t>სხვა ადმინისტრაციული (ტრანზიტული ბარათები), მომსახურება</t>
        </is>
      </c>
      <c r="B2" t="n">
        <v>440.68</v>
      </c>
      <c r="C2" t="inlineStr">
        <is>
          <t>Other Revenue</t>
        </is>
      </c>
    </row>
    <row r="3">
      <c r="A3" t="inlineStr">
        <is>
          <t>BP გადაზიდვის ღირებულება, მომსახურება</t>
        </is>
      </c>
      <c r="B3" t="n">
        <v>40616.17</v>
      </c>
      <c r="C3" t="inlineStr">
        <is>
          <t>Other Revenue</t>
        </is>
      </c>
    </row>
    <row r="4">
      <c r="A4" t="inlineStr">
        <is>
          <t>აუქციონის ხარჯი,</t>
        </is>
      </c>
      <c r="B4" t="n">
        <v>227.08</v>
      </c>
      <c r="C4" t="inlineStr">
        <is>
          <t>Other Revenue</t>
        </is>
      </c>
    </row>
    <row r="5">
      <c r="A5" t="inlineStr">
        <is>
          <t>ბუნებრივი აირი, მ3</t>
        </is>
      </c>
      <c r="B5" t="n">
        <v>3044415.49</v>
      </c>
      <c r="C5" t="inlineStr">
        <is>
          <t>Revenue Retail</t>
        </is>
      </c>
    </row>
    <row r="6">
      <c r="A6" t="inlineStr">
        <is>
          <t>ბუნებრივი აირი (საბითუმო), მ3</t>
        </is>
      </c>
      <c r="B6" t="n">
        <v>501167.54</v>
      </c>
      <c r="C6" t="inlineStr">
        <is>
          <t>Revenue Retail</t>
        </is>
      </c>
    </row>
    <row r="7">
      <c r="A7" t="inlineStr">
        <is>
          <t>გადასახდელი იჯარა, მომსახურება</t>
        </is>
      </c>
      <c r="B7" t="n">
        <v>317431.43</v>
      </c>
      <c r="C7" t="inlineStr">
        <is>
          <t>Other Revenue</t>
        </is>
      </c>
    </row>
    <row r="8">
      <c r="A8" t="inlineStr">
        <is>
          <t>გაცემული იჯარა (ინვოისისთ), მომსახურება</t>
        </is>
      </c>
      <c r="B8" t="n">
        <v>1300.83</v>
      </c>
      <c r="C8" t="inlineStr">
        <is>
          <t>Other Revenue</t>
        </is>
      </c>
    </row>
    <row r="9">
      <c r="A9" t="inlineStr">
        <is>
          <t>დასუფთავება, მომსახურება</t>
        </is>
      </c>
      <c r="B9" t="n">
        <v>237.29</v>
      </c>
      <c r="C9" t="inlineStr">
        <is>
          <t>Other Revenue</t>
        </is>
      </c>
    </row>
    <row r="10">
      <c r="A10" t="inlineStr">
        <is>
          <t>დიზელი, ლ</t>
        </is>
      </c>
      <c r="B10" t="n">
        <v>6692461.7</v>
      </c>
      <c r="C10" t="inlineStr">
        <is>
          <t>Revenue Retail</t>
        </is>
      </c>
    </row>
    <row r="11">
      <c r="A11" t="inlineStr">
        <is>
          <t>დიზელი (საბითუმო), ლ</t>
        </is>
      </c>
      <c r="B11" t="n">
        <v>20129853.04</v>
      </c>
      <c r="C11" t="inlineStr">
        <is>
          <t>Revenue Wholesale</t>
        </is>
      </c>
    </row>
    <row r="12">
      <c r="A12" t="inlineStr">
        <is>
          <t>ევრო დიზელი, ლ</t>
        </is>
      </c>
      <c r="B12" t="n">
        <v>3320368.08</v>
      </c>
      <c r="C12" t="inlineStr">
        <is>
          <t>Revenue Retail</t>
        </is>
      </c>
    </row>
    <row r="13">
      <c r="A13" t="inlineStr">
        <is>
          <t>ევრო რეგულარი, ლ</t>
        </is>
      </c>
      <c r="B13" t="n">
        <v>5416537.03</v>
      </c>
      <c r="C13" t="inlineStr">
        <is>
          <t>Revenue Retail</t>
        </is>
      </c>
    </row>
    <row r="14">
      <c r="A14" t="inlineStr">
        <is>
          <t>ევრო რეგულარი (საბითუმო), ლ</t>
        </is>
      </c>
      <c r="B14" t="n">
        <v>222094.93</v>
      </c>
      <c r="C14" t="inlineStr">
        <is>
          <t>Revenue Wholesale</t>
        </is>
      </c>
    </row>
    <row r="15">
      <c r="A15" t="inlineStr">
        <is>
          <t>ელექტროენერგია (კომუნალური), მომსახურება</t>
        </is>
      </c>
      <c r="B15" t="n">
        <v>128078.25</v>
      </c>
      <c r="C15" t="inlineStr">
        <is>
          <t>Other Revenue</t>
        </is>
      </c>
    </row>
    <row r="16">
      <c r="A16" t="inlineStr">
        <is>
          <t>ზარალის ანაზღაურება, მომსახურება</t>
        </is>
      </c>
      <c r="B16" t="n">
        <v>1016.96</v>
      </c>
      <c r="C16" t="inlineStr">
        <is>
          <t>Other Revenue</t>
        </is>
      </c>
    </row>
    <row r="17">
      <c r="A17" t="inlineStr">
        <is>
          <t>თხევადი აირი (მხოლოდ SGP !!!), ლ</t>
        </is>
      </c>
      <c r="B17" t="n">
        <v>142104.13</v>
      </c>
      <c r="C17" t="inlineStr">
        <is>
          <t>Revenue Retail</t>
        </is>
      </c>
    </row>
    <row r="18">
      <c r="A18" t="inlineStr">
        <is>
          <t>იჯარა ბენზინმზიდების, მომსახურება</t>
        </is>
      </c>
      <c r="B18" t="n">
        <v>47288.13</v>
      </c>
      <c r="C18" t="inlineStr">
        <is>
          <t>Other Revenue</t>
        </is>
      </c>
    </row>
    <row r="19">
      <c r="A19" t="inlineStr">
        <is>
          <t>იჯარა ფართის  (მიწა და საწყობი), მომსახურება</t>
        </is>
      </c>
      <c r="B19" t="n">
        <v>13177.97</v>
      </c>
      <c r="C19" t="inlineStr">
        <is>
          <t>Other Revenue</t>
        </is>
      </c>
    </row>
    <row r="20">
      <c r="A20" t="inlineStr">
        <is>
          <t>იჯარა ჩიხით სარგებლობის, მომსახურება</t>
        </is>
      </c>
      <c r="B20" t="n">
        <v>1265.36</v>
      </c>
      <c r="C20" t="inlineStr">
        <is>
          <t>Other Revenue</t>
        </is>
      </c>
    </row>
    <row r="21">
      <c r="A21" t="inlineStr">
        <is>
          <t>კანალიზაციის მომსახურება, მომსახურება</t>
        </is>
      </c>
      <c r="B21" t="n">
        <v>37.46</v>
      </c>
      <c r="C21" t="inlineStr">
        <is>
          <t>Other Revenue</t>
        </is>
      </c>
    </row>
    <row r="22">
      <c r="A22" t="inlineStr">
        <is>
          <t>ლაბორატიული ანალიზი, ცალი</t>
        </is>
      </c>
      <c r="B22" t="n">
        <v>350</v>
      </c>
      <c r="C22" t="inlineStr">
        <is>
          <t>Other Revenue</t>
        </is>
      </c>
    </row>
    <row r="23">
      <c r="A23" t="inlineStr">
        <is>
          <t>მომსახურების ღირებულება,</t>
        </is>
      </c>
      <c r="B23" t="n">
        <v>5844.92</v>
      </c>
      <c r="C23" t="inlineStr">
        <is>
          <t>Other Revenue</t>
        </is>
      </c>
    </row>
    <row r="24">
      <c r="A24" t="inlineStr">
        <is>
          <t>მომსახურების ღირებულება ა/ფ გარეშე,</t>
        </is>
      </c>
      <c r="B24" t="n">
        <v>9761.9</v>
      </c>
      <c r="C24" t="inlineStr">
        <is>
          <t>Other Revenue</t>
        </is>
      </c>
    </row>
    <row r="25">
      <c r="A25" t="inlineStr">
        <is>
          <t>პირადი დაცვის მომსახურება, მომსახურება</t>
        </is>
      </c>
      <c r="B25" t="n">
        <v>3000</v>
      </c>
      <c r="C25" t="inlineStr">
        <is>
          <t>Other Revenue</t>
        </is>
      </c>
    </row>
    <row r="26">
      <c r="A26" t="inlineStr">
        <is>
          <t>პრემიუმი , ლ</t>
        </is>
      </c>
      <c r="B26" t="n">
        <v>9838939.210000001</v>
      </c>
      <c r="C26" t="inlineStr">
        <is>
          <t>Revenue Retail</t>
        </is>
      </c>
    </row>
    <row r="27">
      <c r="A27" t="inlineStr">
        <is>
          <t>პრემიუმი (რეექსპორტი), კგ</t>
        </is>
      </c>
      <c r="B27" t="n">
        <v>413338.72</v>
      </c>
      <c r="C27" t="inlineStr">
        <is>
          <t>Revenue Wholesale</t>
        </is>
      </c>
    </row>
    <row r="28">
      <c r="A28" t="inlineStr">
        <is>
          <t>პრემიუმი (საბითუმო), ლ</t>
        </is>
      </c>
      <c r="B28" t="n">
        <v>72327.78</v>
      </c>
      <c r="C28" t="inlineStr">
        <is>
          <t>Revenue Wholesale</t>
        </is>
      </c>
    </row>
    <row r="29">
      <c r="A29" t="inlineStr">
        <is>
          <t>სამრეცხაო მომსახურება, მომსახურება</t>
        </is>
      </c>
      <c r="B29" t="n">
        <v>13349.58</v>
      </c>
      <c r="C29" t="inlineStr">
        <is>
          <t>Other Revenue</t>
        </is>
      </c>
    </row>
    <row r="30">
      <c r="A30" t="inlineStr">
        <is>
          <t>სუპერი , ლ</t>
        </is>
      </c>
      <c r="B30" t="n">
        <v>243816.37</v>
      </c>
      <c r="C30" t="inlineStr">
        <is>
          <t>Revenue Retail</t>
        </is>
      </c>
    </row>
    <row r="31">
      <c r="A31" t="inlineStr">
        <is>
          <t>სუპერი (რეექსპორტი), კგ</t>
        </is>
      </c>
      <c r="B31" t="n">
        <v>340759.18</v>
      </c>
      <c r="C31" t="inlineStr">
        <is>
          <t>Revenue Wholesale</t>
        </is>
      </c>
    </row>
    <row r="32">
      <c r="A32" t="inlineStr">
        <is>
          <t>სხვა მომსახურება, მომსახურება</t>
        </is>
      </c>
      <c r="B32" t="n">
        <v>522.88</v>
      </c>
      <c r="C32" t="inlineStr">
        <is>
          <t>Other Revenue</t>
        </is>
      </c>
    </row>
    <row r="33">
      <c r="A33" t="inlineStr">
        <is>
          <t>სხვა მომსახურება Z - ებით ( სასტუმრო ტირ-პარკი ), მომსახურებ</t>
        </is>
      </c>
      <c r="B33" t="n">
        <v>4810.44</v>
      </c>
      <c r="C33" t="inlineStr">
        <is>
          <t>Other Revenue</t>
        </is>
      </c>
    </row>
    <row r="34">
      <c r="A34" t="inlineStr">
        <is>
          <t>ქონების დაზღვევა, ცალი</t>
        </is>
      </c>
      <c r="B34" t="n">
        <v>163.12</v>
      </c>
      <c r="C34" t="inlineStr">
        <is>
          <t>Other Revenue</t>
        </is>
      </c>
    </row>
    <row r="35">
      <c r="A35" t="inlineStr">
        <is>
          <t>შარდოვანა (გრანულა) 46,3%-ის აზოტის შემცველობით, ტონა</t>
        </is>
      </c>
      <c r="B35" t="n">
        <v>252725.29</v>
      </c>
      <c r="C35" t="inlineStr">
        <is>
          <t>Other Revenue</t>
        </is>
      </c>
    </row>
    <row r="36">
      <c r="A36" t="inlineStr">
        <is>
          <t>ძრავის ზეთი მეორადი, ლ</t>
        </is>
      </c>
      <c r="B36" t="n">
        <v>135.59</v>
      </c>
      <c r="C36" t="inlineStr">
        <is>
          <t>Other Revenue</t>
        </is>
      </c>
    </row>
    <row r="37">
      <c r="A37" t="inlineStr">
        <is>
          <t>წარმომადგენლობითი (კომერციული),</t>
        </is>
      </c>
      <c r="B37" t="n">
        <v>24.15</v>
      </c>
      <c r="C37" t="inlineStr">
        <is>
          <t>Other Revenue</t>
        </is>
      </c>
    </row>
    <row r="38">
      <c r="A38" t="inlineStr">
        <is>
          <t>წყალი, მ3</t>
        </is>
      </c>
      <c r="B38" t="n">
        <v>6193.21</v>
      </c>
      <c r="C38" t="inlineStr">
        <is>
          <t>Other Revenue</t>
        </is>
      </c>
    </row>
    <row r="39">
      <c r="A39" t="inlineStr">
        <is>
          <t>Итог</t>
        </is>
      </c>
      <c r="B39" t="n">
        <v>51226181.89</v>
      </c>
      <c r="C39" t="inlineStr">
        <is>
          <t>Other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Amount (GEL)</t>
        </is>
      </c>
    </row>
    <row r="2">
      <c r="A2" t="inlineStr">
        <is>
          <t>ბუნებრივი აირი</t>
        </is>
      </c>
      <c r="B2" t="n">
        <v>2382065.24</v>
      </c>
    </row>
    <row r="3">
      <c r="A3" t="inlineStr">
        <is>
          <t>ბუნებრივი აირი (საბითუმო)</t>
        </is>
      </c>
      <c r="B3" t="n">
        <v>242169.75</v>
      </c>
    </row>
    <row r="4">
      <c r="A4" t="inlineStr">
        <is>
          <t>დიზელი</t>
        </is>
      </c>
      <c r="B4" t="n">
        <v>6141101.09</v>
      </c>
    </row>
    <row r="5">
      <c r="A5" t="inlineStr">
        <is>
          <t>დიზელი (იმპორტი)</t>
        </is>
      </c>
      <c r="B5" t="n">
        <v>20977373.44</v>
      </c>
    </row>
    <row r="6">
      <c r="A6" t="inlineStr">
        <is>
          <t>დიზელი (საბითუმო)</t>
        </is>
      </c>
      <c r="B6" t="n">
        <v>31157026.28</v>
      </c>
    </row>
    <row r="7">
      <c r="A7" t="inlineStr">
        <is>
          <t>დიზელი ნულოვანი (საბითუმო)</t>
        </is>
      </c>
      <c r="B7" t="n">
        <v>0.09</v>
      </c>
    </row>
    <row r="8">
      <c r="A8" t="inlineStr">
        <is>
          <t>ევრო დიზელი</t>
        </is>
      </c>
      <c r="B8" t="n">
        <v>2631970.63</v>
      </c>
    </row>
    <row r="9">
      <c r="A9" t="inlineStr">
        <is>
          <t>ევრო დიზელი (იმპორტი)</t>
        </is>
      </c>
      <c r="B9" t="n">
        <v>6437.8</v>
      </c>
    </row>
    <row r="10">
      <c r="A10" t="inlineStr">
        <is>
          <t>ევრო რეგულარი</t>
        </is>
      </c>
      <c r="B10" t="n">
        <v>4637709.23</v>
      </c>
    </row>
    <row r="11">
      <c r="A11" t="inlineStr">
        <is>
          <t>ევრო რეგულარი (იმპორტი)</t>
        </is>
      </c>
      <c r="B11" t="n">
        <v>0.5600000000000001</v>
      </c>
    </row>
    <row r="12">
      <c r="A12" t="inlineStr">
        <is>
          <t>ევრო რეგულარი (საბითუმო)</t>
        </is>
      </c>
      <c r="B12" t="n">
        <v>10050566.88</v>
      </c>
    </row>
    <row r="13">
      <c r="A13" t="inlineStr">
        <is>
          <t>ევროდიზელი(რეექსპორტი)</t>
        </is>
      </c>
      <c r="B13" t="n">
        <v>5506.98</v>
      </c>
    </row>
    <row r="14">
      <c r="A14" t="inlineStr">
        <is>
          <t>თხევადი აირი (მხოლოდ SGP !!!)</t>
        </is>
      </c>
      <c r="B14" t="n">
        <v>1148234.58</v>
      </c>
    </row>
    <row r="15">
      <c r="A15" t="inlineStr">
        <is>
          <t>თხევადი გაზი (LPG) საბითუმო</t>
        </is>
      </c>
      <c r="B15" t="n">
        <v>262424.79</v>
      </c>
    </row>
    <row r="16">
      <c r="A16" t="inlineStr">
        <is>
          <t>პრემიუმი</t>
        </is>
      </c>
      <c r="B16" t="n">
        <v>8003995.92</v>
      </c>
    </row>
    <row r="17">
      <c r="A17" t="inlineStr">
        <is>
          <t>პრემიუმი (იმპორტი)</t>
        </is>
      </c>
      <c r="B17" t="n">
        <v>1.59</v>
      </c>
    </row>
    <row r="18">
      <c r="A18" t="inlineStr">
        <is>
          <t>პრემიუმი (რეექსპორტი)</t>
        </is>
      </c>
      <c r="B18" t="n">
        <v>411059.7</v>
      </c>
    </row>
    <row r="19">
      <c r="A19" t="inlineStr">
        <is>
          <t>პრემიუმი (საბითუმო)</t>
        </is>
      </c>
      <c r="B19" t="n">
        <v>7974801.79</v>
      </c>
    </row>
    <row r="20">
      <c r="A20" t="inlineStr">
        <is>
          <t>სუპერი</t>
        </is>
      </c>
      <c r="B20" t="n">
        <v>253696.95</v>
      </c>
    </row>
    <row r="21">
      <c r="A21" t="inlineStr">
        <is>
          <t>სუპერი (რეექსპორტი)</t>
        </is>
      </c>
      <c r="B21" t="n">
        <v>336842.78</v>
      </c>
    </row>
    <row r="22">
      <c r="A22" t="inlineStr">
        <is>
          <t>Итого</t>
        </is>
      </c>
      <c r="B22" t="n">
        <v>88264293.62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Title</t>
        </is>
      </c>
      <c r="C1" t="inlineStr">
        <is>
          <t>Explanation</t>
        </is>
      </c>
      <c r="D1" t="inlineStr">
        <is>
          <t>Action</t>
        </is>
      </c>
    </row>
    <row r="2">
      <c r="A2" t="inlineStr">
        <is>
          <t>info</t>
        </is>
      </c>
      <c r="B2" t="inlineStr">
        <is>
          <t>Expense Concentration</t>
        </is>
      </c>
      <c r="C2" t="inlineStr">
        <is>
          <t>Top 3 expense categories (Uncategorized, Other, Revenue Retail) represent 92% of total costs. Highly concentrated — risk if any category spikes.</t>
        </is>
      </c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2026-03-22T05:49:20Z</dcterms:created>
  <dcterms:modified xmlns:dcterms="http://purl.org/dc/terms/" xmlns:xsi="http://www.w3.org/2001/XMLSchema-instance" xsi:type="dcterms:W3CDTF">2026-03-22T05:49:20Z</dcterms:modified>
</cp:coreProperties>
</file>